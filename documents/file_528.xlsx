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D0C1E6F9-9318-47CD-80C4-8F06E5DABD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3" l="1"/>
  <c r="B9" i="3"/>
  <c r="N3" i="3"/>
  <c r="Q4" i="3" s="1"/>
  <c r="H36" i="7"/>
  <c r="D36" i="7"/>
  <c r="H31" i="7"/>
  <c r="G31" i="7"/>
  <c r="E31" i="7"/>
  <c r="I30" i="7"/>
  <c r="H30" i="7"/>
  <c r="G30" i="7"/>
  <c r="F30" i="7"/>
  <c r="E30" i="7"/>
  <c r="D30" i="7"/>
  <c r="C30" i="7"/>
  <c r="B30" i="7"/>
  <c r="A30" i="7"/>
  <c r="E26" i="7"/>
  <c r="C24" i="7"/>
  <c r="G20" i="7"/>
  <c r="A20" i="7"/>
  <c r="G19" i="7"/>
  <c r="A19" i="7"/>
  <c r="G18" i="7"/>
  <c r="A18" i="7"/>
  <c r="G17" i="7"/>
  <c r="A17" i="7"/>
  <c r="G16" i="7"/>
  <c r="A16" i="7"/>
  <c r="G15" i="7"/>
  <c r="A15" i="7"/>
  <c r="G14" i="7"/>
  <c r="A14" i="7"/>
  <c r="G11" i="7"/>
  <c r="A11" i="7"/>
  <c r="G10" i="7"/>
  <c r="A10" i="7"/>
  <c r="G9" i="7"/>
  <c r="A9" i="7"/>
  <c r="G8" i="7"/>
  <c r="A8" i="7"/>
  <c r="G7" i="7"/>
  <c r="A7" i="7"/>
  <c r="G6" i="7"/>
  <c r="A6" i="7"/>
  <c r="G5" i="7"/>
  <c r="A5" i="7"/>
  <c r="C2" i="7"/>
  <c r="F1" i="7"/>
  <c r="D47" i="5"/>
  <c r="J19" i="5"/>
  <c r="G19" i="5"/>
  <c r="F19" i="5"/>
  <c r="G18" i="5"/>
  <c r="F18" i="5"/>
  <c r="H15" i="5"/>
  <c r="J14" i="5"/>
  <c r="B14" i="5"/>
  <c r="C57" i="4"/>
  <c r="D49" i="4"/>
  <c r="B45" i="4"/>
  <c r="I30" i="4"/>
  <c r="G30" i="4"/>
  <c r="F30" i="4"/>
  <c r="D30" i="4"/>
  <c r="C30" i="4"/>
  <c r="B30" i="4"/>
  <c r="B24" i="4"/>
  <c r="C22" i="4"/>
  <c r="B9" i="4"/>
  <c r="B8" i="4"/>
  <c r="B7" i="4"/>
  <c r="B4" i="4"/>
  <c r="B3" i="4"/>
  <c r="B2" i="4"/>
  <c r="J31" i="2"/>
  <c r="H31" i="2"/>
  <c r="G31" i="2"/>
  <c r="E31" i="2"/>
  <c r="J30" i="2"/>
  <c r="J30" i="7" s="1"/>
  <c r="J31" i="7" s="1"/>
  <c r="M30" i="2" l="1"/>
  <c r="R3" i="3"/>
  <c r="S3" i="3"/>
  <c r="Q3" i="3" s="1"/>
  <c r="S4" i="3"/>
  <c r="P3" i="3"/>
  <c r="M30" i="7" l="1"/>
  <c r="M31" i="7" s="1"/>
  <c r="M31" i="2"/>
  <c r="E2" i="3" s="1"/>
  <c r="K4" i="3"/>
  <c r="E13" i="3" l="1"/>
  <c r="A29" i="3" s="1"/>
  <c r="A28" i="3" l="1"/>
  <c r="B29" i="3"/>
  <c r="E29" i="3" s="1"/>
  <c r="A31" i="3"/>
  <c r="A27" i="3" l="1"/>
  <c r="B28" i="3"/>
  <c r="C31" i="3"/>
  <c r="C28" i="3" l="1"/>
  <c r="E28" i="3" s="1"/>
  <c r="C29" i="3"/>
  <c r="A25" i="3"/>
  <c r="B27" i="3"/>
  <c r="E31" i="3"/>
  <c r="C32" i="3"/>
  <c r="E32" i="3" s="1"/>
  <c r="A12" i="3" l="1"/>
  <c r="E27" i="3"/>
  <c r="C27" i="3"/>
  <c r="E30" i="3"/>
  <c r="B25" i="3"/>
  <c r="E25" i="3" s="1"/>
  <c r="A24" i="3"/>
  <c r="D29" i="3"/>
  <c r="F29" i="3"/>
  <c r="A23" i="3" l="1"/>
  <c r="B24" i="3"/>
  <c r="C24" i="3" l="1"/>
  <c r="E24" i="3" s="1"/>
  <c r="C25" i="3"/>
  <c r="A21" i="3"/>
  <c r="B23" i="3"/>
  <c r="F25" i="3" l="1"/>
  <c r="D25" i="3"/>
  <c r="E26" i="3"/>
  <c r="E23" i="3"/>
  <c r="C23" i="3"/>
  <c r="A20" i="3"/>
  <c r="B21" i="3"/>
  <c r="F26" i="3" l="1"/>
  <c r="A10" i="3" s="1"/>
  <c r="E21" i="3"/>
  <c r="B20" i="3"/>
  <c r="A19" i="3"/>
  <c r="A17" i="3" l="1"/>
  <c r="B19" i="3"/>
  <c r="C20" i="3"/>
  <c r="E20" i="3" s="1"/>
  <c r="C21" i="3"/>
  <c r="E19" i="3" l="1"/>
  <c r="C19" i="3"/>
  <c r="E22" i="3"/>
  <c r="D21" i="3"/>
  <c r="F21" i="3"/>
  <c r="A16" i="3"/>
  <c r="B17" i="3"/>
  <c r="E17" i="3" l="1"/>
  <c r="B16" i="3"/>
  <c r="A15" i="3"/>
  <c r="F22" i="3"/>
  <c r="A9" i="3" s="1"/>
  <c r="C17" i="3" l="1"/>
  <c r="C16" i="3"/>
  <c r="E16" i="3" s="1"/>
  <c r="B15" i="3"/>
  <c r="A14" i="3"/>
  <c r="E15" i="3" l="1"/>
  <c r="C15" i="3"/>
  <c r="E18" i="3"/>
  <c r="D17" i="3"/>
  <c r="F17" i="3"/>
  <c r="F18" i="3" l="1"/>
  <c r="A8" i="3" s="1"/>
  <c r="F30" i="3"/>
  <c r="A11" i="3" s="1"/>
  <c r="B5" i="3" l="1"/>
  <c r="B6" i="3"/>
  <c r="F8" i="3" l="1"/>
  <c r="F9" i="3" s="1"/>
  <c r="F10" i="3" s="1"/>
  <c r="B3" i="3" l="1"/>
  <c r="B4" i="3"/>
  <c r="E32" i="7" l="1"/>
  <c r="E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<sst xmlns="http://schemas.openxmlformats.org/spreadsheetml/2006/main" count="209" uniqueCount="161">
  <si>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</si>
  <si>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</si>
  <si>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</si>
  <si>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</si>
  <si>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</si>
  <si>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</si>
  <si>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</si>
  <si>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</si>
  <si>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</si>
  <si>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</si>
  <si>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</si>
  <si>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</si>
  <si>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</si>
  <si>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</si>
  <si>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</si>
  <si>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</si>
  <si>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</si>
  <si>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</si>
  <si>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</si>
  <si>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</si>
  <si>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</si>
  <si>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</si>
  <si>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</si>
  <si>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</si>
  <si>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</si>
  <si>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</si>
  <si>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</si>
  <si>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</si>
  <si>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</si>
  <si>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</si>
  <si>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</si>
  <si>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</si>
  <si>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</si>
  <si>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</si>
  <si>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</si>
  <si>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</si>
  <si>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</si>
  <si>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</si>
  <si>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</si>
  <si>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</si>
  <si>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</si>
  <si>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</si>
  <si>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</si>
  <si>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</si>
  <si>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</si>
  <si>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</si>
  <si>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</si>
  <si>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</si>
  <si>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</si>
  <si>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</si>
  <si>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</si>
  <si>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</si>
  <si>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</si>
  <si>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</si>
  <si>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</si>
  <si>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</si>
  <si>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</si>
  <si>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</si>
  <si>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</si>
  <si>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</si>
  <si>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</si>
  <si>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</si>
  <si>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</si>
  <si>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</si>
  <si>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</si>
  <si>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</si>
  <si>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</si>
  <si>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</si>
  <si>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</si>
  <si>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</si>
  <si>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</si>
  <si>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</si>
  <si>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</si>
  <si>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</si>
  <si>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</si>
  <si>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</si>
  <si>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</si>
  <si>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</si>
  <si>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</si>
  <si>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</si>
  <si>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</si>
  <si>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</si>
  <si>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</si>
  <si>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</si>
  <si>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</si>
  <si>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</si>
  <si>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</si>
  <si>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</si>
  <si>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</si>
  <si>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</si>
  <si>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</si>
  <si>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</si>
  <si>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</si>
  <si>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</si>
  <si>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</si>
  <si>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</si>
  <si>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</si>
  <si>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</si>
  <si>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</si>
  <si>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</si>
  <si>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</si>
  <si>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</si>
  <si>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</si>
  <si>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</si>
  <si>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</si>
  <si>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</si>
  <si>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</si>
  <si>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</si>
  <si>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</si>
  <si>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</si>
  <si>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</si>
  <si>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</si>
  <si>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</si>
  <si>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</si>
  <si>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</si>
  <si>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</si>
  <si>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</si>
  <si>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</si>
  <si>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</si>
  <si>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</si>
  <si>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</si>
  <si>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</si>
  <si>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</si>
  <si>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</si>
  <si>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</si>
  <si>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</si>
  <si>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</si>
  <si>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</si>
  <si>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</si>
  <si>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</si>
  <si>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</si>
  <si>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</si>
  <si>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</si>
  <si>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</si>
  <si>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</si>
  <si>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</si>
  <si>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</si>
  <si>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</si>
  <si>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</si>
  <si>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</si>
  <si>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</si>
  <si>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</si>
  <si>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</si>
  <si>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</si>
  <si>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</si>
  <si>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</si>
  <si>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</si>
  <si>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</si>
  <si>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</si>
  <si>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</si>
  <si>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</si>
  <si>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</si>
  <si>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</si>
  <si>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</si>
  <si>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</si>
  <si>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</si>
  <si>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 10.09.2025г.</t>
  </si>
  <si>
    <t>г.Москва, Санкт-Петербург, Самара, Свердловск, Брянск, Пермь, Омск, Казань, Ростов-на-дону, Саратов, Махачкала,
 Воронеж, Новосибирск, Волгоград, Краснодар, Тула, Архангельск, Мурманск, Владивосток, Хабаровск, Чита, Иркутск, Челябинск, Якутск, Екатеринбург, Астрахань, Оренбург, Краснодар, Сыктывкар, Сургут, Красноярск, Братск, Петропавловск .Крым Симферополь/ Российская федерация</t>
  </si>
  <si>
    <t xml:space="preserve">ИНВОЙС № UFG-M-84 от </t>
  </si>
  <si>
    <t xml:space="preserve">СПЕЦИФИКАЦИЯ № UFG-M-84 от </t>
  </si>
  <si>
    <t>40779RBA/401718CA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</si>
</sst>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1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b/>
      <i/>
      <sz val="13.5"/>
      <name val="Bahnschrift"/>
      <family val="2"/>
      <charset val="204"/>
    </font>
    <font>
      <b/>
      <i/>
      <sz val="14"/>
      <name val="Bahnschrift"/>
      <family val="2"/>
      <charset val="204"/>
    </font>
    <font>
      <b/>
      <i/>
      <sz val="12.3"/>
      <name val="Bahnschrift"/>
      <family val="2"/>
      <charset val="204"/>
    </font>
    <font>
      <sz val="7.5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49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0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1" fillId="0" borderId="0" xfId="0" applyFont="1"/>
    <xf numFmtId="0" fontId="51" fillId="0" borderId="0" xfId="0" applyFont="1" applyAlignment="1">
      <alignment wrapText="1"/>
    </xf>
    <xf numFmtId="0" fontId="51" fillId="0" borderId="0" xfId="0" applyFont="1" applyAlignment="1">
      <alignment horizontal="left" wrapText="1"/>
    </xf>
    <xf numFmtId="0" fontId="51" fillId="0" borderId="0" xfId="0" applyFont="1" applyAlignment="1">
      <alignment vertical="top" wrapText="1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wrapText="1"/>
    </xf>
    <xf numFmtId="0" fontId="5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1" fontId="51" fillId="0" borderId="0" xfId="0" applyNumberFormat="1" applyFont="1" applyAlignment="1">
      <alignment horizontal="center" vertical="center"/>
    </xf>
    <xf numFmtId="0" fontId="55" fillId="0" borderId="0" xfId="0" applyFont="1"/>
    <xf numFmtId="11" fontId="54" fillId="0" borderId="0" xfId="0" applyNumberFormat="1" applyFont="1" applyAlignment="1">
      <alignment horizontal="left"/>
    </xf>
    <xf numFmtId="0" fontId="56" fillId="0" borderId="0" xfId="0" applyFont="1"/>
    <xf numFmtId="0" fontId="5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59" fillId="0" borderId="0" xfId="0" applyFont="1"/>
    <xf numFmtId="0" fontId="6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1" fillId="0" borderId="0" xfId="0" applyFont="1" applyAlignment="1">
      <alignment horizontal="left"/>
    </xf>
    <xf numFmtId="0" fontId="58" fillId="0" borderId="0" xfId="0" applyFont="1"/>
    <xf numFmtId="0" fontId="62" fillId="0" borderId="0" xfId="0" applyFont="1"/>
    <xf numFmtId="0" fontId="54" fillId="0" borderId="0" xfId="0" applyFont="1" applyAlignment="1">
      <alignment vertical="center"/>
    </xf>
    <xf numFmtId="0" fontId="55" fillId="0" borderId="0" xfId="0" applyFont="1" applyAlignment="1">
      <alignment horizontal="right"/>
    </xf>
    <xf numFmtId="49" fontId="55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0" fontId="63" fillId="0" borderId="0" xfId="0" applyFont="1"/>
    <xf numFmtId="0" fontId="54" fillId="0" borderId="0" xfId="0" applyFont="1" applyAlignment="1">
      <alignment horizontal="center" vertical="top"/>
    </xf>
    <xf numFmtId="1" fontId="64" fillId="0" borderId="0" xfId="0" applyNumberFormat="1" applyFont="1" applyAlignment="1">
      <alignment horizontal="left" vertical="top"/>
    </xf>
    <xf numFmtId="0" fontId="55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5" fillId="0" borderId="1" xfId="0" applyNumberFormat="1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49" fontId="66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1" fillId="0" borderId="0" xfId="0" applyFont="1" applyAlignment="1">
      <alignment vertical="top"/>
    </xf>
    <xf numFmtId="0" fontId="70" fillId="0" borderId="0" xfId="0" applyFont="1"/>
    <xf numFmtId="0" fontId="67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5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4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5" fillId="0" borderId="0" xfId="0" applyFont="1"/>
    <xf numFmtId="0" fontId="76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78" fillId="0" borderId="0" xfId="0" applyFont="1" applyAlignment="1">
      <alignment horizontal="left"/>
    </xf>
    <xf numFmtId="0" fontId="77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0" fontId="79" fillId="0" borderId="0" xfId="0" applyFont="1" applyAlignment="1">
      <alignment horizontal="left"/>
    </xf>
    <xf numFmtId="0" fontId="51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3" fillId="0" borderId="0" xfId="0" applyFont="1" applyAlignment="1">
      <alignment horizontal="left" vertical="center" wrapText="1"/>
    </xf>
    <xf numFmtId="0" fontId="51" fillId="0" borderId="0" xfId="0" applyFont="1" applyAlignment="1">
      <alignment horizontal="center"/>
    </xf>
    <xf numFmtId="0" fontId="80" fillId="0" borderId="0" xfId="0" applyFont="1" applyAlignment="1">
      <alignment horizontal="left" vertical="top" wrapText="1"/>
    </xf>
    <xf numFmtId="0" fontId="80" fillId="0" borderId="0" xfId="0" applyFont="1" applyAlignment="1">
      <alignment horizontal="left" vertical="top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7" fillId="0" borderId="0" xfId="0" applyFont="1" applyAlignment="1">
      <alignment horizontal="left" vertical="center"/>
    </xf>
    <xf numFmtId="11" fontId="58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1" fillId="0" borderId="0" xfId="0" applyFont="1" applyAlignment="1">
      <alignment horizontal="right" vertical="top"/>
    </xf>
    <xf numFmtId="0" fontId="78" fillId="0" borderId="0" xfId="0" applyFont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0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 editAs="oneCell">
    <xdr:from>
      <xdr:col>5</xdr:col>
      <xdr:colOff>358588</xdr:colOff>
      <xdr:row>36</xdr:row>
      <xdr:rowOff>57978</xdr:rowOff>
    </xdr:from>
    <xdr:to>
      <xdr:col>9</xdr:col>
      <xdr:colOff>784412</xdr:colOff>
      <xdr:row>49</xdr:row>
      <xdr:rowOff>7244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99C9AE9-7B6D-4D07-976C-B601EA27D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3353" y="19085566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9</xdr:col>
      <xdr:colOff>448235</xdr:colOff>
      <xdr:row>36</xdr:row>
      <xdr:rowOff>56029</xdr:rowOff>
    </xdr:from>
    <xdr:to>
      <xdr:col>12</xdr:col>
      <xdr:colOff>11206</xdr:colOff>
      <xdr:row>38</xdr:row>
      <xdr:rowOff>164473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E856325-3DC6-4FDA-BCDF-13F1DB23E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9706" y="19083617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158</v>
      </c>
      <c r="D1" s="154"/>
      <c r="E1" s="154"/>
      <c r="F1" s="153" t="s">
        <v>156</v>
      </c>
      <c r="G1" s="153"/>
      <c r="H1" s="153"/>
      <c r="I1" s="133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144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145</v>
      </c>
      <c r="B5" s="155"/>
      <c r="C5" s="155"/>
      <c r="D5" s="155"/>
      <c r="E5" s="155"/>
      <c r="F5" s="6"/>
      <c r="G5" s="148" t="s">
        <v>132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140</v>
      </c>
      <c r="B6" s="142"/>
      <c r="C6" s="142"/>
      <c r="D6" s="142"/>
      <c r="E6" s="142"/>
      <c r="F6" s="7"/>
      <c r="G6" s="141" t="s">
        <v>133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146</v>
      </c>
      <c r="B7" s="142"/>
      <c r="C7" s="142"/>
      <c r="D7" s="142"/>
      <c r="E7" s="142"/>
      <c r="F7" s="63"/>
      <c r="G7" s="141" t="s">
        <v>134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141</v>
      </c>
      <c r="B8" s="8"/>
      <c r="C8" s="8"/>
      <c r="D8" s="8"/>
      <c r="E8" s="8"/>
      <c r="F8" s="63"/>
      <c r="G8" s="7" t="s">
        <v>135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147</v>
      </c>
      <c r="B9" s="8"/>
      <c r="C9" s="8"/>
      <c r="D9" s="8"/>
      <c r="E9" s="8"/>
      <c r="F9" s="7"/>
      <c r="G9" s="7" t="s">
        <v>136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142</v>
      </c>
      <c r="B10" s="124"/>
      <c r="C10" s="124"/>
      <c r="D10" s="124"/>
      <c r="E10" s="124"/>
      <c r="F10" s="7"/>
      <c r="G10" s="7" t="s">
        <v>131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143</v>
      </c>
      <c r="B11" s="8"/>
      <c r="C11" s="8"/>
      <c r="D11" s="8"/>
      <c r="E11" s="8"/>
      <c r="F11" s="7"/>
      <c r="G11" s="7" t="s">
        <v>137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148</v>
      </c>
      <c r="B12" s="8"/>
      <c r="C12" s="8"/>
      <c r="D12" s="8"/>
      <c r="E12" s="8"/>
      <c r="F12" s="7"/>
      <c r="G12" s="144" t="s">
        <v>138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145</v>
      </c>
      <c r="B14" s="155"/>
      <c r="C14" s="155"/>
      <c r="D14" s="155"/>
      <c r="E14" s="155"/>
      <c r="F14" s="6"/>
      <c r="G14" s="148" t="s">
        <v>132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140</v>
      </c>
      <c r="B15" s="142"/>
      <c r="C15" s="142"/>
      <c r="D15" s="142"/>
      <c r="E15" s="142"/>
      <c r="F15" s="7"/>
      <c r="G15" s="141" t="s">
        <v>133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146</v>
      </c>
      <c r="B16" s="142"/>
      <c r="C16" s="142"/>
      <c r="D16" s="142"/>
      <c r="E16" s="142"/>
      <c r="F16" s="63"/>
      <c r="G16" s="141" t="s">
        <v>134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141</v>
      </c>
      <c r="B17" s="8"/>
      <c r="C17" s="8"/>
      <c r="D17" s="8"/>
      <c r="E17" s="8"/>
      <c r="F17" s="63"/>
      <c r="G17" s="7" t="s">
        <v>135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147</v>
      </c>
      <c r="B18" s="8"/>
      <c r="C18" s="8"/>
      <c r="D18" s="8"/>
      <c r="E18" s="8"/>
      <c r="F18" s="7"/>
      <c r="G18" s="7" t="s">
        <v>136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142</v>
      </c>
      <c r="B19" s="124"/>
      <c r="C19" s="124"/>
      <c r="D19" s="124"/>
      <c r="E19" s="124"/>
      <c r="F19" s="7"/>
      <c r="G19" s="7" t="s">
        <v>131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143</v>
      </c>
      <c r="B20" s="8"/>
      <c r="C20" s="8"/>
      <c r="D20" s="8"/>
      <c r="E20" s="8"/>
      <c r="F20" s="7"/>
      <c r="G20" s="7" t="s">
        <v>137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148</v>
      </c>
      <c r="B21" s="8"/>
      <c r="C21" s="8"/>
      <c r="D21" s="8"/>
      <c r="E21" s="8"/>
      <c r="G21" s="144" t="s">
        <v>138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154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160</v>
      </c>
      <c r="F26" s="140"/>
      <c r="G26" s="140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6">
        <v>1</v>
      </c>
      <c r="B30" s="101" t="s">
        <v>123</v>
      </c>
      <c r="C30" s="107" t="s">
        <v>124</v>
      </c>
      <c r="D30" s="109" t="s">
        <v>110</v>
      </c>
      <c r="E30" s="101">
        <v>1000</v>
      </c>
      <c r="F30" s="115" t="s">
        <v>27</v>
      </c>
      <c r="G30" s="106">
        <v>23500</v>
      </c>
      <c r="H30" s="106">
        <v>21700</v>
      </c>
      <c r="I30" s="108">
        <v>0.25</v>
      </c>
      <c r="J30" s="13">
        <f>H30*I30</f>
        <v>5425</v>
      </c>
      <c r="K30" s="12">
        <v>0</v>
      </c>
      <c r="L30" s="12">
        <v>0</v>
      </c>
      <c r="M30" s="13">
        <f>J30</f>
        <v>5425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23500</v>
      </c>
      <c r="H31" s="64">
        <f>SUM(H30:H30)</f>
        <v>21700</v>
      </c>
      <c r="I31" s="102"/>
      <c r="J31" s="17">
        <f>SUM(J30:J30)</f>
        <v>5425</v>
      </c>
      <c r="K31" s="16"/>
      <c r="L31" s="16"/>
      <c r="M31" s="17">
        <f>SUM(M30:M30)</f>
        <v>5425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четыреста двадцать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108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149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61" t="s">
        <v>157</v>
      </c>
      <c r="C13" s="162"/>
      <c r="D13" s="162"/>
      <c r="E13" s="162"/>
      <c r="F13" s="162"/>
      <c r="G13" s="162"/>
      <c r="H13" s="162"/>
      <c r="I13" s="162"/>
      <c r="J13" s="112"/>
      <c r="K13" s="112"/>
    </row>
    <row r="14" spans="1:11" ht="11.25" customHeight="1" x14ac:dyDescent="0.2">
      <c r="A14" s="70" t="s">
        <v>91</v>
      </c>
      <c r="B14" s="162"/>
      <c r="C14" s="162"/>
      <c r="D14" s="162"/>
      <c r="E14" s="162"/>
      <c r="F14" s="162"/>
      <c r="G14" s="162"/>
      <c r="H14" s="162"/>
      <c r="I14" s="162"/>
    </row>
    <row r="15" spans="1:11" ht="7.5" hidden="1" customHeight="1" x14ac:dyDescent="0.2">
      <c r="B15" s="162"/>
      <c r="C15" s="162"/>
      <c r="D15" s="162"/>
      <c r="E15" s="162"/>
      <c r="F15" s="162"/>
      <c r="G15" s="162"/>
      <c r="H15" s="162"/>
      <c r="I15" s="162"/>
    </row>
    <row r="16" spans="1:11" ht="20.25" customHeight="1" x14ac:dyDescent="0.2">
      <c r="B16" s="162"/>
      <c r="C16" s="162"/>
      <c r="D16" s="162"/>
      <c r="E16" s="162"/>
      <c r="F16" s="162"/>
      <c r="G16" s="162"/>
      <c r="H16" s="162"/>
      <c r="I16" s="162"/>
    </row>
    <row r="17" spans="1:9" ht="25.5" customHeight="1" x14ac:dyDescent="0.2"/>
    <row r="18" spans="1:9" ht="13.5" customHeight="1" x14ac:dyDescent="0.2">
      <c r="A18" s="70" t="s">
        <v>92</v>
      </c>
      <c r="B18" s="70" t="s">
        <v>111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UFG-M-84 от  10.09.2025г.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112</v>
      </c>
      <c r="D49" s="160" t="str">
        <f>+C22</f>
        <v xml:space="preserve"> 10.09.2025г.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40779RBA/401718CA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5">
    <mergeCell ref="B24:D24"/>
    <mergeCell ref="B25:D25"/>
    <mergeCell ref="B45:D46"/>
    <mergeCell ref="D49:F49"/>
    <mergeCell ref="B13:I16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9" t="s">
        <v>96</v>
      </c>
      <c r="C2" s="16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70" t="str">
        <f>+Инвойс!E26</f>
        <v>40779RBA/401718CA</v>
      </c>
      <c r="C14" s="170"/>
      <c r="D14" s="170"/>
      <c r="E14" s="170"/>
      <c r="F14" s="170"/>
      <c r="G14" s="170"/>
      <c r="H14" s="171" t="s">
        <v>107</v>
      </c>
      <c r="I14" s="171"/>
      <c r="J14" s="88" t="str">
        <f>+Инвойс!F1</f>
        <v xml:space="preserve"> 10.09.2025г.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2" t="str">
        <f>+CMR!B24</f>
        <v>ИНВОЙС № UFG-M-84 от  10.09.2025г.</v>
      </c>
      <c r="I15" s="172"/>
      <c r="J15" s="17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65" t="str">
        <f>+CMR!F30</f>
        <v>Дыни свежие</v>
      </c>
      <c r="H18" s="165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3" t="str">
        <f>+Инвойс!C30</f>
        <v>0807190001</v>
      </c>
      <c r="H19" s="164"/>
      <c r="I19" s="121" t="s">
        <v>103</v>
      </c>
      <c r="J19" s="119">
        <f>+Инвойс!G30</f>
        <v>23500</v>
      </c>
    </row>
    <row r="20" spans="2:10" ht="13.5" customHeight="1" x14ac:dyDescent="0.3">
      <c r="B20" s="83"/>
      <c r="E20" s="122"/>
      <c r="F20" s="117"/>
      <c r="G20" s="165"/>
      <c r="H20" s="165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3"/>
      <c r="H21" s="164"/>
      <c r="I21" s="121"/>
      <c r="J21" s="119"/>
    </row>
    <row r="22" spans="2:10" ht="12.75" customHeight="1" x14ac:dyDescent="0.3">
      <c r="B22" s="83"/>
      <c r="E22" s="122"/>
      <c r="F22" s="117"/>
      <c r="G22" s="165"/>
      <c r="H22" s="165"/>
      <c r="I22" s="118"/>
      <c r="J22" s="119"/>
    </row>
    <row r="23" spans="2:10" ht="14.25" customHeight="1" x14ac:dyDescent="0.3">
      <c r="B23" s="83"/>
      <c r="E23" s="122"/>
      <c r="F23" s="120"/>
      <c r="G23" s="163"/>
      <c r="H23" s="164"/>
      <c r="I23" s="121"/>
      <c r="J23" s="119"/>
    </row>
    <row r="24" spans="2:10" ht="12.75" customHeight="1" x14ac:dyDescent="0.3">
      <c r="B24" s="87"/>
      <c r="E24" s="122"/>
      <c r="F24" s="117"/>
      <c r="G24" s="165"/>
      <c r="H24" s="165"/>
      <c r="I24" s="118"/>
      <c r="J24" s="119"/>
    </row>
    <row r="25" spans="2:10" ht="12.75" customHeight="1" x14ac:dyDescent="0.3">
      <c r="B25" s="87"/>
      <c r="E25" s="122"/>
      <c r="F25" s="120"/>
      <c r="G25" s="163"/>
      <c r="H25" s="164"/>
      <c r="I25" s="121"/>
      <c r="J25" s="119"/>
    </row>
    <row r="26" spans="2:10" ht="12" customHeight="1" x14ac:dyDescent="0.3">
      <c r="B26" s="87"/>
      <c r="E26" s="122"/>
      <c r="F26" s="117"/>
      <c r="G26" s="165"/>
      <c r="H26" s="165"/>
      <c r="I26" s="118"/>
      <c r="J26" s="119"/>
    </row>
    <row r="27" spans="2:10" ht="14.25" customHeight="1" x14ac:dyDescent="0.3">
      <c r="B27" s="87"/>
      <c r="E27" s="122"/>
      <c r="F27" s="120"/>
      <c r="G27" s="163"/>
      <c r="H27" s="164"/>
      <c r="I27" s="121"/>
      <c r="J27" s="119"/>
    </row>
    <row r="28" spans="2:10" ht="12.75" customHeight="1" x14ac:dyDescent="0.3">
      <c r="B28" s="87"/>
      <c r="E28" s="122"/>
      <c r="F28" s="117"/>
      <c r="G28" s="165"/>
      <c r="H28" s="165"/>
      <c r="I28" s="118"/>
      <c r="J28" s="119"/>
    </row>
    <row r="29" spans="2:10" ht="12.75" customHeight="1" x14ac:dyDescent="0.3">
      <c r="B29" s="87"/>
      <c r="E29" s="122"/>
      <c r="F29" s="120"/>
      <c r="G29" s="163"/>
      <c r="H29" s="164"/>
      <c r="I29" s="121"/>
      <c r="J29" s="119"/>
    </row>
    <row r="30" spans="2:10" ht="12.75" customHeight="1" x14ac:dyDescent="0.3">
      <c r="B30" s="87"/>
      <c r="E30" s="122"/>
      <c r="F30" s="117"/>
      <c r="G30" s="165"/>
      <c r="H30" s="165"/>
      <c r="I30" s="118"/>
      <c r="J30" s="119"/>
    </row>
    <row r="31" spans="2:10" ht="13.5" customHeight="1" x14ac:dyDescent="0.3">
      <c r="B31" s="87"/>
      <c r="E31" s="122"/>
      <c r="F31" s="120"/>
      <c r="G31" s="163"/>
      <c r="H31" s="164"/>
      <c r="I31" s="121"/>
      <c r="J31" s="119"/>
    </row>
    <row r="32" spans="2:10" ht="13.5" customHeight="1" x14ac:dyDescent="0.3">
      <c r="B32" s="87"/>
      <c r="E32" s="122"/>
      <c r="F32" s="117"/>
      <c r="G32" s="165"/>
      <c r="H32" s="165"/>
      <c r="I32" s="118"/>
      <c r="J32" s="119"/>
    </row>
    <row r="33" spans="2:10" ht="13.5" customHeight="1" x14ac:dyDescent="0.3">
      <c r="B33" s="87"/>
      <c r="E33" s="122"/>
      <c r="F33" s="120"/>
      <c r="G33" s="163"/>
      <c r="H33" s="164"/>
      <c r="I33" s="121"/>
      <c r="J33" s="119"/>
    </row>
    <row r="34" spans="2:10" ht="13.5" customHeight="1" x14ac:dyDescent="0.3">
      <c r="B34" s="87"/>
      <c r="E34" s="122"/>
      <c r="F34" s="117"/>
      <c r="G34" s="165"/>
      <c r="H34" s="165"/>
      <c r="I34" s="118"/>
      <c r="J34" s="119"/>
    </row>
    <row r="35" spans="2:10" ht="12.75" customHeight="1" x14ac:dyDescent="0.3">
      <c r="B35" s="87"/>
      <c r="E35" s="122"/>
      <c r="F35" s="120"/>
      <c r="G35" s="163"/>
      <c r="H35" s="164"/>
      <c r="I35" s="121"/>
      <c r="J35" s="119"/>
    </row>
    <row r="36" spans="2:10" x14ac:dyDescent="0.3">
      <c r="B36" s="87"/>
      <c r="E36" s="122"/>
      <c r="F36" s="117"/>
      <c r="G36" s="165"/>
      <c r="H36" s="165"/>
      <c r="I36" s="118"/>
      <c r="J36" s="119"/>
    </row>
    <row r="37" spans="2:10" ht="13.5" customHeight="1" x14ac:dyDescent="0.3">
      <c r="B37" s="87"/>
      <c r="E37" s="122"/>
      <c r="F37" s="120"/>
      <c r="G37" s="163"/>
      <c r="H37" s="164"/>
      <c r="I37" s="121"/>
      <c r="J37" s="119"/>
    </row>
    <row r="38" spans="2:10" x14ac:dyDescent="0.3">
      <c r="B38" s="87"/>
      <c r="E38" s="122"/>
      <c r="F38" s="117"/>
      <c r="G38" s="165"/>
      <c r="H38" s="165"/>
      <c r="I38" s="118"/>
      <c r="J38" s="119"/>
    </row>
    <row r="39" spans="2:10" ht="13.5" customHeight="1" x14ac:dyDescent="0.3">
      <c r="B39" s="87"/>
      <c r="E39" s="122"/>
      <c r="F39" s="120"/>
      <c r="G39" s="163"/>
      <c r="H39" s="164"/>
      <c r="I39" s="121"/>
      <c r="J39" s="119"/>
    </row>
    <row r="40" spans="2:10" ht="14.25" hidden="1" customHeight="1" x14ac:dyDescent="0.3">
      <c r="B40" s="87"/>
      <c r="E40" s="122"/>
      <c r="F40" s="117"/>
      <c r="G40" s="165"/>
      <c r="H40" s="165"/>
      <c r="I40" s="118"/>
      <c r="J40" s="119"/>
    </row>
    <row r="41" spans="2:10" ht="14.25" hidden="1" customHeight="1" x14ac:dyDescent="0.3">
      <c r="B41" s="87"/>
      <c r="E41" s="122"/>
      <c r="F41" s="120"/>
      <c r="G41" s="163"/>
      <c r="H41" s="164"/>
      <c r="I41" s="121"/>
      <c r="J41" s="119"/>
    </row>
    <row r="42" spans="2:10" hidden="1" x14ac:dyDescent="0.3">
      <c r="B42" s="87"/>
      <c r="E42" s="122"/>
      <c r="F42" s="117"/>
      <c r="G42" s="165"/>
      <c r="H42" s="165"/>
      <c r="I42" s="118"/>
      <c r="J42" s="119"/>
    </row>
    <row r="43" spans="2:10" x14ac:dyDescent="0.3">
      <c r="B43" s="87"/>
      <c r="E43" s="122"/>
      <c r="F43" s="120"/>
      <c r="G43" s="163"/>
      <c r="H43" s="164"/>
      <c r="I43" s="121"/>
      <c r="J43" s="119"/>
    </row>
    <row r="44" spans="2:10" ht="9" customHeight="1" x14ac:dyDescent="0.3">
      <c r="B44" s="87"/>
      <c r="E44" s="95"/>
      <c r="F44" s="92"/>
      <c r="G44" s="167"/>
      <c r="H44" s="167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1000</v>
      </c>
      <c r="E47" s="142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159</v>
      </c>
      <c r="C1" s="173"/>
      <c r="D1" s="173"/>
      <c r="E1" s="173"/>
      <c r="F1" s="153" t="str">
        <f>+Инвойс!F1</f>
        <v xml:space="preserve"> 10.09.2025г.</v>
      </c>
      <c r="G1" s="153"/>
      <c r="H1" s="153"/>
      <c r="I1" s="133"/>
      <c r="J1" s="19"/>
      <c r="K1" s="19"/>
      <c r="L1" s="19"/>
      <c r="M1" s="19"/>
    </row>
    <row r="2" spans="1:15" ht="17.399999999999999" x14ac:dyDescent="0.3">
      <c r="A2" s="19" t="s">
        <v>30</v>
      </c>
      <c r="B2" s="133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6" t="str">
        <f>+Инвойс!A6</f>
        <v>РЕСПУБЛИКА УЗБЕКИСТАН. СУРХАНДАРЬИНСКАЯ ОБЛАСТЬ,</v>
      </c>
      <c r="B6" s="176"/>
      <c r="C6" s="176"/>
      <c r="D6" s="176"/>
      <c r="E6" s="176"/>
      <c r="F6" s="7"/>
      <c r="G6" s="174" t="str">
        <f>+Инвойс!G6</f>
        <v xml:space="preserve">454106, ЧЕЛЯБИНСКАЯ ОБЛАСТЬ, Г ЧЕЛЯБИНСК, </v>
      </c>
      <c r="H6" s="174"/>
      <c r="I6" s="174"/>
      <c r="J6" s="174"/>
      <c r="K6" s="174"/>
      <c r="L6" s="174"/>
      <c r="M6" s="174"/>
      <c r="N6" s="4"/>
    </row>
    <row r="7" spans="1:15" ht="13.8" x14ac:dyDescent="0.25">
      <c r="A7" s="176" t="str">
        <f>+Инвойс!A7</f>
        <v>ТЕРМИЗСКИЙ РАЙОН,ЯНГИХАЯТ МФЙ, УЛИЦА БОГИ ШАМОЛ, 20-А</v>
      </c>
      <c r="B7" s="176"/>
      <c r="C7" s="176"/>
      <c r="D7" s="176"/>
      <c r="E7" s="176"/>
      <c r="F7" s="63"/>
      <c r="G7" s="174" t="str">
        <f>+Инвойс!G7</f>
        <v>УЛ ОСТРОВСКОГО, Д. 36, КВ. 176</v>
      </c>
      <c r="H7" s="174"/>
      <c r="I7" s="174"/>
      <c r="J7" s="174"/>
      <c r="K7" s="174"/>
      <c r="L7" s="174"/>
      <c r="M7" s="174"/>
    </row>
    <row r="8" spans="1:15" ht="15" customHeight="1" x14ac:dyDescent="0.25">
      <c r="A8" s="176" t="str">
        <f>+Инвойс!A8</f>
        <v>в АКБ“KAPITAL BANK”  МФО: 01158  Swift: KACHUZ22</v>
      </c>
      <c r="B8" s="176"/>
      <c r="C8" s="176"/>
      <c r="D8" s="176"/>
      <c r="E8" s="176"/>
      <c r="F8" s="63"/>
      <c r="G8" s="174" t="str">
        <f>+Инвойс!G8</f>
        <v>ИНН/ КПП 7448223299 / 744801001</v>
      </c>
      <c r="H8" s="174"/>
      <c r="I8" s="174"/>
      <c r="J8" s="174"/>
      <c r="K8" s="174"/>
      <c r="L8" s="174"/>
      <c r="M8" s="174"/>
    </row>
    <row r="9" spans="1:15" ht="13.8" x14ac:dyDescent="0.25">
      <c r="A9" s="176" t="str">
        <f>+Инвойс!A9</f>
        <v>Доллар США: 20208840207293094001</v>
      </c>
      <c r="B9" s="176"/>
      <c r="C9" s="176"/>
      <c r="D9" s="176"/>
      <c r="E9" s="176"/>
      <c r="F9" s="7"/>
      <c r="G9" s="174" t="str">
        <f>+Инвойс!G9</f>
        <v>р/с 40702810000000024357</v>
      </c>
      <c r="H9" s="174"/>
      <c r="I9" s="174"/>
      <c r="J9" s="174"/>
      <c r="K9" s="174"/>
      <c r="L9" s="174"/>
      <c r="M9" s="174"/>
      <c r="O9" s="7"/>
    </row>
    <row r="10" spans="1:15" ht="13.8" x14ac:dyDescent="0.25">
      <c r="A10" s="176" t="str">
        <f>+Инвойс!A10</f>
        <v>Корреспондирующий банк (RUB): АКБ "Азия Инвест Банк" (АО) :</v>
      </c>
      <c r="B10" s="176"/>
      <c r="C10" s="176"/>
      <c r="D10" s="176"/>
      <c r="E10" s="176"/>
      <c r="F10" s="7"/>
      <c r="G10" s="174" t="str">
        <f>+Инвойс!G10</f>
        <v>Корр. счет: 30101810445250000234</v>
      </c>
      <c r="H10" s="174"/>
      <c r="I10" s="174"/>
      <c r="J10" s="174"/>
      <c r="K10" s="174"/>
      <c r="L10" s="174"/>
      <c r="M10" s="174"/>
    </row>
    <row r="11" spans="1:15" ht="13.8" x14ac:dyDescent="0.25">
      <c r="A11" s="176" t="str">
        <f>+Инвойс!A11</f>
        <v>SWIFT:ASIJRUMM / БИК 044525234,</v>
      </c>
      <c r="B11" s="176"/>
      <c r="C11" s="176"/>
      <c r="D11" s="176"/>
      <c r="E11" s="176"/>
      <c r="F11" s="7"/>
      <c r="G11" s="174" t="str">
        <f>+Инвойс!G11</f>
        <v>Азия-Инвест Банк (АО) г. Москва</v>
      </c>
      <c r="H11" s="174"/>
      <c r="I11" s="174"/>
      <c r="J11" s="174"/>
      <c r="K11" s="174"/>
      <c r="L11" s="174"/>
      <c r="M11" s="174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6" t="str">
        <f>+Инвойс!A15</f>
        <v>РЕСПУБЛИКА УЗБЕКИСТАН. СУРХАНДАРЬИНСКАЯ ОБЛАСТЬ,</v>
      </c>
      <c r="B15" s="176"/>
      <c r="C15" s="176"/>
      <c r="D15" s="176"/>
      <c r="E15" s="176"/>
      <c r="F15" s="7"/>
      <c r="G15" s="174" t="str">
        <f>+Инвойс!G15</f>
        <v xml:space="preserve">454106, ЧЕЛЯБИНСКАЯ ОБЛАСТЬ, Г ЧЕЛЯБИНСК, </v>
      </c>
      <c r="H15" s="174"/>
      <c r="I15" s="174"/>
      <c r="J15" s="174"/>
      <c r="K15" s="174"/>
      <c r="L15" s="174"/>
      <c r="M15" s="174"/>
    </row>
    <row r="16" spans="1:15" ht="13.8" x14ac:dyDescent="0.25">
      <c r="A16" s="176" t="str">
        <f>+Инвойс!A16</f>
        <v>ТЕРМИЗСКИЙ РАЙОН,ЯНГИХАЯТ МФЙ, УЛИЦА БОГИ ШАМОЛ, 20-А</v>
      </c>
      <c r="B16" s="176"/>
      <c r="C16" s="176"/>
      <c r="D16" s="176"/>
      <c r="E16" s="176"/>
      <c r="F16" s="63"/>
      <c r="G16" s="174" t="str">
        <f>+Инвойс!G16</f>
        <v>УЛ ОСТРОВСКОГО, Д. 36, КВ. 176</v>
      </c>
      <c r="H16" s="174"/>
      <c r="I16" s="174"/>
      <c r="J16" s="174"/>
      <c r="K16" s="174"/>
      <c r="L16" s="174"/>
      <c r="M16" s="174"/>
    </row>
    <row r="17" spans="1:17" ht="15" customHeight="1" x14ac:dyDescent="0.25">
      <c r="A17" s="176" t="str">
        <f>+Инвойс!A17</f>
        <v>в АКБ“KAPITAL BANK”  МФО: 01158  Swift: KACHUZ22</v>
      </c>
      <c r="B17" s="176"/>
      <c r="C17" s="176"/>
      <c r="D17" s="176"/>
      <c r="E17" s="176"/>
      <c r="F17" s="63"/>
      <c r="G17" s="174" t="str">
        <f>+Инвойс!G17</f>
        <v>ИНН/ КПП 7448223299 / 744801001</v>
      </c>
      <c r="H17" s="174"/>
      <c r="I17" s="174"/>
      <c r="J17" s="174"/>
      <c r="K17" s="174"/>
      <c r="L17" s="174"/>
      <c r="M17" s="174"/>
    </row>
    <row r="18" spans="1:17" ht="13.8" x14ac:dyDescent="0.25">
      <c r="A18" s="176" t="str">
        <f>+Инвойс!A18</f>
        <v>Доллар США: 20208840207293094001</v>
      </c>
      <c r="B18" s="176"/>
      <c r="C18" s="176"/>
      <c r="D18" s="176"/>
      <c r="E18" s="176"/>
      <c r="F18" s="7"/>
      <c r="G18" s="174" t="str">
        <f>+Инвойс!G18</f>
        <v>р/с 40702810000000024357</v>
      </c>
      <c r="H18" s="174"/>
      <c r="I18" s="174"/>
      <c r="J18" s="174"/>
      <c r="K18" s="174"/>
      <c r="L18" s="174"/>
      <c r="M18" s="174"/>
    </row>
    <row r="19" spans="1:17" ht="13.8" x14ac:dyDescent="0.25">
      <c r="A19" s="176" t="str">
        <f>+Инвойс!A19</f>
        <v>Корреспондирующий банк (RUB): АКБ "Азия Инвест Банк" (АО) :</v>
      </c>
      <c r="B19" s="176"/>
      <c r="C19" s="176"/>
      <c r="D19" s="176"/>
      <c r="E19" s="176"/>
      <c r="F19" s="7"/>
      <c r="G19" s="174" t="str">
        <f>+Инвойс!G19</f>
        <v>Корр. счет: 30101810445250000234</v>
      </c>
      <c r="H19" s="174"/>
      <c r="I19" s="174"/>
      <c r="J19" s="174"/>
      <c r="K19" s="174"/>
      <c r="L19" s="174"/>
      <c r="M19" s="174"/>
    </row>
    <row r="20" spans="1:17" ht="13.8" x14ac:dyDescent="0.25">
      <c r="A20" s="176" t="str">
        <f>+Инвойс!A20</f>
        <v>SWIFT:ASIJRUMM / БИК 044525234,</v>
      </c>
      <c r="B20" s="176"/>
      <c r="C20" s="176"/>
      <c r="D20" s="176"/>
      <c r="E20" s="176"/>
      <c r="F20" s="7"/>
      <c r="G20" s="174" t="str">
        <f>+Инвойс!G20</f>
        <v>Азия-Инвест Банк (АО) г. Москва</v>
      </c>
      <c r="H20" s="174"/>
      <c r="I20" s="174"/>
      <c r="J20" s="174"/>
      <c r="K20" s="174"/>
      <c r="L20" s="174"/>
      <c r="M20" s="174"/>
    </row>
    <row r="21" spans="1:17" ht="13.8" x14ac:dyDescent="0.25">
      <c r="A21" s="176"/>
      <c r="B21" s="176"/>
      <c r="C21" s="176"/>
      <c r="D21" s="176"/>
      <c r="E21" s="176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75" t="s">
        <v>113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40779RBA/401718CA</v>
      </c>
      <c r="F26" s="140"/>
      <c r="G26" s="140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23500</v>
      </c>
      <c r="H30" s="106">
        <f>+Инвойс!H30</f>
        <v>21700</v>
      </c>
      <c r="I30" s="108">
        <f>+Инвойс!I30</f>
        <v>0.25</v>
      </c>
      <c r="J30" s="13">
        <f>+Инвойс!J30</f>
        <v>5425</v>
      </c>
      <c r="K30" s="12">
        <v>0</v>
      </c>
      <c r="L30" s="12">
        <v>0</v>
      </c>
      <c r="M30" s="13">
        <f>+Инвойс!M30</f>
        <v>5425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23500</v>
      </c>
      <c r="H31" s="64">
        <f>SUM(H30:H30)</f>
        <v>21700</v>
      </c>
      <c r="I31" s="102"/>
      <c r="J31" s="17">
        <f>SUM(J30:J30)</f>
        <v>5425</v>
      </c>
      <c r="K31" s="16"/>
      <c r="L31" s="16"/>
      <c r="M31" s="17">
        <f>SUM(M30:M30)</f>
        <v>5425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четыреста двадцать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0" t="s">
        <v>150</v>
      </c>
      <c r="B36" s="130"/>
      <c r="D36" s="18" t="str">
        <f>+Инвойс!D36</f>
        <v>ЭШТЕМИРОВ Х.Х</v>
      </c>
      <c r="E36" s="131"/>
      <c r="G36" s="128" t="s">
        <v>126</v>
      </c>
      <c r="H36" s="18" t="str">
        <f>Инвойс!G5</f>
        <v>ООО «ГРИН ВОРЛД»</v>
      </c>
      <c r="K36" s="132" t="s">
        <v>139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114</v>
      </c>
    </row>
    <row r="3" spans="1:10" ht="52.8" x14ac:dyDescent="0.25">
      <c r="A3" s="129" t="s">
        <v>125</v>
      </c>
    </row>
    <row r="5" spans="1:10" ht="92.4" x14ac:dyDescent="0.25">
      <c r="A5" s="125" t="s">
        <v>152</v>
      </c>
    </row>
    <row r="6" spans="1:10" x14ac:dyDescent="0.25">
      <c r="E6" s="18" t="s">
        <v>153</v>
      </c>
      <c r="J6" s="25" t="s">
        <v>127</v>
      </c>
    </row>
    <row r="7" spans="1:10" ht="52.8" x14ac:dyDescent="0.25">
      <c r="A7" s="125" t="s">
        <v>115</v>
      </c>
    </row>
    <row r="8" spans="1:10" x14ac:dyDescent="0.25">
      <c r="E8" s="18" t="s">
        <v>154</v>
      </c>
      <c r="J8" s="25" t="s">
        <v>128</v>
      </c>
    </row>
    <row r="9" spans="1:10" ht="52.8" x14ac:dyDescent="0.25">
      <c r="A9" s="125" t="s">
        <v>116</v>
      </c>
    </row>
    <row r="10" spans="1:10" x14ac:dyDescent="0.25">
      <c r="A10" s="125"/>
      <c r="E10" s="18" t="s">
        <v>154</v>
      </c>
      <c r="J10" s="25" t="s">
        <v>129</v>
      </c>
    </row>
    <row r="11" spans="1:10" ht="52.8" x14ac:dyDescent="0.25">
      <c r="A11" s="125" t="s">
        <v>151</v>
      </c>
    </row>
    <row r="12" spans="1:10" x14ac:dyDescent="0.25">
      <c r="E12" s="18" t="s">
        <v>155</v>
      </c>
      <c r="J12" s="25" t="s">
        <v>130</v>
      </c>
    </row>
    <row r="13" spans="1:10" ht="52.8" x14ac:dyDescent="0.25">
      <c r="A13" s="125" t="s">
        <v>117</v>
      </c>
    </row>
    <row r="15" spans="1:10" ht="39.6" x14ac:dyDescent="0.25">
      <c r="A15" s="125" t="s">
        <v>118</v>
      </c>
    </row>
    <row r="17" spans="1:1" ht="39.6" x14ac:dyDescent="0.25">
      <c r="A17" s="125" t="s">
        <v>119</v>
      </c>
    </row>
    <row r="19" spans="1:1" ht="39.6" x14ac:dyDescent="0.25">
      <c r="A19" s="127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9" t="s">
        <v>32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9" ht="15.6" x14ac:dyDescent="0.3">
      <c r="E2" s="27">
        <f>Инвойс!M31</f>
        <v>5425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двадцать пять долларов США, 00 центов.</v>
      </c>
      <c r="E3" s="31"/>
      <c r="H3" s="32"/>
      <c r="J3" s="32"/>
      <c r="K3" s="32"/>
      <c r="L3" s="32"/>
      <c r="M3" s="33" t="s">
        <v>34</v>
      </c>
      <c r="N3" s="180">
        <f ca="1">TODAY()</f>
        <v>45910</v>
      </c>
      <c r="O3" s="180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четыреста двадцать пять долларов США, 00 центов. (в т.ч. НДС - 357,79)</v>
      </c>
      <c r="H4" s="32"/>
      <c r="I4" s="32"/>
      <c r="J4" s="32"/>
      <c r="K4" s="181" t="str">
        <f ca="1">CONCATENATE(" «  ",P3,"  »  ",Q3,"  ",R3," г.")</f>
        <v xml:space="preserve"> «  10  »  сентября  2025 г.</v>
      </c>
      <c r="L4" s="181"/>
      <c r="M4" s="181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двадцать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двадцать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2" t="s">
        <v>38</v>
      </c>
      <c r="I7" s="182"/>
      <c r="J7" s="182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2"/>
      <c r="I8" s="182"/>
      <c r="J8" s="182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2"/>
      <c r="I9" s="182"/>
      <c r="J9" s="182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2"/>
      <c r="I10" s="182"/>
      <c r="J10" s="182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двадцать пять долларов США, </v>
      </c>
      <c r="D11" s="47"/>
      <c r="E11" s="48"/>
      <c r="H11" s="182"/>
      <c r="I11" s="182"/>
      <c r="J11" s="182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5">
      <c r="A13" s="49"/>
      <c r="D13" s="51"/>
      <c r="E13" s="52">
        <f>TRUNC(E2)</f>
        <v>5425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5425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425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3" t="s">
        <v>81</v>
      </c>
      <c r="B44" s="183"/>
      <c r="C44" s="183"/>
      <c r="D44" s="183"/>
      <c r="E44" s="183"/>
      <c r="F44" s="183"/>
      <c r="G44" s="183"/>
      <c r="H44" s="183"/>
      <c r="I44" s="183"/>
      <c r="J44" s="178" t="s">
        <v>82</v>
      </c>
      <c r="K44" s="178"/>
    </row>
    <row r="45" spans="1:11" s="43" customFormat="1" x14ac:dyDescent="0.25">
      <c r="A45" s="183"/>
      <c r="B45" s="183"/>
      <c r="C45" s="183"/>
      <c r="D45" s="183"/>
      <c r="E45" s="183"/>
      <c r="F45" s="183"/>
      <c r="G45" s="183"/>
      <c r="H45" s="183"/>
      <c r="I45" s="183"/>
      <c r="J45" s="178"/>
      <c r="K45" s="178"/>
    </row>
    <row r="46" spans="1:11" s="43" customFormat="1" x14ac:dyDescent="0.25">
      <c r="B46" s="61"/>
      <c r="C46" s="61"/>
      <c r="G46" s="177" t="s">
        <v>83</v>
      </c>
      <c r="H46" s="177"/>
      <c r="I46" s="177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8" t="s">
        <v>85</v>
      </c>
      <c r="B100" s="178"/>
      <c r="C100" s="178"/>
      <c r="D100" s="178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2025-09-10T16:40:02Z</cp:lastPrinted>
  <dcterms:created xsi:type="dcterms:W3CDTF">1996-10-14T23:33:28Z</dcterms:created>
  <dcterms:modified xsi:type="dcterms:W3CDTF">2025-09-10T16:40:04Z</dcterms:modified>
</cp:coreProperties>
</file>