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AB8F3BB-FA99-45F1-8A26-5F9E4915F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<sst xmlns="http://schemas.openxmlformats.org/spreadsheetml/2006/main" count="211" uniqueCount="164">
  <si>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</si>
  <si>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</si>
  <si>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</si>
  <si>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</si>
  <si>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</si>
  <si>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</si>
  <si>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</si>
  <si>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</si>
  <si>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</si>
  <si>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</si>
  <si>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</si>
  <si>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</si>
  <si>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</si>
  <si>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</si>
  <si>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</si>
  <si>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</si>
  <si>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</si>
  <si>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</si>
  <si>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</si>
  <si>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</si>
  <si>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</si>
  <si>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</si>
  <si>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</si>
  <si>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</si>
  <si>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</si>
  <si>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</si>
  <si>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</si>
  <si>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</si>
  <si>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</si>
  <si>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</si>
  <si>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</si>
  <si>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</si>
  <si>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</si>
  <si>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</si>
  <si>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</si>
  <si>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</si>
  <si>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</si>
  <si>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</si>
  <si>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</si>
  <si>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</si>
  <si>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</si>
  <si>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</si>
  <si>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</si>
  <si>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</si>
  <si>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</si>
  <si>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</si>
  <si>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</si>
  <si>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</si>
  <si>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</si>
  <si>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</si>
  <si>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</si>
  <si>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</si>
  <si>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</si>
  <si>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</si>
  <si>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</si>
  <si>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</si>
  <si>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</si>
  <si>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</si>
  <si>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</si>
  <si>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</si>
  <si>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</si>
  <si>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</si>
  <si>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</si>
  <si>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</si>
  <si>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</si>
  <si>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</si>
  <si>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</si>
  <si>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</si>
  <si>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</si>
  <si>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</si>
  <si>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</si>
  <si>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</si>
  <si>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</si>
  <si>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</si>
  <si>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</si>
  <si>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</si>
  <si>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</si>
  <si>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</si>
  <si>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</si>
  <si>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</si>
  <si>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</si>
  <si>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</si>
  <si>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</si>
  <si>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</si>
  <si>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</si>
  <si>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</si>
  <si>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</si>
  <si>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</si>
  <si>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</si>
  <si>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</si>
  <si>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</si>
  <si>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</si>
  <si>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</si>
  <si>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</si>
  <si>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</si>
  <si>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</si>
  <si>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</si>
  <si>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</si>
  <si>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</si>
  <si>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</si>
  <si>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</si>
  <si>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</si>
  <si>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</si>
  <si>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</si>
  <si>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</si>
  <si>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</si>
  <si>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</si>
  <si>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</si>
  <si>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</si>
  <si>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</si>
  <si>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</si>
  <si>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</si>
  <si>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</si>
  <si>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</si>
  <si>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</si>
  <si>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</si>
  <si>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</si>
  <si>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</si>
  <si>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</si>
  <si>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</si>
  <si>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</si>
  <si>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</si>
  <si>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</si>
  <si>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</si>
  <si>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</si>
  <si>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</si>
  <si>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</si>
  <si>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</si>
  <si>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</si>
  <si>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</si>
  <si>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</si>
  <si>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</si>
  <si>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</si>
  <si>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</si>
  <si>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</si>
  <si>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</si>
  <si>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</si>
  <si>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</si>
  <si>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</si>
  <si>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</si>
  <si>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</si>
  <si>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</si>
  <si>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</si>
  <si>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</si>
  <si>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</si>
  <si>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</si>
  <si>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</si>
  <si>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</si>
  <si>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</si>
  <si>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</si>
  <si>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</si>
  <si>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</si>
  <si>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</si>
  <si>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</si>
  <si>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</si>
  <si>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</si>
  <si>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</si>
  <si>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</si>
  <si>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</si>
  <si>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</si>
  <si>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UFG-M-5 от </t>
  </si>
  <si>
    <t xml:space="preserve"> 26.08.2025г.</t>
  </si>
  <si>
    <t>10858WBA/108171AA</t>
  </si>
  <si>
    <t xml:space="preserve">СПЕЦИФИКАЦИЯ № UFG-M-5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</si>
</sst>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159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134</v>
      </c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1140</v>
      </c>
      <c r="F30" s="110" t="s">
        <v>27</v>
      </c>
      <c r="G30" s="106">
        <v>22860</v>
      </c>
      <c r="H30" s="106">
        <v>20808</v>
      </c>
      <c r="I30" s="108">
        <v>0.25</v>
      </c>
      <c r="J30" s="13">
        <f t="shared" ref="J30" si="0">H30*I30</f>
        <v>5202</v>
      </c>
      <c r="K30" s="12">
        <v>0</v>
      </c>
      <c r="L30" s="12">
        <v>0</v>
      </c>
      <c r="M30" s="13">
        <f t="shared" ref="M30" si="1">J30</f>
        <v>5202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1140</v>
      </c>
      <c r="F31" s="15"/>
      <c r="G31" s="64">
        <f>SUM(G30:G30)</f>
        <v>22860</v>
      </c>
      <c r="H31" s="64">
        <f>SUM(H30:H30)</f>
        <v>20808</v>
      </c>
      <c r="I31" s="102"/>
      <c r="J31" s="17">
        <f>SUM(J30:J30)</f>
        <v>5202</v>
      </c>
      <c r="K31" s="16"/>
      <c r="L31" s="16"/>
      <c r="M31" s="17">
        <f>SUM(M30:M30)</f>
        <v>5202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два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5" sqref="F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UFG-M-5 от  26.08.2025г.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1140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22860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26.08.2025г.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10858WBA/108171AA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zoomScaleNormal="100" workbookViewId="0">
      <selection activeCell="G34" sqref="G34:H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10858WBA/108171AA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26.08.2025г.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UFG-M-5 от  26.08.2025г.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1140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22860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1140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26.08.2025г.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Жибек Жолы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10858WBA/108171AA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1140</v>
      </c>
      <c r="F30" s="116" t="str">
        <f>+Инвойс!F30</f>
        <v>кг</v>
      </c>
      <c r="G30" s="106">
        <f>+Инвойс!G30</f>
        <v>22860</v>
      </c>
      <c r="H30" s="106">
        <f>+Инвойс!H30</f>
        <v>20808</v>
      </c>
      <c r="I30" s="108">
        <f>+Инвойс!I30</f>
        <v>0.25</v>
      </c>
      <c r="J30" s="13">
        <f>+Инвойс!J30</f>
        <v>5202</v>
      </c>
      <c r="K30" s="12">
        <v>0</v>
      </c>
      <c r="L30" s="12">
        <v>0</v>
      </c>
      <c r="M30" s="13">
        <f>+Инвойс!M30</f>
        <v>5202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1140</v>
      </c>
      <c r="F31" s="15"/>
      <c r="G31" s="64">
        <f>SUM(G30:G30)</f>
        <v>22860</v>
      </c>
      <c r="H31" s="64">
        <f>SUM(H30:H30)</f>
        <v>20808</v>
      </c>
      <c r="I31" s="102"/>
      <c r="J31" s="17">
        <f>SUM(J30:J30)</f>
        <v>5202</v>
      </c>
      <c r="K31" s="16"/>
      <c r="L31" s="16"/>
      <c r="M31" s="17">
        <f>SUM(M30:M30)</f>
        <v>5202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два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0" sqref="E10:G10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5202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два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45895</v>
      </c>
      <c r="O3" s="178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два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26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два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два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5">
      <c r="A13" s="49"/>
      <c r="D13" s="51"/>
      <c r="E13" s="52">
        <f>TRUNC(E2)</f>
        <v>5202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5202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202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2025-08-26T07:13:45Z</cp:lastPrinted>
  <dcterms:created xsi:type="dcterms:W3CDTF">1996-10-14T23:33:28Z</dcterms:created>
  <dcterms:modified xsi:type="dcterms:W3CDTF">2025-08-26T07:13:53Z</dcterms:modified>
</cp:coreProperties>
</file>