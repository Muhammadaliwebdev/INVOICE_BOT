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<sst xmlns="http://schemas.openxmlformats.org/spreadsheetml/2006/main" count="201" uniqueCount="163">
  <si>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</si>
  <si>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</si>
  <si>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</si>
  <si>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</si>
  <si>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</si>
  <si>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</si>
  <si>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</si>
  <si>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</si>
  <si>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</si>
  <si>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</si>
  <si>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</si>
  <si>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</si>
  <si>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</si>
  <si>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</si>
  <si>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</si>
  <si>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</si>
  <si>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</si>
  <si>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</si>
  <si>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</si>
  <si>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</si>
  <si>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</si>
  <si>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</si>
  <si>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</si>
  <si>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</si>
  <si>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</si>
  <si>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</si>
  <si>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</si>
  <si>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</si>
  <si>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</si>
  <si>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</si>
  <si>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</si>
  <si>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</si>
  <si>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</si>
  <si>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</si>
  <si>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</si>
  <si>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</si>
  <si>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</si>
  <si>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</si>
  <si>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</si>
  <si>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</si>
  <si>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</si>
  <si>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</si>
  <si>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</si>
  <si>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</si>
  <si>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</si>
  <si>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</si>
  <si>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</si>
  <si>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</si>
  <si>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</si>
  <si>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</si>
  <si>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</si>
  <si>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</si>
  <si>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</si>
  <si>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</si>
  <si>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</si>
  <si>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</si>
  <si>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</si>
  <si>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</si>
  <si>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</si>
  <si>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</si>
  <si>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</si>
  <si>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</si>
  <si>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</si>
  <si>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</si>
  <si>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</si>
  <si>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</si>
  <si>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</si>
  <si>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</si>
  <si>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</si>
  <si>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</si>
  <si>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</si>
  <si>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</si>
  <si>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</si>
  <si>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</si>
  <si>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</si>
  <si>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</si>
  <si>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</si>
  <si>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</si>
  <si>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</si>
  <si>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</si>
  <si>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</si>
  <si>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</si>
  <si>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</si>
  <si>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</si>
  <si>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</si>
  <si>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</si>
  <si>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</si>
  <si>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</si>
  <si>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</si>
  <si>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</si>
  <si>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</si>
  <si>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</si>
  <si>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</si>
  <si>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</si>
  <si>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</si>
  <si>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</si>
  <si>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</si>
  <si>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</si>
  <si>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</si>
  <si>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</si>
  <si>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</si>
  <si>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</si>
  <si>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</si>
  <si>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</si>
  <si>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</si>
  <si>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</si>
  <si>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</si>
  <si>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</si>
  <si>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</si>
  <si>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</si>
  <si>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</si>
  <si>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</si>
  <si>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</si>
  <si>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</si>
  <si>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</si>
  <si>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</si>
  <si>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</si>
  <si>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</si>
  <si>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</si>
  <si>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</si>
  <si>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</si>
  <si>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</si>
  <si>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</si>
  <si>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</si>
  <si>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</si>
  <si>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</si>
  <si>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</si>
  <si>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</si>
  <si>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</si>
  <si>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</si>
  <si>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</si>
  <si>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</si>
  <si>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</si>
  <si>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</si>
  <si>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</si>
  <si>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</si>
  <si>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</si>
  <si>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</si>
  <si>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</si>
  <si>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</si>
  <si>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</si>
  <si>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</si>
  <si>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</si>
  <si>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</si>
  <si>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</si>
  <si>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</si>
  <si>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</si>
  <si>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</si>
  <si>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</si>
  <si>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</si>
  <si>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</si>
  <si>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</si>
  <si>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</si>
  <si>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</si>
  <si>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</si>
  <si>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</si>
  <si>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</si>
  <si>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</si>
  <si>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</si>
  <si>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EXZ-N-10 от </t>
  </si>
  <si>
    <t xml:space="preserve"> 07.09.2025г.</t>
  </si>
  <si>
    <t>30Q750PB/300827BA</t>
  </si>
  <si>
    <t xml:space="preserve">СПЕЦИФИКАЦИЯ № EXZ-N-10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</si>
</sst>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">
        <v>140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">
        <v>129</v>
      </c>
      <c r="B5" s="155"/>
      <c r="C5" s="155"/>
      <c r="D5" s="155"/>
      <c r="E5" s="155"/>
      <c r="F5" s="6"/>
      <c r="G5" s="148" t="s">
        <v>141</v>
      </c>
      <c r="H5" s="148"/>
      <c r="I5" s="148"/>
      <c r="J5" s="148"/>
      <c r="K5" s="148"/>
      <c r="L5" s="148"/>
      <c r="M5" s="148"/>
    </row>
    <row r="6" spans="1:15" ht="15" customHeight="1">
      <c r="A6" s="143" t="s">
        <v>130</v>
      </c>
      <c r="B6" s="142"/>
      <c r="C6" s="142"/>
      <c r="D6" s="142"/>
      <c r="E6" s="142"/>
      <c r="F6" s="7"/>
      <c r="G6" s="141" t="s">
        <v>142</v>
      </c>
      <c r="H6" s="141"/>
      <c r="I6" s="141"/>
      <c r="J6" s="141"/>
      <c r="K6" s="141"/>
      <c r="L6" s="141"/>
      <c r="M6" s="141"/>
      <c r="N6" s="4"/>
    </row>
    <row r="7" spans="1:15" ht="15">
      <c r="A7" s="142" t="s">
        <v>131</v>
      </c>
      <c r="B7" s="142"/>
      <c r="C7" s="142"/>
      <c r="D7" s="142"/>
      <c r="E7" s="142"/>
      <c r="F7" s="63"/>
      <c r="G7" s="141" t="s">
        <v>143</v>
      </c>
      <c r="H7" s="141"/>
      <c r="I7" s="141"/>
      <c r="J7" s="141"/>
      <c r="K7" s="141"/>
      <c r="L7" s="141"/>
      <c r="M7" s="141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">
        <v>129</v>
      </c>
      <c r="B14" s="155"/>
      <c r="C14" s="155"/>
      <c r="D14" s="155"/>
      <c r="E14" s="155"/>
      <c r="F14" s="6"/>
      <c r="G14" s="148" t="s">
        <v>148</v>
      </c>
      <c r="H14" s="148"/>
      <c r="I14" s="148"/>
      <c r="J14" s="148"/>
      <c r="K14" s="148"/>
      <c r="L14" s="148"/>
      <c r="M14" s="148"/>
    </row>
    <row r="15" spans="1:15" ht="13.9" customHeight="1">
      <c r="A15" s="143" t="s">
        <v>130</v>
      </c>
      <c r="B15" s="142"/>
      <c r="C15" s="142"/>
      <c r="D15" s="142"/>
      <c r="E15" s="142"/>
      <c r="F15" s="7"/>
      <c r="G15" s="141" t="s">
        <v>149</v>
      </c>
      <c r="H15" s="142"/>
      <c r="I15" s="142"/>
      <c r="J15" s="142"/>
      <c r="K15" s="142"/>
      <c r="L15" s="142"/>
      <c r="M15" s="142"/>
    </row>
    <row r="16" spans="1:15" ht="15">
      <c r="A16" s="142" t="s">
        <v>131</v>
      </c>
      <c r="B16" s="142"/>
      <c r="C16" s="142"/>
      <c r="D16" s="142"/>
      <c r="E16" s="142"/>
      <c r="F16" s="63"/>
      <c r="G16" s="141" t="s">
        <v>150</v>
      </c>
      <c r="H16" s="141"/>
      <c r="I16" s="141"/>
      <c r="J16" s="141"/>
      <c r="K16" s="141"/>
      <c r="L16" s="141"/>
      <c r="M16" s="141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915</v>
      </c>
      <c r="F30" s="110" t="s">
        <v>27</v>
      </c>
      <c r="G30" s="106">
        <v>22790</v>
      </c>
      <c r="H30" s="106">
        <v>21143</v>
      </c>
      <c r="I30" s="108">
        <v>0.2</v>
      </c>
      <c r="J30" s="13">
        <f t="shared" ref="J30" si="0">H30*I30</f>
        <v>4228.6000000000004</v>
      </c>
      <c r="K30" s="12">
        <v>0</v>
      </c>
      <c r="L30" s="12">
        <v>0</v>
      </c>
      <c r="M30" s="13">
        <f t="shared" ref="M30" si="1">J30</f>
        <v>4228.6000000000004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22790</v>
      </c>
      <c r="H31" s="64">
        <f>SUM(H30:H30)</f>
        <v>21143</v>
      </c>
      <c r="I31" s="102"/>
      <c r="J31" s="17">
        <f>SUM(J30:J30)</f>
        <v>4228.6000000000004</v>
      </c>
      <c r="K31" s="16"/>
      <c r="L31" s="16"/>
      <c r="M31" s="17">
        <f>SUM(M30:M30)</f>
        <v>4228.6000000000004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четыре тысячи двести двадцать восемь долларов США, 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D49" sqref="D49:F49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EXZ-N-10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22790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30Q750PB/300827BA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H46" sqref="H46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8" t="s">
        <v>96</v>
      </c>
      <c r="C2" s="168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9" t="str">
        <f>+Инвойс!E26</f>
        <v>30Q750PB/300827BA</v>
      </c>
      <c r="C14" s="169"/>
      <c r="D14" s="169"/>
      <c r="E14" s="169"/>
      <c r="F14" s="169"/>
      <c r="G14" s="169"/>
      <c r="H14" s="170" t="s">
        <v>106</v>
      </c>
      <c r="I14" s="170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EXZ-N-10 от  07.09.2025г.</v>
      </c>
      <c r="I15" s="171"/>
      <c r="J15" s="171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915</v>
      </c>
      <c r="G18" s="163" t="str">
        <f>+CMR!F30</f>
        <v>Дыни свежие</v>
      </c>
      <c r="H18" s="163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22790</v>
      </c>
    </row>
    <row r="20" spans="2:10" ht="13.5" customHeight="1">
      <c r="B20" s="83"/>
      <c r="E20" s="123"/>
      <c r="F20" s="118"/>
      <c r="G20" s="163"/>
      <c r="H20" s="163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3"/>
      <c r="H22" s="163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3"/>
      <c r="H24" s="163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3"/>
      <c r="H26" s="163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3"/>
      <c r="H28" s="163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3"/>
      <c r="H30" s="163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3"/>
      <c r="H32" s="163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3"/>
      <c r="H34" s="163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3"/>
      <c r="H36" s="163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3"/>
      <c r="H38" s="163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3"/>
      <c r="H40" s="163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3"/>
      <c r="H42" s="163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5"/>
      <c r="H44" s="165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6">
        <f>+F18+F20+F22+F24+F26+F28+F30+F32+F34+F36+F38+F40+F42</f>
        <v>915</v>
      </c>
      <c r="E47" s="167"/>
    </row>
    <row r="48" spans="2:10" ht="17.25" customHeight="1">
      <c r="B48" s="164" t="s">
        <v>104</v>
      </c>
      <c r="C48" s="164"/>
      <c r="D48" s="164"/>
      <c r="E48" s="164"/>
    </row>
    <row r="49" spans="2:5" ht="21.75" customHeight="1">
      <c r="B49" s="164"/>
      <c r="C49" s="164"/>
      <c r="D49" s="164"/>
      <c r="E49" s="164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L24" sqref="L24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2" t="s">
        <v>162</v>
      </c>
      <c r="C1" s="172"/>
      <c r="D1" s="172"/>
      <c r="E1" s="172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tr">
        <f>+Инвойс!E26</f>
        <v>30Q750PB/300827BA</v>
      </c>
      <c r="F26" s="140"/>
      <c r="G26" s="140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915</v>
      </c>
      <c r="F30" s="116" t="str">
        <f>+Инвойс!F30</f>
        <v>кг</v>
      </c>
      <c r="G30" s="106">
        <f>+Инвойс!G30</f>
        <v>22790</v>
      </c>
      <c r="H30" s="106">
        <f>+Инвойс!H30</f>
        <v>21143</v>
      </c>
      <c r="I30" s="108">
        <f>+Инвойс!I30</f>
        <v>0.2</v>
      </c>
      <c r="J30" s="13">
        <f>+Инвойс!J30</f>
        <v>4228.6000000000004</v>
      </c>
      <c r="K30" s="12">
        <v>0</v>
      </c>
      <c r="L30" s="12">
        <v>0</v>
      </c>
      <c r="M30" s="13">
        <f>+Инвойс!M30</f>
        <v>4228.6000000000004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22790</v>
      </c>
      <c r="H31" s="64">
        <f>SUM(H30:H30)</f>
        <v>21143</v>
      </c>
      <c r="I31" s="102"/>
      <c r="J31" s="17">
        <f>SUM(J30:J30)</f>
        <v>4228.6000000000004</v>
      </c>
      <c r="K31" s="16"/>
      <c r="L31" s="16"/>
      <c r="M31" s="17">
        <f>SUM(M30:M30)</f>
        <v>4228.6000000000004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четыре тысячи двести двадцать восемь долларов США, 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157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4228.6000000000004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четыре тысячи двести двадцать восемь долларов США, 60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четыре тысячи двести двадцать восемь долларов США, 60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четыре тысячи двести двадцать восемь долларов США, 60 центов.</v>
      </c>
    </row>
    <row r="6" spans="1:19" s="36" customFormat="1">
      <c r="A6" s="38" t="s">
        <v>37</v>
      </c>
      <c r="B6" s="36" t="str">
        <f>CONCATENATE(A8,A9,A10,A11,A12,B8,B9,C9)</f>
        <v>четыре тысячи двести двадцать восемь долларов США, 60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�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двести двадцать восемь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60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4228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>
      <c r="A29" s="54">
        <f>E13</f>
        <v>4228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228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2025-09-07T15:34:35Z</cp:lastPrinted>
  <dcterms:created xsi:type="dcterms:W3CDTF">1996-10-14T23:33:28Z</dcterms:created>
  <dcterms:modified xsi:type="dcterms:W3CDTF">2025-09-07T15:34:39Z</dcterms:modified>
</cp:coreProperties>
</file>