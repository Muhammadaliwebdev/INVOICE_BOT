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30AF790-8ED0-457D-94A2-67A45D08B0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C10" i="4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<sst xmlns="http://schemas.openxmlformats.org/spreadsheetml/2006/main" count="202" uniqueCount="164">
  <si>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</si>
  <si>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</si>
  <si>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</si>
  <si>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</si>
  <si>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</si>
  <si>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</si>
  <si>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</si>
  <si>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</si>
  <si>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</si>
  <si>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</si>
  <si>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</si>
  <si>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</si>
  <si>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</si>
  <si>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</si>
  <si>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</si>
  <si>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</si>
  <si>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</si>
  <si>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</si>
  <si>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</si>
  <si>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</si>
  <si>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</si>
  <si>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</si>
  <si>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</si>
  <si>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</si>
  <si>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</si>
  <si>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</si>
  <si>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</si>
  <si>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</si>
  <si>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</si>
  <si>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</si>
  <si>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</si>
  <si>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</si>
  <si>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</si>
  <si>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</si>
  <si>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</si>
  <si>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</si>
  <si>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</si>
  <si>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</si>
  <si>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</si>
  <si>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</si>
  <si>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</si>
  <si>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</si>
  <si>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</si>
  <si>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</si>
  <si>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</si>
  <si>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</si>
  <si>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</si>
  <si>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</si>
  <si>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</si>
  <si>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</si>
  <si>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</si>
  <si>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</si>
  <si>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</si>
  <si>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</si>
  <si>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</si>
  <si>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</si>
  <si>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</si>
  <si>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</si>
  <si>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</si>
  <si>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</si>
  <si>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</si>
  <si>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</si>
  <si>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</si>
  <si>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</si>
  <si>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</si>
  <si>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</si>
  <si>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</si>
  <si>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</si>
  <si>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</si>
  <si>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</si>
  <si>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</si>
  <si>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</si>
  <si>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</si>
  <si>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</si>
  <si>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</si>
  <si>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</si>
  <si>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</si>
  <si>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</si>
  <si>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</si>
  <si>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</si>
  <si>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</si>
  <si>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</si>
  <si>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</si>
  <si>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</si>
  <si>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</si>
  <si>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</si>
  <si>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</si>
  <si>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</si>
  <si>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</si>
  <si>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</si>
  <si>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</si>
  <si>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</si>
  <si>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</si>
  <si>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</si>
  <si>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</si>
  <si>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</si>
  <si>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</si>
  <si>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</si>
  <si>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</si>
  <si>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</si>
  <si>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</si>
  <si>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</si>
  <si>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</si>
  <si>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</si>
  <si>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</si>
  <si>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</si>
  <si>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</si>
  <si>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</si>
  <si>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</si>
  <si>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</si>
  <si>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</si>
  <si>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</si>
  <si>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</si>
  <si>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</si>
  <si>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</si>
  <si>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</si>
  <si>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</si>
  <si>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</si>
  <si>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</si>
  <si>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</si>
  <si>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</si>
  <si>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</si>
  <si>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</si>
  <si>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</si>
  <si>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</si>
  <si>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</si>
  <si>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</si>
  <si>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</si>
  <si>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</si>
  <si>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</si>
  <si>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</si>
  <si>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</si>
  <si>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</si>
  <si>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</si>
  <si>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</si>
  <si>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</si>
  <si>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</si>
  <si>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</si>
  <si>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</si>
  <si>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</si>
  <si>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</si>
  <si>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к контракту № EG-AZ-01 от 05.09.2025 года</t>
  </si>
  <si>
    <t>ООО «Аспект»</t>
  </si>
  <si>
    <t xml:space="preserve">107497, Россия, г. Москва, вн.тер.г. муниципальный </t>
  </si>
  <si>
    <t xml:space="preserve">округ Гольяново, 2-й Иртышский пр-в, д. 4Б, стр. 3 </t>
  </si>
  <si>
    <t>ИНН/ КПП 9718239835  / 771801001</t>
  </si>
  <si>
    <t xml:space="preserve">Валютный счет доллары  40702840100000005715 </t>
  </si>
  <si>
    <t>КБ "Максима"(ООО), г. Москва РФ</t>
  </si>
  <si>
    <t>(SWIFT code: MAXMRUM1XXX)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</si>
  <si>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</si>
  <si>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</si>
  <si>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</si>
  <si>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</si>
  <si>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</si>
  <si>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</si>
  <si>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</si>
  <si>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По поручению</t>
  </si>
  <si>
    <t>Трунтаев Д.В.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</si>
  <si>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</si>
  <si>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>FCA - г.Ташкент , Республика Узбекистан</t>
  </si>
  <si>
    <t xml:space="preserve">ИНВОЙС № EXZ-N-19 от </t>
  </si>
  <si>
    <t xml:space="preserve"> 09.09.2025г.</t>
  </si>
  <si>
    <t>80389YBA/804081BA</t>
  </si>
  <si>
    <t xml:space="preserve">СПЕЦИФИКАЦИЯ № EXZ-N-19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</si>
</sst>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36</xdr:row>
      <xdr:rowOff>123262</xdr:rowOff>
    </xdr:from>
    <xdr:to>
      <xdr:col>3</xdr:col>
      <xdr:colOff>439882</xdr:colOff>
      <xdr:row>50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36</xdr:row>
      <xdr:rowOff>78440</xdr:rowOff>
    </xdr:from>
    <xdr:to>
      <xdr:col>5</xdr:col>
      <xdr:colOff>179852</xdr:colOff>
      <xdr:row>39</xdr:row>
      <xdr:rowOff>173915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37</xdr:row>
      <xdr:rowOff>11205</xdr:rowOff>
    </xdr:from>
    <xdr:to>
      <xdr:col>2</xdr:col>
      <xdr:colOff>427079</xdr:colOff>
      <xdr:row>50</xdr:row>
      <xdr:rowOff>100853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36</xdr:row>
      <xdr:rowOff>156882</xdr:rowOff>
    </xdr:from>
    <xdr:to>
      <xdr:col>4</xdr:col>
      <xdr:colOff>112618</xdr:colOff>
      <xdr:row>40</xdr:row>
      <xdr:rowOff>69475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425824</xdr:colOff>
      <xdr:row>36</xdr:row>
      <xdr:rowOff>56029</xdr:rowOff>
    </xdr:from>
    <xdr:to>
      <xdr:col>11</xdr:col>
      <xdr:colOff>231957</xdr:colOff>
      <xdr:row>50</xdr:row>
      <xdr:rowOff>22409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832C022-8DFF-4228-88E5-C17AD45B1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00383" y="19083617"/>
          <a:ext cx="2573986" cy="2330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160</v>
      </c>
      <c r="D1" s="135"/>
      <c r="E1" s="135"/>
      <c r="F1" s="134" t="s">
        <v>161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141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130</v>
      </c>
      <c r="B5" s="136"/>
      <c r="C5" s="136"/>
      <c r="D5" s="136"/>
      <c r="E5" s="136"/>
      <c r="F5" s="6"/>
      <c r="G5" s="138" t="s">
        <v>142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131</v>
      </c>
      <c r="B6" s="143"/>
      <c r="C6" s="143"/>
      <c r="D6" s="143"/>
      <c r="E6" s="143"/>
      <c r="F6" s="7"/>
      <c r="G6" s="140" t="s">
        <v>143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132</v>
      </c>
      <c r="B7" s="143"/>
      <c r="C7" s="143"/>
      <c r="D7" s="143"/>
      <c r="E7" s="143"/>
      <c r="F7" s="63"/>
      <c r="G7" s="140" t="s">
        <v>144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145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134</v>
      </c>
      <c r="B9" s="8"/>
      <c r="C9" s="8"/>
      <c r="D9" s="8"/>
      <c r="E9" s="8"/>
      <c r="F9" s="7"/>
      <c r="G9" s="7" t="s">
        <v>146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135</v>
      </c>
      <c r="B10" s="125"/>
      <c r="C10" s="125"/>
      <c r="D10" s="125"/>
      <c r="E10" s="125"/>
      <c r="F10" s="7"/>
      <c r="G10" s="7" t="s">
        <v>147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136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137</v>
      </c>
      <c r="B12" s="8"/>
      <c r="C12" s="8"/>
      <c r="D12" s="8"/>
      <c r="E12" s="8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130</v>
      </c>
      <c r="B14" s="136"/>
      <c r="C14" s="136"/>
      <c r="D14" s="136"/>
      <c r="E14" s="136"/>
      <c r="F14" s="6"/>
      <c r="G14" s="138" t="s">
        <v>149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131</v>
      </c>
      <c r="B15" s="143"/>
      <c r="C15" s="143"/>
      <c r="D15" s="143"/>
      <c r="E15" s="143"/>
      <c r="F15" s="7"/>
      <c r="G15" s="140" t="s">
        <v>150</v>
      </c>
      <c r="H15" s="143"/>
      <c r="I15" s="143"/>
      <c r="J15" s="143"/>
      <c r="K15" s="143"/>
      <c r="L15" s="143"/>
      <c r="M15" s="143"/>
    </row>
    <row r="16" spans="1:15" ht="13.8" x14ac:dyDescent="0.25">
      <c r="A16" s="143" t="s">
        <v>132</v>
      </c>
      <c r="B16" s="143"/>
      <c r="C16" s="143"/>
      <c r="D16" s="143"/>
      <c r="E16" s="143"/>
      <c r="F16" s="63"/>
      <c r="G16" s="140" t="s">
        <v>151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152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134</v>
      </c>
      <c r="B18" s="8"/>
      <c r="C18" s="8"/>
      <c r="D18" s="8"/>
      <c r="E18" s="8"/>
      <c r="F18" s="7"/>
      <c r="G18" s="8" t="s">
        <v>153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135</v>
      </c>
      <c r="B19" s="125"/>
      <c r="C19" s="125"/>
      <c r="D19" s="125"/>
      <c r="E19" s="125"/>
      <c r="F19" s="7"/>
      <c r="G19" s="7" t="s">
        <v>154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136</v>
      </c>
      <c r="B20" s="8"/>
      <c r="C20" s="8"/>
      <c r="D20" s="8"/>
      <c r="E20" s="8"/>
      <c r="F20" s="7"/>
      <c r="G20" s="7" t="s">
        <v>155</v>
      </c>
      <c r="H20" s="23"/>
      <c r="I20" s="23"/>
      <c r="J20" s="23"/>
    </row>
    <row r="21" spans="1:17" ht="13.8" x14ac:dyDescent="0.25">
      <c r="A21" s="99" t="s">
        <v>137</v>
      </c>
      <c r="B21" s="8"/>
      <c r="C21" s="8"/>
      <c r="D21" s="8"/>
      <c r="E21" s="8"/>
      <c r="G21" s="139"/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127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159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162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01" t="s">
        <v>123</v>
      </c>
      <c r="C30" s="107" t="s">
        <v>122</v>
      </c>
      <c r="D30" s="109" t="s">
        <v>111</v>
      </c>
      <c r="E30" s="101">
        <v>2235</v>
      </c>
      <c r="F30" s="110" t="s">
        <v>27</v>
      </c>
      <c r="G30" s="106">
        <v>22500</v>
      </c>
      <c r="H30" s="106">
        <v>20936</v>
      </c>
      <c r="I30" s="108">
        <v>1</v>
      </c>
      <c r="J30" s="13">
        <f t="shared" ref="J30" si="0">H30*I30</f>
        <v>20936</v>
      </c>
      <c r="K30" s="12">
        <v>0</v>
      </c>
      <c r="L30" s="12">
        <v>0</v>
      </c>
      <c r="M30" s="13">
        <f t="shared" ref="M30" si="1">J30</f>
        <v>20936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2235</v>
      </c>
      <c r="F31" s="15"/>
      <c r="G31" s="64">
        <f>SUM(G30:G30)</f>
        <v>22500</v>
      </c>
      <c r="H31" s="64">
        <f>SUM(H30:H30)</f>
        <v>20936</v>
      </c>
      <c r="I31" s="102"/>
      <c r="J31" s="17">
        <f>SUM(J30:J30)</f>
        <v>20936</v>
      </c>
      <c r="K31" s="16"/>
      <c r="L31" s="16"/>
      <c r="M31" s="17">
        <f>SUM(M30:M30)</f>
        <v>20936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Двадцать тысяч девятьсот тридцать шесть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138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F32" sqref="F32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156</v>
      </c>
      <c r="C10" s="70" t="str">
        <f>+Инвойс!G5</f>
        <v>ООО «Аспект»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09.09.2025г.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EXZ-N-19 от  09.09.2025г.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2235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09.09.2025г.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80389YBA/804081BA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K37" sqref="K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80389YBA/804081BA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09.09.2025г.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EXZ-N-19 от  09.09.2025г.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2235</v>
      </c>
      <c r="G18" s="167" t="str">
        <f>+CMR!F30</f>
        <v>Виноград свежий столовых сортов</v>
      </c>
      <c r="H18" s="167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1" t="str">
        <f>+Инвойс!C30</f>
        <v>0806101001</v>
      </c>
      <c r="H19" s="162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7"/>
      <c r="H20" s="167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1"/>
      <c r="H21" s="162"/>
      <c r="I21" s="122"/>
      <c r="J21" s="120"/>
    </row>
    <row r="22" spans="2:10" ht="12.75" customHeight="1" x14ac:dyDescent="0.3">
      <c r="B22" s="83"/>
      <c r="E22" s="123"/>
      <c r="F22" s="118"/>
      <c r="G22" s="167"/>
      <c r="H22" s="167"/>
      <c r="I22" s="119"/>
      <c r="J22" s="120"/>
    </row>
    <row r="23" spans="2:10" ht="14.25" customHeight="1" x14ac:dyDescent="0.3">
      <c r="B23" s="83"/>
      <c r="E23" s="123"/>
      <c r="F23" s="121"/>
      <c r="G23" s="161"/>
      <c r="H23" s="162"/>
      <c r="I23" s="122"/>
      <c r="J23" s="120"/>
    </row>
    <row r="24" spans="2:10" ht="12.75" customHeight="1" x14ac:dyDescent="0.3">
      <c r="B24" s="87"/>
      <c r="E24" s="123"/>
      <c r="F24" s="118"/>
      <c r="G24" s="167"/>
      <c r="H24" s="167"/>
      <c r="I24" s="119"/>
      <c r="J24" s="120"/>
    </row>
    <row r="25" spans="2:10" ht="12.75" customHeight="1" x14ac:dyDescent="0.3">
      <c r="B25" s="87"/>
      <c r="E25" s="123"/>
      <c r="F25" s="121"/>
      <c r="G25" s="161"/>
      <c r="H25" s="162"/>
      <c r="I25" s="122"/>
      <c r="J25" s="120"/>
    </row>
    <row r="26" spans="2:10" ht="12" customHeight="1" x14ac:dyDescent="0.3">
      <c r="B26" s="87"/>
      <c r="E26" s="123"/>
      <c r="F26" s="118"/>
      <c r="G26" s="167"/>
      <c r="H26" s="167"/>
      <c r="I26" s="119"/>
      <c r="J26" s="120"/>
    </row>
    <row r="27" spans="2:10" ht="14.25" customHeight="1" x14ac:dyDescent="0.3">
      <c r="B27" s="87"/>
      <c r="E27" s="123"/>
      <c r="F27" s="121"/>
      <c r="G27" s="161"/>
      <c r="H27" s="162"/>
      <c r="I27" s="122"/>
      <c r="J27" s="120"/>
    </row>
    <row r="28" spans="2:10" ht="12.75" customHeight="1" x14ac:dyDescent="0.3">
      <c r="B28" s="87"/>
      <c r="E28" s="123"/>
      <c r="F28" s="118"/>
      <c r="G28" s="167"/>
      <c r="H28" s="167"/>
      <c r="I28" s="119"/>
      <c r="J28" s="120"/>
    </row>
    <row r="29" spans="2:10" ht="12.75" customHeight="1" x14ac:dyDescent="0.3">
      <c r="B29" s="87"/>
      <c r="E29" s="123"/>
      <c r="F29" s="121"/>
      <c r="G29" s="161"/>
      <c r="H29" s="162"/>
      <c r="I29" s="122"/>
      <c r="J29" s="120"/>
    </row>
    <row r="30" spans="2:10" ht="12.75" customHeight="1" x14ac:dyDescent="0.3">
      <c r="B30" s="87"/>
      <c r="E30" s="123"/>
      <c r="F30" s="118"/>
      <c r="G30" s="167"/>
      <c r="H30" s="167"/>
      <c r="I30" s="119"/>
      <c r="J30" s="120"/>
    </row>
    <row r="31" spans="2:10" ht="13.5" customHeight="1" x14ac:dyDescent="0.3">
      <c r="B31" s="87"/>
      <c r="E31" s="123"/>
      <c r="F31" s="121"/>
      <c r="G31" s="161"/>
      <c r="H31" s="162"/>
      <c r="I31" s="122"/>
      <c r="J31" s="120"/>
    </row>
    <row r="32" spans="2:10" ht="13.5" customHeight="1" x14ac:dyDescent="0.3">
      <c r="B32" s="87"/>
      <c r="E32" s="123"/>
      <c r="F32" s="118"/>
      <c r="G32" s="167"/>
      <c r="H32" s="167"/>
      <c r="I32" s="119"/>
      <c r="J32" s="120"/>
    </row>
    <row r="33" spans="2:10" ht="13.5" customHeight="1" x14ac:dyDescent="0.3">
      <c r="B33" s="87"/>
      <c r="E33" s="123"/>
      <c r="F33" s="121"/>
      <c r="G33" s="161"/>
      <c r="H33" s="162"/>
      <c r="I33" s="122"/>
      <c r="J33" s="120"/>
    </row>
    <row r="34" spans="2:10" ht="13.5" customHeight="1" x14ac:dyDescent="0.3">
      <c r="B34" s="87"/>
      <c r="E34" s="123"/>
      <c r="F34" s="118"/>
      <c r="G34" s="167"/>
      <c r="H34" s="167"/>
      <c r="I34" s="119"/>
      <c r="J34" s="120"/>
    </row>
    <row r="35" spans="2:10" ht="12.75" customHeight="1" x14ac:dyDescent="0.3">
      <c r="B35" s="87"/>
      <c r="E35" s="123"/>
      <c r="F35" s="121"/>
      <c r="G35" s="161"/>
      <c r="H35" s="162"/>
      <c r="I35" s="122"/>
      <c r="J35" s="120"/>
    </row>
    <row r="36" spans="2:10" x14ac:dyDescent="0.3">
      <c r="B36" s="87"/>
      <c r="E36" s="123"/>
      <c r="F36" s="118"/>
      <c r="G36" s="167"/>
      <c r="H36" s="167"/>
      <c r="I36" s="119"/>
      <c r="J36" s="120"/>
    </row>
    <row r="37" spans="2:10" ht="13.5" customHeight="1" x14ac:dyDescent="0.3">
      <c r="B37" s="87"/>
      <c r="E37" s="123"/>
      <c r="F37" s="121"/>
      <c r="G37" s="161"/>
      <c r="H37" s="162"/>
      <c r="I37" s="122"/>
      <c r="J37" s="120"/>
    </row>
    <row r="38" spans="2:10" x14ac:dyDescent="0.3">
      <c r="B38" s="87"/>
      <c r="E38" s="123"/>
      <c r="F38" s="118"/>
      <c r="G38" s="167"/>
      <c r="H38" s="167"/>
      <c r="I38" s="119"/>
      <c r="J38" s="120"/>
    </row>
    <row r="39" spans="2:10" ht="13.5" customHeight="1" x14ac:dyDescent="0.3">
      <c r="B39" s="87"/>
      <c r="E39" s="123"/>
      <c r="F39" s="121"/>
      <c r="G39" s="161"/>
      <c r="H39" s="162"/>
      <c r="I39" s="122"/>
      <c r="J39" s="120"/>
    </row>
    <row r="40" spans="2:10" ht="14.25" hidden="1" customHeight="1" x14ac:dyDescent="0.3">
      <c r="B40" s="87"/>
      <c r="E40" s="123"/>
      <c r="F40" s="118"/>
      <c r="G40" s="167"/>
      <c r="H40" s="167"/>
      <c r="I40" s="119"/>
      <c r="J40" s="120"/>
    </row>
    <row r="41" spans="2:10" ht="14.25" hidden="1" customHeight="1" x14ac:dyDescent="0.3">
      <c r="B41" s="87"/>
      <c r="E41" s="123"/>
      <c r="F41" s="121"/>
      <c r="G41" s="161"/>
      <c r="H41" s="162"/>
      <c r="I41" s="122"/>
      <c r="J41" s="120"/>
    </row>
    <row r="42" spans="2:10" hidden="1" x14ac:dyDescent="0.3">
      <c r="B42" s="87"/>
      <c r="E42" s="123"/>
      <c r="F42" s="118"/>
      <c r="G42" s="167"/>
      <c r="H42" s="167"/>
      <c r="I42" s="119"/>
      <c r="J42" s="120"/>
    </row>
    <row r="43" spans="2:10" x14ac:dyDescent="0.3">
      <c r="B43" s="87"/>
      <c r="E43" s="123"/>
      <c r="F43" s="121"/>
      <c r="G43" s="161"/>
      <c r="H43" s="162"/>
      <c r="I43" s="122"/>
      <c r="J43" s="120"/>
    </row>
    <row r="44" spans="2:10" ht="9" customHeight="1" x14ac:dyDescent="0.3">
      <c r="B44" s="87"/>
      <c r="E44" s="95"/>
      <c r="F44" s="92"/>
      <c r="G44" s="169"/>
      <c r="H44" s="169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2235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7" zoomScale="85" zoomScaleNormal="85" workbookViewId="0">
      <selection activeCell="A34" sqref="A34:M34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09.09.2025г.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EG-AZ-01 от 05.09.2025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«Аспект»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107497, Россия, г. Москва, вн.тер.г. муниципальный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 xml:space="preserve">округ Гольяново, 2-й Иртышский пр-в, д. 4Б, стр. 3 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9718239835  / 771801001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 xml:space="preserve">Валютный счет доллары  40702840100000005715 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КБ "Максима"(ООО), г. Москва РФ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(SWIFT code: MAXMRUM1XXX)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OOO «Западные ворота»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125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115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FCA - г.Ташкент , Республика Узбекистан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80389YBA/804081BA</v>
      </c>
      <c r="F26" s="156"/>
      <c r="G26" s="156"/>
      <c r="J26" s="21"/>
    </row>
    <row r="27" spans="1:17" ht="34.5" customHeight="1" x14ac:dyDescent="0.25">
      <c r="A27" s="67" t="s">
        <v>126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1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1" t="s">
        <v>12</v>
      </c>
      <c r="H29" s="111" t="s">
        <v>13</v>
      </c>
      <c r="I29" s="149"/>
      <c r="J29" s="112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2235</v>
      </c>
      <c r="F30" s="116" t="str">
        <f>+Инвойс!F30</f>
        <v>кг</v>
      </c>
      <c r="G30" s="106">
        <f>+Инвойс!G30</f>
        <v>22500</v>
      </c>
      <c r="H30" s="106">
        <f>+Инвойс!H30</f>
        <v>20936</v>
      </c>
      <c r="I30" s="108">
        <f>+Инвойс!I30</f>
        <v>1</v>
      </c>
      <c r="J30" s="13">
        <f>+Инвойс!J30</f>
        <v>20936</v>
      </c>
      <c r="K30" s="12">
        <v>0</v>
      </c>
      <c r="L30" s="12">
        <v>0</v>
      </c>
      <c r="M30" s="13">
        <f>+Инвойс!M30</f>
        <v>20936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2235</v>
      </c>
      <c r="F31" s="15"/>
      <c r="G31" s="64">
        <f>SUM(G30:G30)</f>
        <v>22500</v>
      </c>
      <c r="H31" s="64">
        <f>SUM(H30:H30)</f>
        <v>20936</v>
      </c>
      <c r="I31" s="102"/>
      <c r="J31" s="17">
        <f>SUM(J30:J30)</f>
        <v>20936</v>
      </c>
      <c r="K31" s="16"/>
      <c r="L31" s="16"/>
      <c r="M31" s="17">
        <f>SUM(M30:M30)</f>
        <v>20936</v>
      </c>
      <c r="P31" s="66"/>
    </row>
    <row r="32" spans="1:17" ht="13.8" x14ac:dyDescent="0.3">
      <c r="A32" s="2" t="s">
        <v>17</v>
      </c>
      <c r="B32" s="3"/>
      <c r="C32" s="11"/>
      <c r="D32" s="11"/>
      <c r="E32" s="146" t="str">
        <f>Лист1!B3</f>
        <v>Двадцать тысяч девятьсот тридцать шесть долларов США, 00 центов.</v>
      </c>
      <c r="F32" s="147"/>
      <c r="G32" s="147"/>
      <c r="H32" s="147"/>
      <c r="I32" s="147"/>
      <c r="J32" s="147"/>
      <c r="K32" s="147"/>
      <c r="L32" s="147"/>
      <c r="M32" s="147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1" t="s">
        <v>139</v>
      </c>
      <c r="B36" s="131"/>
      <c r="D36" s="18" t="str">
        <f>+Инвойс!D36</f>
        <v>АБДИЛАКИМОВ А.А</v>
      </c>
      <c r="E36" s="132"/>
      <c r="G36" s="129" t="s">
        <v>128</v>
      </c>
      <c r="H36" s="18" t="str">
        <f>Инвойс!G5</f>
        <v>ООО «Аспект»</v>
      </c>
      <c r="K36" s="133" t="s">
        <v>157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/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116</v>
      </c>
    </row>
    <row r="3" spans="1:10" ht="52.8" x14ac:dyDescent="0.25">
      <c r="A3" s="130" t="s">
        <v>127</v>
      </c>
    </row>
    <row r="5" spans="1:10" ht="92.4" x14ac:dyDescent="0.25">
      <c r="A5" s="126" t="s">
        <v>140</v>
      </c>
    </row>
    <row r="6" spans="1:10" x14ac:dyDescent="0.25">
      <c r="E6" s="18"/>
      <c r="J6" s="25"/>
    </row>
    <row r="7" spans="1:10" ht="52.8" x14ac:dyDescent="0.25">
      <c r="A7" s="126" t="s">
        <v>117</v>
      </c>
    </row>
    <row r="8" spans="1:10" x14ac:dyDescent="0.25">
      <c r="E8" s="18"/>
      <c r="J8" s="25"/>
    </row>
    <row r="9" spans="1:10" ht="52.8" x14ac:dyDescent="0.25">
      <c r="A9" s="126" t="s">
        <v>118</v>
      </c>
    </row>
    <row r="10" spans="1:10" x14ac:dyDescent="0.25">
      <c r="A10" s="126"/>
      <c r="E10" s="18"/>
      <c r="J10" s="25"/>
    </row>
    <row r="11" spans="1:10" ht="52.8" x14ac:dyDescent="0.25">
      <c r="A11" s="126" t="s">
        <v>158</v>
      </c>
    </row>
    <row r="12" spans="1:10" x14ac:dyDescent="0.25">
      <c r="E12" s="18"/>
      <c r="J12" s="25"/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20936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тысяч девятьсот тридцать шесть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45909</v>
      </c>
      <c r="O3" s="178"/>
      <c r="P3">
        <f ca="1">DAY(N3)</f>
        <v>9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Двадцать тысяч девятьсот тридцать шесть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9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тысяч девятьсот тридцать шесть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тысяч девятьсот тридцать шесть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девятьсот тридцать шесть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45909</v>
      </c>
    </row>
    <row r="13" spans="1:19" s="43" customFormat="1" x14ac:dyDescent="0.25">
      <c r="A13" s="49"/>
      <c r="D13" s="51"/>
      <c r="E13" s="52">
        <f>TRUNC(E2)</f>
        <v>20936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209</v>
      </c>
      <c r="B27" s="47">
        <f>TRUNC(RIGHT(A27))</f>
        <v>9</v>
      </c>
      <c r="C27" s="51">
        <f>B27</f>
        <v>9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2093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5">
      <c r="A29" s="54">
        <f>E13</f>
        <v>20936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936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2025-09-09T04:46:47Z</cp:lastPrinted>
  <dcterms:created xsi:type="dcterms:W3CDTF">1996-10-14T23:33:28Z</dcterms:created>
  <dcterms:modified xsi:type="dcterms:W3CDTF">2025-09-09T04:54:49Z</dcterms:modified>
</cp:coreProperties>
</file>