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5E2670-2682-4555-B2FA-31878FBFE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1" i="7" l="1"/>
  <c r="A12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<sst xmlns="http://schemas.openxmlformats.org/spreadsheetml/2006/main" count="210" uniqueCount="171">
  <si>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</si>
  <si>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</si>
  <si>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</si>
  <si>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</si>
  <si>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</si>
  <si>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</si>
  <si>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</si>
  <si>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</si>
  <si>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</si>
  <si>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</si>
  <si>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</si>
  <si>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</si>
  <si>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</si>
  <si>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</si>
  <si>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</si>
  <si>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</si>
  <si>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</si>
  <si>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</si>
  <si>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</si>
  <si>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</si>
  <si>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</si>
  <si>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</si>
  <si>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</si>
  <si>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</si>
  <si>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</si>
  <si>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</si>
  <si>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</si>
  <si>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</si>
  <si>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</si>
  <si>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</si>
  <si>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</si>
  <si>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</si>
  <si>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</si>
  <si>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</si>
  <si>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</si>
  <si>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</si>
  <si>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</si>
  <si>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</si>
  <si>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</si>
  <si>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</si>
  <si>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</si>
  <si>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</si>
  <si>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</si>
  <si>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</si>
  <si>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</si>
  <si>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</si>
  <si>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</si>
  <si>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</si>
  <si>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</si>
  <si>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</si>
  <si>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</si>
  <si>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</si>
  <si>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</si>
  <si>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</si>
  <si>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</si>
  <si>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</si>
  <si>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</si>
  <si>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</si>
  <si>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</si>
  <si>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</si>
  <si>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</si>
  <si>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</si>
  <si>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</si>
  <si>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</si>
  <si>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</si>
  <si>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</si>
  <si>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</si>
  <si>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</si>
  <si>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</si>
  <si>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</si>
  <si>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</si>
  <si>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</si>
  <si>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</si>
  <si>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</si>
  <si>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</si>
  <si>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</si>
  <si>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</si>
  <si>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</si>
  <si>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</si>
  <si>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</si>
  <si>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</si>
  <si>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</si>
  <si>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</si>
  <si>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</si>
  <si>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</si>
  <si>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</si>
  <si>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</si>
  <si>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</si>
  <si>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</si>
  <si>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</si>
  <si>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</si>
  <si>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</si>
  <si>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</si>
  <si>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</si>
  <si>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</si>
  <si>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</si>
  <si>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</si>
  <si>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</si>
  <si>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</si>
  <si>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</si>
  <si>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</si>
  <si>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</si>
  <si>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</si>
  <si>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</si>
  <si>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</si>
  <si>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</si>
  <si>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</si>
  <si>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</si>
  <si>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</si>
  <si>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</si>
  <si>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</si>
  <si>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</si>
  <si>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</si>
  <si>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</si>
  <si>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</si>
  <si>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</si>
  <si>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</si>
  <si>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</si>
  <si>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</si>
  <si>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</si>
  <si>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</si>
  <si>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</si>
  <si>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</si>
  <si>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</si>
  <si>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</si>
  <si>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</si>
  <si>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</si>
  <si>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</si>
  <si>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</si>
  <si>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</si>
  <si>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</si>
  <si>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</si>
  <si>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</si>
  <si>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</si>
  <si>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</si>
  <si>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</si>
  <si>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</si>
  <si>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</si>
  <si>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</si>
  <si>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</si>
  <si>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</si>
  <si>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</si>
  <si>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</si>
  <si>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</si>
  <si>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</si>
  <si>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</si>
  <si>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</si>
  <si>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</si>
  <si>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</si>
  <si>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</si>
  <si>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</si>
  <si>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</si>
  <si>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</si>
  <si>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</si>
  <si>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</si>
  <si>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</si>
  <si>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EX1908 от 19.08.2025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</si>
  <si>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</si>
  <si>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</si>
  <si>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</si>
  <si>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Доллар США: 20208840607280925001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</si>
  <si>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</si>
  <si>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</si>
  <si>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</si>
  <si>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</si>
  <si>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</si>
  <si>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</si>
  <si>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ИНВОЙС № EXR-F-14 от </t>
  </si>
  <si>
    <t>40372XBA/409983BA</t>
  </si>
  <si>
    <t xml:space="preserve">СПЕЦИФИКАЦИЯ № EXR-F-14 от </t>
  </si>
  <si>
    <t xml:space="preserve"> 24.08.2025г.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</si>
</sst>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918883</xdr:colOff>
      <xdr:row>36</xdr:row>
      <xdr:rowOff>123264</xdr:rowOff>
    </xdr:from>
    <xdr:to>
      <xdr:col>4</xdr:col>
      <xdr:colOff>19077</xdr:colOff>
      <xdr:row>52</xdr:row>
      <xdr:rowOff>33618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20461940"/>
          <a:ext cx="2641253" cy="25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568860</xdr:colOff>
      <xdr:row>36</xdr:row>
      <xdr:rowOff>78442</xdr:rowOff>
    </xdr:from>
    <xdr:to>
      <xdr:col>5</xdr:col>
      <xdr:colOff>235883</xdr:colOff>
      <xdr:row>39</xdr:row>
      <xdr:rowOff>173917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25" y="20417118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257736</xdr:colOff>
      <xdr:row>36</xdr:row>
      <xdr:rowOff>100853</xdr:rowOff>
    </xdr:from>
    <xdr:to>
      <xdr:col>2</xdr:col>
      <xdr:colOff>505750</xdr:colOff>
      <xdr:row>50</xdr:row>
      <xdr:rowOff>11209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318941"/>
          <a:ext cx="2321102" cy="227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647302</xdr:colOff>
      <xdr:row>36</xdr:row>
      <xdr:rowOff>56030</xdr:rowOff>
    </xdr:from>
    <xdr:to>
      <xdr:col>4</xdr:col>
      <xdr:colOff>58578</xdr:colOff>
      <xdr:row>39</xdr:row>
      <xdr:rowOff>77356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978" y="19274118"/>
          <a:ext cx="879247" cy="59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167</v>
      </c>
      <c r="D1" s="135"/>
      <c r="E1" s="135"/>
      <c r="F1" s="134" t="s">
        <v>170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157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3.8" x14ac:dyDescent="0.25">
      <c r="A6" s="142" t="s">
        <v>158</v>
      </c>
      <c r="B6" s="143"/>
      <c r="C6" s="143"/>
      <c r="D6" s="143"/>
      <c r="E6" s="143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159</v>
      </c>
      <c r="B7" s="143"/>
      <c r="C7" s="143"/>
      <c r="D7" s="143"/>
      <c r="E7" s="143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162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164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157</v>
      </c>
      <c r="B14" s="136"/>
      <c r="C14" s="136"/>
      <c r="D14" s="136"/>
      <c r="E14" s="136"/>
      <c r="F14" s="6"/>
      <c r="G14" s="138" t="s">
        <v>125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158</v>
      </c>
      <c r="B15" s="143"/>
      <c r="C15" s="143"/>
      <c r="D15" s="143"/>
      <c r="E15" s="143"/>
      <c r="F15" s="7"/>
      <c r="G15" s="140" t="s">
        <v>126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159</v>
      </c>
      <c r="B16" s="143"/>
      <c r="C16" s="143"/>
      <c r="D16" s="143"/>
      <c r="E16" s="143"/>
      <c r="F16" s="63"/>
      <c r="G16" s="140" t="s">
        <v>127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160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162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 t="s">
        <v>164</v>
      </c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137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168</v>
      </c>
      <c r="F26" s="156"/>
      <c r="G26" s="156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22100</v>
      </c>
      <c r="H30" s="106">
        <v>20336</v>
      </c>
      <c r="I30" s="108">
        <v>0.2</v>
      </c>
      <c r="J30" s="13">
        <f t="shared" ref="J30" si="0">H30*I30</f>
        <v>4067.2000000000003</v>
      </c>
      <c r="K30" s="12">
        <v>0</v>
      </c>
      <c r="L30" s="12">
        <v>0</v>
      </c>
      <c r="M30" s="13">
        <f t="shared" ref="M30" si="1">J30</f>
        <v>4067.2000000000003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22100</v>
      </c>
      <c r="H31" s="64">
        <f>SUM(H30:H30)</f>
        <v>20336</v>
      </c>
      <c r="I31" s="102"/>
      <c r="J31" s="17">
        <f>SUM(J30:J30)</f>
        <v>4067.2000000000003</v>
      </c>
      <c r="K31" s="16"/>
      <c r="L31" s="16"/>
      <c r="M31" s="17">
        <f>SUM(M30:M30)</f>
        <v>4067.2000000000003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шестьдесят семь долларов США, 20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110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165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EXR-F-14 от  24.08.2025г.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107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24.08.2025г.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40372XBA/409983BA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40372XBA/409983BA</v>
      </c>
      <c r="C14" s="164"/>
      <c r="D14" s="164"/>
      <c r="E14" s="164"/>
      <c r="F14" s="164"/>
      <c r="G14" s="164"/>
      <c r="H14" s="165" t="s">
        <v>108</v>
      </c>
      <c r="I14" s="165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EXR-F-14 от  24.08.2025г.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22100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B1" sqref="B1:E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169</v>
      </c>
      <c r="C1" s="174"/>
      <c r="D1" s="174"/>
      <c r="E1" s="174"/>
      <c r="F1" s="134" t="str">
        <f>+Инвойс!F1</f>
        <v xml:space="preserve"> 24.08.2025г.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EX1908 от 19.08.2025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ТД «РЕСУРС»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125362, Город Москва, вн.тер.г. муниципальный округ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Южное Тушино, ул Свободы, д. 35, стр. 43, помещ. 92/3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Банк: Азия-Инвест Банк (АО) ИНН: 9705116064 КПП: 770501001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Р/Счет: 40702840100000019384 ; БИК:  044525234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 xml:space="preserve">Корр.счет: 30101810445250000234  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ASIJRUMM)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 t="str">
        <f>+Инвойс!A12</f>
        <v>ИНН: 312 294 736</v>
      </c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customHeight="1" x14ac:dyDescent="0.25">
      <c r="A21" s="142" t="str">
        <f>+Инвойс!A21</f>
        <v>ИНН: 312 294 736</v>
      </c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40372XBA/409983BA</v>
      </c>
      <c r="F26" s="156"/>
      <c r="G26" s="156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22100</v>
      </c>
      <c r="H30" s="106">
        <f>+Инвойс!H30</f>
        <v>20336</v>
      </c>
      <c r="I30" s="108">
        <f>+Инвойс!I30</f>
        <v>0.2</v>
      </c>
      <c r="J30" s="13">
        <f>+Инвойс!J30</f>
        <v>4067.2000000000003</v>
      </c>
      <c r="K30" s="12">
        <v>0</v>
      </c>
      <c r="L30" s="12">
        <v>0</v>
      </c>
      <c r="M30" s="13">
        <f>+Инвойс!M30</f>
        <v>4067.2000000000003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22100</v>
      </c>
      <c r="H31" s="64">
        <f>SUM(H30:H30)</f>
        <v>20336</v>
      </c>
      <c r="I31" s="102"/>
      <c r="J31" s="17">
        <f>SUM(J30:J30)</f>
        <v>4067.2000000000003</v>
      </c>
      <c r="K31" s="16"/>
      <c r="L31" s="16"/>
      <c r="M31" s="17">
        <f>SUM(M30:M30)</f>
        <v>4067.2000000000003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шестьдесят семь долларов США, 20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166</v>
      </c>
      <c r="B36" s="131"/>
      <c r="D36" s="18" t="str">
        <f>+Инвойс!D36</f>
        <v>АБДИЛАКИМОВ А.А</v>
      </c>
      <c r="E36" s="132"/>
      <c r="G36" s="129" t="s">
        <v>146</v>
      </c>
      <c r="H36" s="18" t="str">
        <f>Инвойс!G5</f>
        <v>ООО ТД «РЕСУРС»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149</v>
      </c>
    </row>
    <row r="3" spans="1:9" ht="52.8" x14ac:dyDescent="0.25">
      <c r="A3" s="130" t="s">
        <v>137</v>
      </c>
    </row>
    <row r="4" spans="1:9" x14ac:dyDescent="0.25">
      <c r="D4" s="18" t="s">
        <v>155</v>
      </c>
      <c r="I4" s="25" t="s">
        <v>150</v>
      </c>
    </row>
    <row r="5" spans="1:9" ht="39.6" x14ac:dyDescent="0.25">
      <c r="A5" s="126" t="s">
        <v>118</v>
      </c>
    </row>
    <row r="6" spans="1:9" x14ac:dyDescent="0.25">
      <c r="D6" s="18" t="s">
        <v>151</v>
      </c>
      <c r="I6" s="25" t="s">
        <v>152</v>
      </c>
    </row>
    <row r="7" spans="1:9" ht="52.8" x14ac:dyDescent="0.25">
      <c r="A7" s="126" t="s">
        <v>119</v>
      </c>
    </row>
    <row r="8" spans="1:9" x14ac:dyDescent="0.25">
      <c r="D8" s="18" t="s">
        <v>153</v>
      </c>
      <c r="I8" s="25" t="s">
        <v>154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4067.2000000000003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шестьдесят семь долларов США, 20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45893</v>
      </c>
      <c r="O3" s="178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шестьдесят семь долларов США, 20 центов. (в т.ч. НДС - 357,79)</v>
      </c>
      <c r="H4" s="32"/>
      <c r="I4" s="32"/>
      <c r="J4" s="32"/>
      <c r="K4" s="179" t="str">
        <f ca="1">CONCATENATE(" «  ",P3,"  »  ",Q3,"  ",R3," г.")</f>
        <v xml:space="preserve"> «  24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шестьдесят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шестьдесят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шестьдесят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4067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4067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2025-08-24T05:36:37Z</cp:lastPrinted>
  <dcterms:created xsi:type="dcterms:W3CDTF">1996-10-14T23:33:28Z</dcterms:created>
  <dcterms:modified xsi:type="dcterms:W3CDTF">2025-08-24T05:36:43Z</dcterms:modified>
</cp:coreProperties>
</file>