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<sst xmlns="http://schemas.openxmlformats.org/spreadsheetml/2006/main" count="201" uniqueCount="163">
  <si>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</si>
  <si>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</si>
  <si>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</si>
  <si>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</si>
  <si>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</si>
  <si>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</si>
  <si>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</si>
  <si>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</si>
  <si>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</si>
  <si>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</si>
  <si>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</si>
  <si>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</si>
  <si>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</si>
  <si>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</si>
  <si>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</si>
  <si>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</si>
  <si>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</si>
  <si>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</si>
  <si>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</si>
  <si>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</si>
  <si>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</si>
  <si>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</si>
  <si>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</si>
  <si>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</si>
  <si>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</si>
  <si>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</si>
  <si>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</si>
  <si>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</si>
  <si>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</si>
  <si>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</si>
  <si>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</si>
  <si>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</si>
  <si>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</si>
  <si>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</si>
  <si>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</si>
  <si>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</si>
  <si>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</si>
  <si>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</si>
  <si>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</si>
  <si>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</si>
  <si>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</si>
  <si>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</si>
  <si>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</si>
  <si>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</si>
  <si>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</si>
  <si>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</si>
  <si>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</si>
  <si>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</si>
  <si>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</si>
  <si>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</si>
  <si>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</si>
  <si>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</si>
  <si>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</si>
  <si>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</si>
  <si>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</si>
  <si>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</si>
  <si>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</si>
  <si>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</si>
  <si>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</si>
  <si>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</si>
  <si>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</si>
  <si>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</si>
  <si>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</si>
  <si>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</si>
  <si>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</si>
  <si>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</si>
  <si>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</si>
  <si>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</si>
  <si>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</si>
  <si>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</si>
  <si>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</si>
  <si>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</si>
  <si>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</si>
  <si>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</si>
  <si>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</si>
  <si>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</si>
  <si>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</si>
  <si>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</si>
  <si>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</si>
  <si>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</si>
  <si>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</si>
  <si>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</si>
  <si>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</si>
  <si>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</si>
  <si>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</si>
  <si>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</si>
  <si>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</si>
  <si>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</si>
  <si>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</si>
  <si>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</si>
  <si>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</si>
  <si>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</si>
  <si>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</si>
  <si>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</si>
  <si>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</si>
  <si>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</si>
  <si>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</si>
  <si>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</si>
  <si>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</si>
  <si>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</si>
  <si>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</si>
  <si>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</si>
  <si>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</si>
  <si>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</si>
  <si>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</si>
  <si>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</si>
  <si>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</si>
  <si>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</si>
  <si>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</si>
  <si>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</si>
  <si>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</si>
  <si>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</si>
  <si>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</si>
  <si>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</si>
  <si>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</si>
  <si>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</si>
  <si>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</si>
  <si>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</si>
  <si>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</si>
  <si>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</si>
  <si>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</si>
  <si>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</si>
  <si>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</si>
  <si>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</si>
  <si>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</si>
  <si>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</si>
  <si>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</si>
  <si>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</si>
  <si>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</si>
  <si>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</si>
  <si>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</si>
  <si>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</si>
  <si>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</si>
  <si>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</si>
  <si>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</si>
  <si>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</si>
  <si>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</si>
  <si>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</si>
  <si>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</si>
  <si>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</si>
  <si>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</si>
  <si>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</si>
  <si>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</si>
  <si>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</si>
  <si>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</si>
  <si>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</si>
  <si>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</si>
  <si>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</si>
  <si>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</si>
  <si>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</si>
  <si>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</si>
  <si>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</si>
  <si>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</si>
  <si>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</si>
  <si>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</si>
  <si>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</si>
  <si>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</si>
  <si>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</si>
  <si>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</si>
  <si>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>70348BBA/709524AA</t>
  </si>
  <si>
    <t>DAP - с Амандык , Республика Казахстан</t>
  </si>
  <si>
    <t xml:space="preserve">СПЕЦИФИКАЦИЯ № BEZ-A-54 от </t>
  </si>
  <si>
    <t xml:space="preserve">ИНВОЙС № BEZ-A-54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</si>
</sst>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162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123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159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133</v>
      </c>
      <c r="C30" s="107" t="s">
        <v>132</v>
      </c>
      <c r="D30" s="109" t="s">
        <v>112</v>
      </c>
      <c r="E30" s="101">
        <v>2797</v>
      </c>
      <c r="F30" s="115" t="s">
        <v>27</v>
      </c>
      <c r="G30" s="106">
        <v>22698</v>
      </c>
      <c r="H30" s="106">
        <v>20740</v>
      </c>
      <c r="I30" s="108">
        <v>1</v>
      </c>
      <c r="J30" s="13">
        <f t="shared" ref="J30" si="0">H30*I30</f>
        <v>20740</v>
      </c>
      <c r="K30" s="12">
        <v>0</v>
      </c>
      <c r="L30" s="12">
        <v>0</v>
      </c>
      <c r="M30" s="13">
        <f t="shared" ref="M30" si="1">J30</f>
        <v>20740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2797</v>
      </c>
      <c r="F31" s="15"/>
      <c r="G31" s="64">
        <f>SUM(G30:G30)</f>
        <v>22698</v>
      </c>
      <c r="H31" s="64">
        <f>SUM(H30:H30)</f>
        <v>20740</v>
      </c>
      <c r="I31" s="102"/>
      <c r="J31" s="17">
        <f>SUM(J30:J30)</f>
        <v>20740</v>
      </c>
      <c r="K31" s="16"/>
      <c r="L31" s="16"/>
      <c r="M31" s="17">
        <f>SUM(M30:M30)</f>
        <v>20740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Двадцать тысяч семьсот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" zoomScale="85" zoomScaleNormal="8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BEZ-A-54 от 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2797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22698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70348BBA/709524AA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70348BBA/709524AA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BEZ-A-54 от  10.08.2025г.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2797</v>
      </c>
      <c r="G18" s="159" t="str">
        <f>+CMR!F30</f>
        <v>Виноград свежий столовых сортов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7" t="str">
        <f>+Инвойс!C30</f>
        <v>0806101001</v>
      </c>
      <c r="H19" s="158"/>
      <c r="I19" s="121" t="s">
        <v>103</v>
      </c>
      <c r="J19" s="119">
        <f>+Инвойс!G30</f>
        <v>22698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2797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161</v>
      </c>
      <c r="C1" s="168"/>
      <c r="D1" s="168"/>
      <c r="E1" s="168"/>
      <c r="F1" s="148" t="str">
        <f>+Инвойс!F1</f>
        <v xml:space="preserve"> 10.08.2025г.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70348BBA/709524AA</v>
      </c>
      <c r="F26" s="137"/>
      <c r="G26" s="137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2797</v>
      </c>
      <c r="F30" s="115" t="str">
        <f>+Инвойс!F30</f>
        <v>кг</v>
      </c>
      <c r="G30" s="106">
        <f>+Инвойс!G30</f>
        <v>22698</v>
      </c>
      <c r="H30" s="106">
        <f>+Инвойс!H30</f>
        <v>20740</v>
      </c>
      <c r="I30" s="108">
        <f>+Инвойс!I30</f>
        <v>1</v>
      </c>
      <c r="J30" s="13">
        <f>+Инвойс!J30</f>
        <v>20740</v>
      </c>
      <c r="K30" s="12">
        <v>0</v>
      </c>
      <c r="L30" s="12">
        <v>0</v>
      </c>
      <c r="M30" s="13">
        <f>+Инвойс!M30</f>
        <v>20740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2797</v>
      </c>
      <c r="F31" s="15"/>
      <c r="G31" s="64">
        <f>SUM(G30:G30)</f>
        <v>22698</v>
      </c>
      <c r="H31" s="64">
        <f>SUM(H30:H30)</f>
        <v>20740</v>
      </c>
      <c r="I31" s="102"/>
      <c r="J31" s="17">
        <f>SUM(J30:J30)</f>
        <v>20740</v>
      </c>
      <c r="K31" s="16"/>
      <c r="L31" s="16"/>
      <c r="M31" s="17">
        <f>SUM(M30:M30)</f>
        <v>20740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Двадцать тысяч семьсот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5" sqref="A1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20740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семьсот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45879</v>
      </c>
      <c r="O3" s="175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семьсот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10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семьсот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семьсот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сорок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20740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2074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20740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2025-08-10T10:38:01Z</cp:lastPrinted>
  <dcterms:created xsi:type="dcterms:W3CDTF">1996-10-14T23:33:28Z</dcterms:created>
  <dcterms:modified xsi:type="dcterms:W3CDTF">2025-08-10T10:38:02Z</dcterms:modified>
</cp:coreProperties>
</file>