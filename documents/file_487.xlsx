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62CB552D-72FD-488A-8AC8-62566971A2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<sst xmlns="http://schemas.openxmlformats.org/spreadsheetml/2006/main" count="211" uniqueCount="163">
  <si>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</si>
  <si>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</si>
  <si>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</si>
  <si>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</si>
  <si>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</si>
  <si>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</si>
  <si>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</si>
  <si>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</si>
  <si>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</si>
  <si>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</si>
  <si>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</si>
  <si>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</si>
  <si>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</si>
  <si>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</si>
  <si>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</si>
  <si>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</si>
  <si>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</si>
  <si>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</si>
  <si>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</si>
  <si>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</si>
  <si>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</si>
  <si>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</si>
  <si>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</si>
  <si>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</si>
  <si>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</si>
  <si>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</si>
  <si>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</si>
  <si>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</si>
  <si>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</si>
  <si>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</si>
  <si>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</si>
  <si>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</si>
  <si>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</si>
  <si>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</si>
  <si>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</si>
  <si>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</si>
  <si>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</si>
  <si>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</si>
  <si>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</si>
  <si>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</si>
  <si>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</si>
  <si>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</si>
  <si>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</si>
  <si>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</si>
  <si>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</si>
  <si>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</si>
  <si>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</si>
  <si>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</si>
  <si>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</si>
  <si>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</si>
  <si>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</si>
  <si>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</si>
  <si>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</si>
  <si>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</si>
  <si>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</si>
  <si>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</si>
  <si>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</si>
  <si>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</si>
  <si>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</si>
  <si>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</si>
  <si>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</si>
  <si>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</si>
  <si>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</si>
  <si>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</si>
  <si>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</si>
  <si>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</si>
  <si>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</si>
  <si>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</si>
  <si>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</si>
  <si>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</si>
  <si>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</si>
  <si>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</si>
  <si>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</si>
  <si>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</si>
  <si>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</si>
  <si>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</si>
  <si>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</si>
  <si>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</si>
  <si>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</si>
  <si>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</si>
  <si>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</si>
  <si>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</si>
  <si>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</si>
  <si>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</si>
  <si>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</si>
  <si>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</si>
  <si>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</si>
  <si>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</si>
  <si>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</si>
  <si>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</si>
  <si>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</si>
  <si>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</si>
  <si>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</si>
  <si>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</si>
  <si>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</si>
  <si>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</si>
  <si>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</si>
  <si>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</si>
  <si>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</si>
  <si>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</si>
  <si>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</si>
  <si>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</si>
  <si>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</si>
  <si>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</si>
  <si>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</si>
  <si>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</si>
  <si>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</si>
  <si>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</si>
  <si>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</si>
  <si>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</si>
  <si>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</si>
  <si>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</si>
  <si>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</si>
  <si>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</si>
  <si>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</si>
  <si>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</si>
  <si>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</si>
  <si>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</si>
  <si>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</si>
  <si>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</si>
  <si>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</si>
  <si>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</si>
  <si>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</si>
  <si>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</si>
  <si>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</si>
  <si>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</si>
  <si>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</si>
  <si>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</si>
  <si>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</si>
  <si>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</si>
  <si>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</si>
  <si>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</si>
  <si>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</si>
  <si>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</si>
  <si>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</si>
  <si>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</si>
  <si>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</si>
  <si>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</si>
  <si>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</si>
  <si>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</si>
  <si>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</si>
  <si>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</si>
  <si>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</si>
  <si>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</si>
  <si>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</si>
  <si>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</si>
  <si>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</si>
  <si>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</si>
  <si>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</si>
  <si>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</si>
  <si>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</si>
  <si>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</si>
  <si>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</si>
  <si>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</si>
  <si>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</si>
  <si>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</si>
  <si>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</si>
  <si>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</si>
  <si>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</si>
  <si>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UFG-M-79 от </t>
  </si>
  <si>
    <t xml:space="preserve"> 08.09.2025г.</t>
  </si>
  <si>
    <t xml:space="preserve">СПЕЦИФИКАЦИЯ № UFG-M-79 от </t>
  </si>
  <si>
    <t>01559LGA/016979BA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</si>
</sst>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147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135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143</v>
      </c>
      <c r="B6" s="141"/>
      <c r="C6" s="141"/>
      <c r="D6" s="141"/>
      <c r="E6" s="141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149</v>
      </c>
      <c r="B7" s="141"/>
      <c r="C7" s="141"/>
      <c r="D7" s="141"/>
      <c r="E7" s="141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145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3" t="s">
        <v>141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135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143</v>
      </c>
      <c r="B15" s="141"/>
      <c r="C15" s="141"/>
      <c r="D15" s="141"/>
      <c r="E15" s="141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149</v>
      </c>
      <c r="B16" s="141"/>
      <c r="C16" s="141"/>
      <c r="D16" s="141"/>
      <c r="E16" s="141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145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43" t="s">
        <v>141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119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157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162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996</v>
      </c>
      <c r="F30" s="115" t="s">
        <v>27</v>
      </c>
      <c r="G30" s="106">
        <v>22603</v>
      </c>
      <c r="H30" s="106">
        <v>20810</v>
      </c>
      <c r="I30" s="108">
        <v>0.25</v>
      </c>
      <c r="J30" s="13">
        <f t="shared" ref="J30" si="0">H30*I30</f>
        <v>5202.5</v>
      </c>
      <c r="K30" s="12">
        <v>0</v>
      </c>
      <c r="L30" s="12">
        <v>0</v>
      </c>
      <c r="M30" s="13">
        <f t="shared" ref="M30" si="1">J30</f>
        <v>5202.5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996</v>
      </c>
      <c r="F31" s="15"/>
      <c r="G31" s="64">
        <f>SUM(G30:G30)</f>
        <v>22603</v>
      </c>
      <c r="H31" s="64">
        <f>SUM(H30:H30)</f>
        <v>20810</v>
      </c>
      <c r="I31" s="102"/>
      <c r="J31" s="17">
        <f>SUM(J30:J30)</f>
        <v>5202.5</v>
      </c>
      <c r="K31" s="16"/>
      <c r="L31" s="16"/>
      <c r="M31" s="17">
        <f>SUM(M30:M30)</f>
        <v>5202.5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два доллара США,50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UFG-M-79 от  08.09.2025г.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996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22603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08.09.2025г.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01559LGA/016979BA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01559LGA/016979BA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UFG-M-79 от  08.09.2025г.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996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22603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996</v>
      </c>
      <c r="E47" s="141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161</v>
      </c>
      <c r="C1" s="170"/>
      <c r="D1" s="170"/>
      <c r="E1" s="170"/>
      <c r="F1" s="152" t="str">
        <f>+Инвойс!F1</f>
        <v xml:space="preserve"> 08.09.2025г.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01559LGA/016979BA</v>
      </c>
      <c r="F26" s="139"/>
      <c r="G26" s="139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996</v>
      </c>
      <c r="F30" s="115" t="str">
        <f>+Инвойс!F30</f>
        <v>кг</v>
      </c>
      <c r="G30" s="106">
        <f>+Инвойс!G30</f>
        <v>22603</v>
      </c>
      <c r="H30" s="106">
        <f>+Инвойс!H30</f>
        <v>20810</v>
      </c>
      <c r="I30" s="108">
        <f>+Инвойс!I30</f>
        <v>0.25</v>
      </c>
      <c r="J30" s="13">
        <f>+Инвойс!J30</f>
        <v>5202.5</v>
      </c>
      <c r="K30" s="12">
        <v>0</v>
      </c>
      <c r="L30" s="12">
        <v>0</v>
      </c>
      <c r="M30" s="13">
        <f>+Инвойс!M30</f>
        <v>5202.5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996</v>
      </c>
      <c r="F31" s="15"/>
      <c r="G31" s="64">
        <f>SUM(G30:G30)</f>
        <v>22603</v>
      </c>
      <c r="H31" s="64">
        <f>SUM(H30:H30)</f>
        <v>20810</v>
      </c>
      <c r="I31" s="102"/>
      <c r="J31" s="17">
        <f>SUM(J30:J30)</f>
        <v>5202.5</v>
      </c>
      <c r="K31" s="16"/>
      <c r="L31" s="16"/>
      <c r="M31" s="17">
        <f>SUM(M30:M30)</f>
        <v>5202.5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два доллара США,50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153</v>
      </c>
      <c r="B36" s="130"/>
      <c r="D36" s="18" t="str">
        <f>+Инвойс!D36</f>
        <v>ЭШТЕМИРОВ Х.Х</v>
      </c>
      <c r="E36" s="131"/>
      <c r="G36" s="128" t="s">
        <v>128</v>
      </c>
      <c r="H36" s="18" t="str">
        <f>Инвойс!G5</f>
        <v>ООО «ГРИН ВОРЛД»</v>
      </c>
      <c r="K36" s="132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3" zoomScale="85" zoomScaleNormal="85" workbookViewId="0">
      <selection activeCell="A13" sqref="A13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127</v>
      </c>
    </row>
    <row r="5" spans="1:10" ht="92.4" x14ac:dyDescent="0.25">
      <c r="A5" s="125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5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157</v>
      </c>
      <c r="J10" s="25" t="s">
        <v>132</v>
      </c>
    </row>
    <row r="11" spans="1:10" ht="52.8" x14ac:dyDescent="0.25">
      <c r="A11" s="125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5202.5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45908</v>
      </c>
      <c r="O3" s="177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8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два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два доллара США,50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два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5202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5202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202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2025-09-08T11:52:47Z</cp:lastPrinted>
  <dcterms:created xsi:type="dcterms:W3CDTF">1996-10-14T23:33:28Z</dcterms:created>
  <dcterms:modified xsi:type="dcterms:W3CDTF">2025-09-08T11:52:49Z</dcterms:modified>
</cp:coreProperties>
</file>