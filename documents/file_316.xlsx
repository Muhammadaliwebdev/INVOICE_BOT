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73AF6CD-CB3B-4289-A41D-071E0FA716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<sst xmlns="http://schemas.openxmlformats.org/spreadsheetml/2006/main" count="211" uniqueCount="164">
  <si>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</si>
  <si>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</si>
  <si>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</si>
  <si>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</si>
  <si>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</si>
  <si>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</si>
  <si>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</si>
  <si>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</si>
  <si>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</si>
  <si>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</si>
  <si>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</si>
  <si>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</si>
  <si>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</si>
  <si>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</si>
  <si>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</si>
  <si>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</si>
  <si>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</si>
  <si>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</si>
  <si>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</si>
  <si>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</si>
  <si>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</si>
  <si>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</si>
  <si>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</si>
  <si>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</si>
  <si>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</si>
  <si>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</si>
  <si>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</si>
  <si>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</si>
  <si>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</si>
  <si>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</si>
  <si>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</si>
  <si>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</si>
  <si>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</si>
  <si>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</si>
  <si>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</si>
  <si>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</si>
  <si>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</si>
  <si>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</si>
  <si>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</si>
  <si>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</si>
  <si>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</si>
  <si>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</si>
  <si>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</si>
  <si>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</si>
  <si>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</si>
  <si>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</si>
  <si>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</si>
  <si>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</si>
  <si>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</si>
  <si>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</si>
  <si>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</si>
  <si>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</si>
  <si>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</si>
  <si>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</si>
  <si>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</si>
  <si>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</si>
  <si>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</si>
  <si>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</si>
  <si>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</si>
  <si>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</si>
  <si>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</si>
  <si>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</si>
  <si>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</si>
  <si>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</si>
  <si>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</si>
  <si>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</si>
  <si>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</si>
  <si>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</si>
  <si>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</si>
  <si>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</si>
  <si>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</si>
  <si>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</si>
  <si>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</si>
  <si>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</si>
  <si>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</si>
  <si>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</si>
  <si>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</si>
  <si>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</si>
  <si>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</si>
  <si>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</si>
  <si>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</si>
  <si>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</si>
  <si>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</si>
  <si>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</si>
  <si>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</si>
  <si>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</si>
  <si>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</si>
  <si>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</si>
  <si>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</si>
  <si>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</si>
  <si>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</si>
  <si>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</si>
  <si>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</si>
  <si>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</si>
  <si>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</si>
  <si>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</si>
  <si>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</si>
  <si>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</si>
  <si>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</si>
  <si>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</si>
  <si>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</si>
  <si>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</si>
  <si>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</si>
  <si>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</si>
  <si>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</si>
  <si>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</si>
  <si>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</si>
  <si>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</si>
  <si>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</si>
  <si>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</si>
  <si>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</si>
  <si>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</si>
  <si>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</si>
  <si>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</si>
  <si>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</si>
  <si>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</si>
  <si>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</si>
  <si>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</si>
  <si>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</si>
  <si>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</si>
  <si>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</si>
  <si>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</si>
  <si>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</si>
  <si>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</si>
  <si>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</si>
  <si>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</si>
  <si>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</si>
  <si>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</si>
  <si>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</si>
  <si>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</si>
  <si>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</si>
  <si>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</si>
  <si>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</si>
  <si>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</si>
  <si>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</si>
  <si>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</si>
  <si>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</si>
  <si>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</si>
  <si>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</si>
  <si>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</si>
  <si>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</si>
  <si>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</si>
  <si>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</si>
  <si>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</si>
  <si>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</si>
  <si>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</si>
  <si>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</si>
  <si>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</si>
  <si>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</si>
  <si>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</si>
  <si>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</si>
  <si>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</si>
  <si>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</si>
  <si>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</si>
  <si>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</si>
  <si>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</si>
  <si>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</si>
  <si>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</si>
  <si>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</si>
  <si>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Ениссйская, 87А код поста 10504080   ООО "ГРИН ВОРЛД" 
RU/0237/2 от 27.12.2024</t>
  </si>
  <si>
    <t>30449QBA/309601AA</t>
  </si>
  <si>
    <t xml:space="preserve">ИНВОЙС № UFG-M-37 от </t>
  </si>
  <si>
    <t xml:space="preserve">СПЕЦИФИКАЦИЯ № UFG-M-37 от </t>
  </si>
  <si>
    <t xml:space="preserve"> 31.08.2025г.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</si>
</sst>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161</v>
      </c>
      <c r="D1" s="135"/>
      <c r="E1" s="135"/>
      <c r="F1" s="134" t="s">
        <v>163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152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153</v>
      </c>
      <c r="B5" s="136"/>
      <c r="C5" s="136"/>
      <c r="D5" s="136"/>
      <c r="E5" s="136"/>
      <c r="F5" s="6"/>
      <c r="G5" s="138" t="s">
        <v>140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148</v>
      </c>
      <c r="B6" s="143"/>
      <c r="C6" s="143"/>
      <c r="D6" s="143"/>
      <c r="E6" s="143"/>
      <c r="F6" s="7"/>
      <c r="G6" s="140" t="s">
        <v>141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154</v>
      </c>
      <c r="B7" s="143"/>
      <c r="C7" s="143"/>
      <c r="D7" s="143"/>
      <c r="E7" s="143"/>
      <c r="F7" s="63"/>
      <c r="G7" s="140" t="s">
        <v>142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149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155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150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151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39" t="s">
        <v>146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153</v>
      </c>
      <c r="B14" s="136"/>
      <c r="C14" s="136"/>
      <c r="D14" s="136"/>
      <c r="E14" s="136"/>
      <c r="F14" s="6"/>
      <c r="G14" s="138" t="s">
        <v>140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148</v>
      </c>
      <c r="B15" s="143"/>
      <c r="C15" s="143"/>
      <c r="D15" s="143"/>
      <c r="E15" s="143"/>
      <c r="F15" s="7"/>
      <c r="G15" s="140" t="s">
        <v>141</v>
      </c>
      <c r="H15" s="140"/>
      <c r="I15" s="140"/>
      <c r="J15" s="140"/>
      <c r="K15" s="140"/>
      <c r="L15" s="140"/>
      <c r="M15" s="140"/>
    </row>
    <row r="16" spans="1:15" ht="13.8" x14ac:dyDescent="0.25">
      <c r="A16" s="143" t="s">
        <v>154</v>
      </c>
      <c r="B16" s="143"/>
      <c r="C16" s="143"/>
      <c r="D16" s="143"/>
      <c r="E16" s="143"/>
      <c r="F16" s="63"/>
      <c r="G16" s="140" t="s">
        <v>142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149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155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150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151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156</v>
      </c>
      <c r="B21" s="8"/>
      <c r="C21" s="8"/>
      <c r="D21" s="8"/>
      <c r="E21" s="8"/>
      <c r="G21" s="139" t="s">
        <v>146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4" t="s">
        <v>159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">
        <v>138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160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1000</v>
      </c>
      <c r="F30" s="110" t="s">
        <v>27</v>
      </c>
      <c r="G30" s="106">
        <v>23000</v>
      </c>
      <c r="H30" s="106">
        <v>21200</v>
      </c>
      <c r="I30" s="108">
        <v>0.25</v>
      </c>
      <c r="J30" s="13">
        <f t="shared" ref="J30" si="0">H30*I30</f>
        <v>5300</v>
      </c>
      <c r="K30" s="12">
        <v>0</v>
      </c>
      <c r="L30" s="12">
        <v>0</v>
      </c>
      <c r="M30" s="13">
        <f t="shared" ref="M30" si="1">J30</f>
        <v>5300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1000</v>
      </c>
      <c r="F31" s="15"/>
      <c r="G31" s="64">
        <f>SUM(G30:G30)</f>
        <v>23000</v>
      </c>
      <c r="H31" s="64">
        <f>SUM(H30:H30)</f>
        <v>21200</v>
      </c>
      <c r="I31" s="102"/>
      <c r="J31" s="17">
        <f>SUM(J30:J30)</f>
        <v>5300</v>
      </c>
      <c r="K31" s="16"/>
      <c r="L31" s="16"/>
      <c r="M31" s="17">
        <f>SUM(M30:M30)</f>
        <v>5300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триста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F37" sqref="F37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31.08.2025г.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UFG-M-37 от  31.08.2025г.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г.Челябинский таможенный пост г.Челябинск ул. Ениссйская, 87А код поста 10504080   ООО "ГРИН ВОРЛД" 
RU/0237/2 от 27.12.2024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31.08.2025г.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30449QBA/309601AA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1" zoomScaleNormal="100" workbookViewId="0">
      <selection activeCell="G31" sqref="G31:H31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30449QBA/309601AA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31.08.2025г.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UFG-M-37 от  31.08.2025г.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1000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7"/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f>+F18+F20+F22+F24+F26+F28+F30+F32+F34+F36+F38+F40+F42</f>
        <v>1000</v>
      </c>
      <c r="E47" s="143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7" zoomScale="85" zoomScaleNormal="85" workbookViewId="0">
      <selection activeCell="A34" sqref="A34:M34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162</v>
      </c>
      <c r="C1" s="174"/>
      <c r="D1" s="174"/>
      <c r="E1" s="174"/>
      <c r="F1" s="134" t="str">
        <f>+Инвойс!F1</f>
        <v xml:space="preserve"> 31.08.2025г.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GR-UF-01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OOO UCHQIZIL FRUITS EXPORT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72" t="str">
        <f>+Инвойс!A6</f>
        <v>РЕСПУБЛИКА УЗБЕКИСТАН. СУРХАНДАРЬИНСКАЯ ОБЛАСТЬ,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2" t="str">
        <f>+Инвойс!A7</f>
        <v>ТЕРМИЗСКИЙ РАЙОН,ЯНГИХАЯТ МФЙ, УЛИЦА БОГИ ШАМОЛ, 20-А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в АКБ“KAPITAL BANK”  МФО: 01158  Swift: KACHUZ22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2" t="str">
        <f>+Инвойс!A9</f>
        <v>Доллар США: 20208840207293094001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2" t="str">
        <f>+Инвойс!A10</f>
        <v>Корреспондирующий банк (RUB): АКБ "Азия Инвест Банк" (АО) :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2" t="str">
        <f>+Инвойс!A11</f>
        <v>SWIFT:ASIJRUMM / БИК 044525234,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OOO UCHQIZIL FRUITS EXPORT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72" t="str">
        <f>+Инвойс!A15</f>
        <v>РЕСПУБЛИКА УЗБЕКИСТАН. СУРХАНДАРЬИНСКАЯ ОБЛАСТЬ,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2" t="str">
        <f>+Инвойс!A16</f>
        <v>ТЕРМИЗСКИЙ РАЙОН,ЯНГИХАЯТ МФЙ, УЛИЦА БОГИ ШАМОЛ, 20-А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в АКБ“KAPITAL BANK”  МФО: 01158  Swift: KACHUZ22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2" t="str">
        <f>+Инвойс!A18</f>
        <v>Доллар США: 20208840207293094001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2" t="str">
        <f>+Инвойс!A19</f>
        <v>Корреспондирующий банк (RUB): АКБ "Азия Инвест Банк" (АО) :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2" t="str">
        <f>+Инвойс!A20</f>
        <v>SWIFT:ASIJRUMM / БИК 044525234,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30449QBA/309601AA</v>
      </c>
      <c r="F26" s="156"/>
      <c r="G26" s="156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8.8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1000</v>
      </c>
      <c r="F30" s="116" t="str">
        <f>+Инвойс!F30</f>
        <v>кг</v>
      </c>
      <c r="G30" s="106">
        <f>+Инвойс!G30</f>
        <v>23000</v>
      </c>
      <c r="H30" s="106">
        <f>+Инвойс!H30</f>
        <v>21200</v>
      </c>
      <c r="I30" s="108">
        <f>+Инвойс!I30</f>
        <v>0.25</v>
      </c>
      <c r="J30" s="13">
        <f>+Инвойс!J30</f>
        <v>5300</v>
      </c>
      <c r="K30" s="12">
        <v>0</v>
      </c>
      <c r="L30" s="12">
        <v>0</v>
      </c>
      <c r="M30" s="13">
        <f>+Инвойс!M30</f>
        <v>5300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1000</v>
      </c>
      <c r="F31" s="15"/>
      <c r="G31" s="64">
        <f>SUM(G30:G30)</f>
        <v>23000</v>
      </c>
      <c r="H31" s="64">
        <f>SUM(H30:H30)</f>
        <v>21200</v>
      </c>
      <c r="I31" s="102"/>
      <c r="J31" s="17">
        <f>SUM(J30:J30)</f>
        <v>5300</v>
      </c>
      <c r="K31" s="16"/>
      <c r="L31" s="16"/>
      <c r="M31" s="17">
        <f>SUM(M30:M30)</f>
        <v>5300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триста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1" t="s">
        <v>158</v>
      </c>
      <c r="B36" s="131"/>
      <c r="D36" s="18" t="str">
        <f>+Инвойс!D36</f>
        <v>ЭШТЕМИРОВ Х.Х</v>
      </c>
      <c r="E36" s="132"/>
      <c r="G36" s="129" t="s">
        <v>130</v>
      </c>
      <c r="H36" s="18" t="str">
        <f>Инвойс!G5</f>
        <v>ООО «ГРИН ВОРЛД»</v>
      </c>
      <c r="K36" s="133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128</v>
      </c>
    </row>
    <row r="5" spans="1:10" ht="39.6" x14ac:dyDescent="0.25">
      <c r="A5" s="126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6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6" t="s">
        <v>119</v>
      </c>
    </row>
    <row r="10" spans="1:10" x14ac:dyDescent="0.25">
      <c r="A10" s="126"/>
      <c r="E10" s="18" t="s">
        <v>134</v>
      </c>
      <c r="J10" s="25" t="s">
        <v>135</v>
      </c>
    </row>
    <row r="11" spans="1:10" ht="52.8" x14ac:dyDescent="0.25">
      <c r="A11" s="126" t="s">
        <v>159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6" t="s">
        <v>120</v>
      </c>
    </row>
    <row r="15" spans="1:10" ht="39.6" x14ac:dyDescent="0.25">
      <c r="A15" s="126" t="s">
        <v>121</v>
      </c>
    </row>
    <row r="17" spans="1:1" ht="39.6" x14ac:dyDescent="0.25">
      <c r="A17" s="126" t="s">
        <v>122</v>
      </c>
    </row>
    <row r="19" spans="1:1" ht="39.6" x14ac:dyDescent="0.25">
      <c r="A19" s="128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5300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триста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45900</v>
      </c>
      <c r="O3" s="178"/>
      <c r="P3">
        <f ca="1">DAY(N3)</f>
        <v>31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триста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31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триста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триста долларов США, 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триста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45900</v>
      </c>
    </row>
    <row r="13" spans="1:19" s="43" customFormat="1" x14ac:dyDescent="0.25">
      <c r="A13" s="49"/>
      <c r="D13" s="51"/>
      <c r="E13" s="52">
        <f>TRUNC(E2)</f>
        <v>5300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530</v>
      </c>
      <c r="B28" s="58">
        <f>TRUNC(RIGHT(A28))</f>
        <v>0</v>
      </c>
      <c r="C28" s="51">
        <f>IF(B28=1,"",B28)</f>
        <v>0</v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5300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300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2025-08-31T09:59:15Z</cp:lastPrinted>
  <dcterms:created xsi:type="dcterms:W3CDTF">1996-10-14T23:33:28Z</dcterms:created>
  <dcterms:modified xsi:type="dcterms:W3CDTF">2025-08-31T09:59:29Z</dcterms:modified>
</cp:coreProperties>
</file>