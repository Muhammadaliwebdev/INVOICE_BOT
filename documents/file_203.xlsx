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E3080F1-D637-4D4B-9A20-CE7A5F446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<sst xmlns="http://schemas.openxmlformats.org/spreadsheetml/2006/main" count="202" uniqueCount="164">
  <si>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</si>
  <si>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</si>
  <si>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</si>
  <si>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</si>
  <si>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</si>
  <si>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</si>
  <si>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</si>
  <si>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</si>
  <si>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</si>
  <si>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</si>
  <si>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</si>
  <si>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</si>
  <si>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</si>
  <si>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</si>
  <si>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</si>
  <si>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</si>
  <si>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</si>
  <si>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</si>
  <si>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</si>
  <si>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</si>
  <si>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</si>
  <si>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</si>
  <si>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</si>
  <si>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</si>
  <si>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</si>
  <si>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</si>
  <si>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</si>
  <si>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</si>
  <si>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</si>
  <si>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</si>
  <si>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</si>
  <si>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</si>
  <si>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</si>
  <si>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</si>
  <si>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</si>
  <si>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</si>
  <si>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</si>
  <si>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</si>
  <si>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</si>
  <si>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</si>
  <si>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</si>
  <si>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</si>
  <si>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</si>
  <si>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</si>
  <si>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</si>
  <si>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</si>
  <si>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</si>
  <si>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</si>
  <si>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</si>
  <si>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</si>
  <si>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</si>
  <si>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</si>
  <si>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</si>
  <si>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</si>
  <si>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</si>
  <si>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</si>
  <si>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</si>
  <si>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</si>
  <si>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</si>
  <si>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</si>
  <si>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</si>
  <si>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</si>
  <si>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</si>
  <si>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</si>
  <si>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</si>
  <si>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</si>
  <si>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</si>
  <si>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</si>
  <si>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</si>
  <si>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</si>
  <si>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</si>
  <si>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</si>
  <si>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</si>
  <si>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</si>
  <si>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</si>
  <si>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</si>
  <si>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</si>
  <si>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</si>
  <si>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</si>
  <si>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</si>
  <si>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</si>
  <si>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</si>
  <si>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</si>
  <si>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</si>
  <si>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</si>
  <si>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</si>
  <si>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</si>
  <si>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</si>
  <si>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</si>
  <si>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</si>
  <si>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</si>
  <si>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</si>
  <si>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</si>
  <si>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</si>
  <si>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</si>
  <si>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</si>
  <si>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</si>
  <si>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</si>
  <si>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</si>
  <si>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</si>
  <si>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</si>
  <si>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</si>
  <si>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</si>
  <si>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</si>
  <si>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</si>
  <si>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</si>
  <si>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</si>
  <si>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</si>
  <si>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</si>
  <si>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</si>
  <si>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</si>
  <si>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</si>
  <si>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</si>
  <si>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</si>
  <si>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</si>
  <si>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</si>
  <si>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</si>
  <si>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</si>
  <si>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</si>
  <si>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</si>
  <si>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</si>
  <si>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</si>
  <si>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</si>
  <si>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</si>
  <si>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</si>
  <si>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</si>
  <si>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</si>
  <si>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</si>
  <si>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</si>
  <si>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</si>
  <si>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</si>
  <si>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</si>
  <si>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</si>
  <si>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</si>
  <si>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</si>
  <si>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</si>
  <si>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</si>
  <si>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</si>
  <si>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</si>
  <si>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</si>
  <si>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</si>
  <si>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</si>
  <si>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</si>
  <si>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</si>
  <si>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</si>
  <si>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</si>
  <si>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</si>
  <si>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</si>
  <si>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</si>
  <si>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</si>
  <si>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</si>
  <si>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</si>
  <si>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</si>
  <si>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</si>
  <si>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</si>
  <si>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</si>
  <si>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</si>
  <si>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</si>
  <si>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BEZ-M-14 от </t>
  </si>
  <si>
    <t xml:space="preserve"> 12.08.2025г.</t>
  </si>
  <si>
    <t>DAP - с Амандык , Республика Казахстан</t>
  </si>
  <si>
    <t>20L021DA/202100AA</t>
  </si>
  <si>
    <t xml:space="preserve">СПЕЦИФИКАЦИЯ № BEZ-M-14 от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</si>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</sst>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119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160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  <c r="H25" t="s">
        <v>163</v>
      </c>
    </row>
    <row r="26" spans="1:17" ht="15.6" x14ac:dyDescent="0.3">
      <c r="A26" s="1" t="s">
        <v>25</v>
      </c>
      <c r="C26" s="18" t="s">
        <v>26</v>
      </c>
      <c r="E26" s="137" t="s">
        <v>161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920</v>
      </c>
      <c r="F30" s="110" t="s">
        <v>27</v>
      </c>
      <c r="G30" s="106">
        <v>22100</v>
      </c>
      <c r="H30" s="106">
        <v>20444</v>
      </c>
      <c r="I30" s="108">
        <v>0.2</v>
      </c>
      <c r="J30" s="13">
        <f t="shared" ref="J30" si="0">H30*I30</f>
        <v>4088.8</v>
      </c>
      <c r="K30" s="12">
        <v>0</v>
      </c>
      <c r="L30" s="12">
        <v>0</v>
      </c>
      <c r="M30" s="13">
        <f t="shared" ref="M30" si="1">J30</f>
        <v>4088.8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920</v>
      </c>
      <c r="F31" s="15"/>
      <c r="G31" s="64">
        <f>SUM(G30:G30)</f>
        <v>22100</v>
      </c>
      <c r="H31" s="64">
        <f>SUM(H30:H30)</f>
        <v>20444</v>
      </c>
      <c r="I31" s="102"/>
      <c r="J31" s="17">
        <f>SUM(J30:J30)</f>
        <v>4088.8</v>
      </c>
      <c r="K31" s="16"/>
      <c r="L31" s="16"/>
      <c r="M31" s="17">
        <f>SUM(M30:M30)</f>
        <v>4088.8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восемьдесят восемь долларов США, 80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N30" sqref="N3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BEZ-M-14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20L021DA/202100AA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I31" sqref="I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20L021DA/202100AA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BEZ-M-14 от  12.08.2025г.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22100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920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4" zoomScale="85" zoomScaleNormal="85" workbookViewId="0">
      <selection activeCell="S28" sqref="S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162</v>
      </c>
      <c r="C1" s="169"/>
      <c r="D1" s="169"/>
      <c r="E1" s="169"/>
      <c r="F1" s="149" t="str">
        <f>+Инвойс!F1</f>
        <v xml:space="preserve"> 12.08.2025г.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20L021DA/202100AA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22100</v>
      </c>
      <c r="H30" s="106">
        <f>+Инвойс!H30</f>
        <v>20444</v>
      </c>
      <c r="I30" s="108">
        <f>+Инвойс!I30</f>
        <v>0.2</v>
      </c>
      <c r="J30" s="13">
        <f>+Инвойс!J30</f>
        <v>4088.8</v>
      </c>
      <c r="K30" s="12">
        <v>0</v>
      </c>
      <c r="L30" s="12">
        <v>0</v>
      </c>
      <c r="M30" s="13">
        <f>+Инвойс!M30</f>
        <v>4088.8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920</v>
      </c>
      <c r="F31" s="15"/>
      <c r="G31" s="64">
        <f>SUM(G30:G30)</f>
        <v>22100</v>
      </c>
      <c r="H31" s="64">
        <f>SUM(H30:H30)</f>
        <v>20444</v>
      </c>
      <c r="I31" s="102"/>
      <c r="J31" s="17">
        <f>SUM(J30:J30)</f>
        <v>4088.8</v>
      </c>
      <c r="K31" s="16"/>
      <c r="L31" s="16"/>
      <c r="M31" s="17">
        <f>SUM(M30:M30)</f>
        <v>4088.8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восемьдесят восемь долларов США, 80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4"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4088.8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восемьдесят восемь долларов США, 80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восемьдесят восемь долларов США, 80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восемьдесят восемь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восемьдесят восемь долларов США, 80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восемьдесят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4088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408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4088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2025-08-13T08:02:43Z</cp:lastPrinted>
  <dcterms:created xsi:type="dcterms:W3CDTF">1996-10-14T23:33:28Z</dcterms:created>
  <dcterms:modified xsi:type="dcterms:W3CDTF">2025-08-13T08:02:50Z</dcterms:modified>
</cp:coreProperties>
</file>