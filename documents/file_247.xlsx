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725" windowHeight="1224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<sst xmlns="http://schemas.openxmlformats.org/spreadsheetml/2006/main" count="211" uniqueCount="164">
  <si>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</si>
  <si>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</si>
  <si>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</si>
  <si>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</si>
  <si>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</si>
  <si>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</si>
  <si>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</si>
  <si>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</si>
  <si>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</si>
  <si>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</si>
  <si>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</si>
  <si>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</si>
  <si>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</si>
  <si>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</si>
  <si>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</si>
  <si>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</si>
  <si>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</si>
  <si>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</si>
  <si>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</si>
  <si>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</si>
  <si>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</si>
  <si>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</si>
  <si>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</si>
  <si>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</si>
  <si>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</si>
  <si>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</si>
  <si>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</si>
  <si>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</si>
  <si>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</si>
  <si>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</si>
  <si>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</si>
  <si>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</si>
  <si>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</si>
  <si>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</si>
  <si>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</si>
  <si>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</si>
  <si>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</si>
  <si>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</si>
  <si>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</si>
  <si>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</si>
  <si>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</si>
  <si>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</si>
  <si>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</si>
  <si>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</si>
  <si>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</si>
  <si>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</si>
  <si>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</si>
  <si>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</si>
  <si>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</si>
  <si>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</si>
  <si>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</si>
  <si>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</si>
  <si>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</si>
  <si>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</si>
  <si>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</si>
  <si>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</si>
  <si>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</si>
  <si>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</si>
  <si>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</si>
  <si>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</si>
  <si>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</si>
  <si>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</si>
  <si>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</si>
  <si>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</si>
  <si>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</si>
  <si>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</si>
  <si>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</si>
  <si>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</si>
  <si>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</si>
  <si>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</si>
  <si>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</si>
  <si>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</si>
  <si>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</si>
  <si>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</si>
  <si>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</si>
  <si>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</si>
  <si>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</si>
  <si>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</si>
  <si>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</si>
  <si>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</si>
  <si>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</si>
  <si>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</si>
  <si>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</si>
  <si>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</si>
  <si>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</si>
  <si>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</si>
  <si>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</si>
  <si>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</si>
  <si>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</si>
  <si>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</si>
  <si>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</si>
  <si>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</si>
  <si>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</si>
  <si>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</si>
  <si>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</si>
  <si>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</si>
  <si>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</si>
  <si>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</si>
  <si>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</si>
  <si>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</si>
  <si>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</si>
  <si>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</si>
  <si>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</si>
  <si>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</si>
  <si>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</si>
  <si>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</si>
  <si>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</si>
  <si>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</si>
  <si>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</si>
  <si>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</si>
  <si>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</si>
  <si>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</si>
  <si>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</si>
  <si>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</si>
  <si>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</si>
  <si>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</si>
  <si>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</si>
  <si>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</si>
  <si>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</si>
  <si>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</si>
  <si>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</si>
  <si>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</si>
  <si>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</si>
  <si>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</si>
  <si>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</si>
  <si>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</si>
  <si>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</si>
  <si>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</si>
  <si>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</si>
  <si>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</si>
  <si>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</si>
  <si>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</si>
  <si>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</si>
  <si>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</si>
  <si>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</si>
  <si>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</si>
  <si>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</si>
  <si>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</si>
  <si>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</si>
  <si>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</si>
  <si>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</si>
  <si>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</si>
  <si>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</si>
  <si>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</si>
  <si>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</si>
  <si>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</si>
  <si>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</si>
  <si>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</si>
  <si>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</si>
  <si>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</si>
  <si>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</si>
  <si>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</si>
  <si>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</si>
  <si>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</si>
  <si>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</si>
  <si>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</si>
  <si>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</si>
  <si>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</si>
  <si>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</si>
  <si>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 28.08.2025г.</t>
  </si>
  <si>
    <t xml:space="preserve">ИНВОЙС № UFG-M-21 от </t>
  </si>
  <si>
    <t>01385XJA/014162BA</t>
  </si>
  <si>
    <t xml:space="preserve">СПЕЦИФИКАЦИЯ № UFG-M-21 от </t>
  </si>
  <si>
    <t>Карт.Коробок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</si>
</sst>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160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151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152</v>
      </c>
      <c r="B5" s="154"/>
      <c r="C5" s="154"/>
      <c r="D5" s="154"/>
      <c r="E5" s="154"/>
      <c r="F5" s="6"/>
      <c r="G5" s="147" t="s">
        <v>139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147</v>
      </c>
      <c r="B6" s="141"/>
      <c r="C6" s="141"/>
      <c r="D6" s="141"/>
      <c r="E6" s="141"/>
      <c r="F6" s="7"/>
      <c r="G6" s="140" t="s">
        <v>140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153</v>
      </c>
      <c r="B7" s="141"/>
      <c r="C7" s="141"/>
      <c r="D7" s="141"/>
      <c r="E7" s="141"/>
      <c r="F7" s="63"/>
      <c r="G7" s="140" t="s">
        <v>141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148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149</v>
      </c>
      <c r="B10" s="124"/>
      <c r="C10" s="124"/>
      <c r="D10" s="124"/>
      <c r="E10" s="124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150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155</v>
      </c>
      <c r="B12" s="8"/>
      <c r="C12" s="8"/>
      <c r="D12" s="8"/>
      <c r="E12" s="8"/>
      <c r="F12" s="7"/>
      <c r="G12" s="143" t="s">
        <v>145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152</v>
      </c>
      <c r="B14" s="154"/>
      <c r="C14" s="154"/>
      <c r="D14" s="154"/>
      <c r="E14" s="154"/>
      <c r="F14" s="6"/>
      <c r="G14" s="147" t="s">
        <v>139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147</v>
      </c>
      <c r="B15" s="141"/>
      <c r="C15" s="141"/>
      <c r="D15" s="141"/>
      <c r="E15" s="141"/>
      <c r="F15" s="7"/>
      <c r="G15" s="140" t="s">
        <v>140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153</v>
      </c>
      <c r="B16" s="141"/>
      <c r="C16" s="141"/>
      <c r="D16" s="141"/>
      <c r="E16" s="141"/>
      <c r="F16" s="63"/>
      <c r="G16" s="140" t="s">
        <v>141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148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149</v>
      </c>
      <c r="B19" s="124"/>
      <c r="C19" s="124"/>
      <c r="D19" s="124"/>
      <c r="E19" s="124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150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155</v>
      </c>
      <c r="B21" s="8"/>
      <c r="C21" s="8"/>
      <c r="D21" s="8"/>
      <c r="E21" s="8"/>
      <c r="G21" s="143" t="s">
        <v>145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117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125</v>
      </c>
      <c r="C30" s="107" t="s">
        <v>126</v>
      </c>
      <c r="D30" s="109" t="s">
        <v>163</v>
      </c>
      <c r="E30" s="101">
        <v>1000</v>
      </c>
      <c r="F30" s="115" t="s">
        <v>27</v>
      </c>
      <c r="G30" s="106">
        <v>22900</v>
      </c>
      <c r="H30" s="106">
        <v>21100</v>
      </c>
      <c r="I30" s="108">
        <v>0.25</v>
      </c>
      <c r="J30" s="13">
        <f t="shared" ref="J30" si="0">H30*I30</f>
        <v>5275</v>
      </c>
      <c r="K30" s="12">
        <v>0</v>
      </c>
      <c r="L30" s="12">
        <v>0</v>
      </c>
      <c r="M30" s="13">
        <f t="shared" ref="M30" si="1">J30</f>
        <v>5275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22900</v>
      </c>
      <c r="H31" s="64">
        <f>SUM(H30:H30)</f>
        <v>21100</v>
      </c>
      <c r="I31" s="102"/>
      <c r="J31" s="17">
        <f>SUM(J30:J30)</f>
        <v>5275</v>
      </c>
      <c r="K31" s="16"/>
      <c r="L31" s="16"/>
      <c r="M31" s="17">
        <f>SUM(M30:M30)</f>
        <v>5275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двести семьдесят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UFG-M-21 от  28.08.2025г.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59" t="str">
        <f>+C22</f>
        <v xml:space="preserve"> 28.08.2025г.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01385XJA/014162BA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6" t="s">
        <v>96</v>
      </c>
      <c r="C2" s="16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7" t="str">
        <f>+Инвойс!E26</f>
        <v>01385XJA/014162BA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28.08.2025г.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UFG-M-21 от  28.08.2025г.</v>
      </c>
      <c r="I15" s="169"/>
      <c r="J15" s="16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1000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22900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1000</v>
      </c>
      <c r="E47" s="141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0" t="s">
        <v>162</v>
      </c>
      <c r="C1" s="170"/>
      <c r="D1" s="170"/>
      <c r="E1" s="170"/>
      <c r="F1" s="152" t="str">
        <f>+Инвойс!F1</f>
        <v xml:space="preserve"> 28.08.2025г.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GR-UF-01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OOO UCHQIZIL FRUITS EXPORT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OOO UCHQIZIL FRUITS EXPORT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114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01385XJA/014162BA</v>
      </c>
      <c r="F26" s="139"/>
      <c r="G26" s="139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22900</v>
      </c>
      <c r="H30" s="106">
        <f>+Инвойс!H30</f>
        <v>21100</v>
      </c>
      <c r="I30" s="108">
        <f>+Инвойс!I30</f>
        <v>0.25</v>
      </c>
      <c r="J30" s="13">
        <f>+Инвойс!J30</f>
        <v>5275</v>
      </c>
      <c r="K30" s="12">
        <v>0</v>
      </c>
      <c r="L30" s="12">
        <v>0</v>
      </c>
      <c r="M30" s="13">
        <f>+Инвойс!M30</f>
        <v>5275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22900</v>
      </c>
      <c r="H31" s="64">
        <f>SUM(H30:H30)</f>
        <v>21100</v>
      </c>
      <c r="I31" s="102"/>
      <c r="J31" s="17">
        <f>SUM(J30:J30)</f>
        <v>5275</v>
      </c>
      <c r="K31" s="16"/>
      <c r="L31" s="16"/>
      <c r="M31" s="17">
        <f>SUM(M30:M30)</f>
        <v>5275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двести семьдесят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157</v>
      </c>
      <c r="B36" s="130"/>
      <c r="D36" s="18" t="str">
        <f>+Инвойс!D36</f>
        <v>ЭШТЕМИРОВ Х.Х</v>
      </c>
      <c r="E36" s="131"/>
      <c r="G36" s="128" t="s">
        <v>129</v>
      </c>
      <c r="H36" s="18" t="str">
        <f>Инвойс!G5</f>
        <v>ООО «ГРИН ВОРЛД»</v>
      </c>
      <c r="K36" s="132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115</v>
      </c>
    </row>
    <row r="3" spans="1:10" ht="51" x14ac:dyDescent="0.2">
      <c r="A3" s="129" t="s">
        <v>127</v>
      </c>
    </row>
    <row r="5" spans="1:10" ht="38.25" x14ac:dyDescent="0.2">
      <c r="A5" s="125" t="s">
        <v>116</v>
      </c>
    </row>
    <row r="6" spans="1:10" x14ac:dyDescent="0.2">
      <c r="E6" s="18" t="s">
        <v>128</v>
      </c>
      <c r="J6" s="25" t="s">
        <v>131</v>
      </c>
    </row>
    <row r="7" spans="1:10" ht="51" x14ac:dyDescent="0.2">
      <c r="A7" s="125" t="s">
        <v>117</v>
      </c>
    </row>
    <row r="8" spans="1:10" x14ac:dyDescent="0.2">
      <c r="E8" s="18" t="s">
        <v>137</v>
      </c>
      <c r="J8" s="25" t="s">
        <v>132</v>
      </c>
    </row>
    <row r="9" spans="1:10" ht="51" x14ac:dyDescent="0.2">
      <c r="A9" s="125" t="s">
        <v>118</v>
      </c>
    </row>
    <row r="10" spans="1:10" x14ac:dyDescent="0.2">
      <c r="A10" s="125"/>
      <c r="E10" s="18" t="s">
        <v>133</v>
      </c>
      <c r="J10" s="25" t="s">
        <v>134</v>
      </c>
    </row>
    <row r="11" spans="1:10" ht="51" x14ac:dyDescent="0.2">
      <c r="A11" s="125" t="s">
        <v>158</v>
      </c>
    </row>
    <row r="12" spans="1:10" x14ac:dyDescent="0.2">
      <c r="E12" s="18" t="s">
        <v>135</v>
      </c>
      <c r="J12" s="25" t="s">
        <v>136</v>
      </c>
    </row>
    <row r="13" spans="1:10" ht="51" x14ac:dyDescent="0.2">
      <c r="A13" s="125" t="s">
        <v>119</v>
      </c>
    </row>
    <row r="15" spans="1:10" ht="38.25" x14ac:dyDescent="0.2">
      <c r="A15" s="125" t="s">
        <v>120</v>
      </c>
    </row>
    <row r="17" spans="1:1" ht="38.25" x14ac:dyDescent="0.2">
      <c r="A17" s="125" t="s">
        <v>121</v>
      </c>
    </row>
    <row r="19" spans="1:1" ht="38.25" x14ac:dyDescent="0.2">
      <c r="A19" s="127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45897</v>
      </c>
      <c r="O3" s="177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двести семьдесят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28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семьдесят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семьдесят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семьдесят пять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">
      <c r="A13" s="49"/>
      <c r="D13" s="51"/>
      <c r="E13" s="52">
        <f>TRUNC(E2)</f>
        <v>5275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5275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2025-08-28T14:02:32Z</cp:lastPrinted>
  <dcterms:created xsi:type="dcterms:W3CDTF">1996-10-14T23:33:28Z</dcterms:created>
  <dcterms:modified xsi:type="dcterms:W3CDTF">2025-08-28T14:02:34Z</dcterms:modified>
</cp:coreProperties>
</file>