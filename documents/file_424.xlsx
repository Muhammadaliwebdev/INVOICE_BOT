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ECB8E73-6AA5-47CC-839F-EEF76D9AAF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<sst xmlns="http://schemas.openxmlformats.org/spreadsheetml/2006/main" count="217" uniqueCount="166">
  <si>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</si>
  <si>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</si>
  <si>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</si>
  <si>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</si>
  <si>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</si>
  <si>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</si>
  <si>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</si>
  <si>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</si>
  <si>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</si>
  <si>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</si>
  <si>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</si>
  <si>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</si>
  <si>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</si>
  <si>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</si>
  <si>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</si>
  <si>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</si>
  <si>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</si>
  <si>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</si>
  <si>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</si>
  <si>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</si>
  <si>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</si>
  <si>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</si>
  <si>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</si>
  <si>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</si>
  <si>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</si>
  <si>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</si>
  <si>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</si>
  <si>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</si>
  <si>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</si>
  <si>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</si>
  <si>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</si>
  <si>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</si>
  <si>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</si>
  <si>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</si>
  <si>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</si>
  <si>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</si>
  <si>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</si>
  <si>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</si>
  <si>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</si>
  <si>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</si>
  <si>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</si>
  <si>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</si>
  <si>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</si>
  <si>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</si>
  <si>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</si>
  <si>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</si>
  <si>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</si>
  <si>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</si>
  <si>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</si>
  <si>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</si>
  <si>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</si>
  <si>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</si>
  <si>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</si>
  <si>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</si>
  <si>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</si>
  <si>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</si>
  <si>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</si>
  <si>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</si>
  <si>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</si>
  <si>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</si>
  <si>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</si>
  <si>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</si>
  <si>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</si>
  <si>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</si>
  <si>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</si>
  <si>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</si>
  <si>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</si>
  <si>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</si>
  <si>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</si>
  <si>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</si>
  <si>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</si>
  <si>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</si>
  <si>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</si>
  <si>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</si>
  <si>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</si>
  <si>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</si>
  <si>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</si>
  <si>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</si>
  <si>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</si>
  <si>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</si>
  <si>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</si>
  <si>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</si>
  <si>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</si>
  <si>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</si>
  <si>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</si>
  <si>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</si>
  <si>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</si>
  <si>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</si>
  <si>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</si>
  <si>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</si>
  <si>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</si>
  <si>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</si>
  <si>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</si>
  <si>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</si>
  <si>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</si>
  <si>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</si>
  <si>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</si>
  <si>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</si>
  <si>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</si>
  <si>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</si>
  <si>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</si>
  <si>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</si>
  <si>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</si>
  <si>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</si>
  <si>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</si>
  <si>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</si>
  <si>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</si>
  <si>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</si>
  <si>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</si>
  <si>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</si>
  <si>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</si>
  <si>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</si>
  <si>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</si>
  <si>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</si>
  <si>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</si>
  <si>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</si>
  <si>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</si>
  <si>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</si>
  <si>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</si>
  <si>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</si>
  <si>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</si>
  <si>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</si>
  <si>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</si>
  <si>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</si>
  <si>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</si>
  <si>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</si>
  <si>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</si>
  <si>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</si>
  <si>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</si>
  <si>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</si>
  <si>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</si>
  <si>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</si>
  <si>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</si>
  <si>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</si>
  <si>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</si>
  <si>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</si>
  <si>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</si>
  <si>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</si>
  <si>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</si>
  <si>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</si>
  <si>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</si>
  <si>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</si>
  <si>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</si>
  <si>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</si>
  <si>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</si>
  <si>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</si>
  <si>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</si>
  <si>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</si>
  <si>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</si>
  <si>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</si>
  <si>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</si>
  <si>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</si>
  <si>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</si>
  <si>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</si>
  <si>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</si>
  <si>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</si>
  <si>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</si>
  <si>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</si>
  <si>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</si>
  <si>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</si>
  <si>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UFG-M-62 от </t>
  </si>
  <si>
    <t xml:space="preserve"> 05.09.2025г.</t>
  </si>
  <si>
    <t>10155DCA/102036BA</t>
  </si>
  <si>
    <t>навалом</t>
  </si>
  <si>
    <t>-</t>
  </si>
  <si>
    <t xml:space="preserve">СПЕЦИФИКАЦИЯ № UFG-M-62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</si>
</sst>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37</xdr:row>
      <xdr:rowOff>89647</xdr:rowOff>
    </xdr:from>
    <xdr:to>
      <xdr:col>4</xdr:col>
      <xdr:colOff>212668</xdr:colOff>
      <xdr:row>49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37</xdr:row>
      <xdr:rowOff>56029</xdr:rowOff>
    </xdr:from>
    <xdr:to>
      <xdr:col>3</xdr:col>
      <xdr:colOff>459195</xdr:colOff>
      <xdr:row>48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37</xdr:row>
      <xdr:rowOff>67235</xdr:rowOff>
    </xdr:from>
    <xdr:to>
      <xdr:col>9</xdr:col>
      <xdr:colOff>421901</xdr:colOff>
      <xdr:row>48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9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151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152</v>
      </c>
      <c r="B5" s="136"/>
      <c r="C5" s="136"/>
      <c r="D5" s="136"/>
      <c r="E5" s="136"/>
      <c r="F5" s="6"/>
      <c r="G5" s="138" t="s">
        <v>139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147</v>
      </c>
      <c r="B6" s="143"/>
      <c r="C6" s="143"/>
      <c r="D6" s="143"/>
      <c r="E6" s="143"/>
      <c r="F6" s="7"/>
      <c r="G6" s="140" t="s">
        <v>140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153</v>
      </c>
      <c r="B7" s="143"/>
      <c r="C7" s="143"/>
      <c r="D7" s="143"/>
      <c r="E7" s="143"/>
      <c r="F7" s="63"/>
      <c r="G7" s="140" t="s">
        <v>141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148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149</v>
      </c>
      <c r="B10" s="125"/>
      <c r="C10" s="125"/>
      <c r="D10" s="125"/>
      <c r="E10" s="125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155</v>
      </c>
      <c r="B12" s="8"/>
      <c r="C12" s="8"/>
      <c r="D12" s="8"/>
      <c r="E12" s="8"/>
      <c r="F12" s="7"/>
      <c r="G12" s="139" t="s">
        <v>145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152</v>
      </c>
      <c r="B14" s="136"/>
      <c r="C14" s="136"/>
      <c r="D14" s="136"/>
      <c r="E14" s="136"/>
      <c r="F14" s="6"/>
      <c r="G14" s="138" t="s">
        <v>139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147</v>
      </c>
      <c r="B15" s="143"/>
      <c r="C15" s="143"/>
      <c r="D15" s="143"/>
      <c r="E15" s="143"/>
      <c r="F15" s="7"/>
      <c r="G15" s="140" t="s">
        <v>140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153</v>
      </c>
      <c r="B16" s="143"/>
      <c r="C16" s="143"/>
      <c r="D16" s="143"/>
      <c r="E16" s="143"/>
      <c r="F16" s="63"/>
      <c r="G16" s="140" t="s">
        <v>141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148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149</v>
      </c>
      <c r="B19" s="125"/>
      <c r="C19" s="125"/>
      <c r="D19" s="125"/>
      <c r="E19" s="125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155</v>
      </c>
      <c r="B21" s="8"/>
      <c r="C21" s="8"/>
      <c r="D21" s="8"/>
      <c r="E21" s="8"/>
      <c r="G21" s="139" t="s">
        <v>145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137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967</v>
      </c>
      <c r="F30" s="110" t="s">
        <v>27</v>
      </c>
      <c r="G30" s="106">
        <v>22170</v>
      </c>
      <c r="H30" s="106">
        <v>20429</v>
      </c>
      <c r="I30" s="108">
        <v>0.25</v>
      </c>
      <c r="J30" s="13">
        <f t="shared" ref="J30:J31" si="0">H30*I30</f>
        <v>5107.25</v>
      </c>
      <c r="K30" s="12">
        <v>0</v>
      </c>
      <c r="L30" s="12">
        <v>0</v>
      </c>
      <c r="M30" s="13">
        <f t="shared" ref="M30:M31" si="1">J30</f>
        <v>5107.25</v>
      </c>
      <c r="O30" s="100"/>
      <c r="Q30" s="100"/>
    </row>
    <row r="31" spans="1:17" ht="13.8" x14ac:dyDescent="0.25">
      <c r="A31" s="127">
        <v>2</v>
      </c>
      <c r="B31" s="101" t="s">
        <v>125</v>
      </c>
      <c r="C31" s="107" t="s">
        <v>126</v>
      </c>
      <c r="D31" s="109" t="s">
        <v>163</v>
      </c>
      <c r="E31" s="101" t="s">
        <v>164</v>
      </c>
      <c r="F31" s="116" t="s">
        <v>27</v>
      </c>
      <c r="G31" s="106">
        <v>530</v>
      </c>
      <c r="H31" s="106">
        <v>530</v>
      </c>
      <c r="I31" s="108">
        <v>0.25</v>
      </c>
      <c r="J31" s="13">
        <f t="shared" si="0"/>
        <v>132.5</v>
      </c>
      <c r="K31" s="12">
        <v>0</v>
      </c>
      <c r="L31" s="12">
        <v>0</v>
      </c>
      <c r="M31" s="13">
        <f t="shared" si="1"/>
        <v>132.5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967</v>
      </c>
      <c r="F32" s="15"/>
      <c r="G32" s="64">
        <f>SUM(G30:G31)</f>
        <v>22700</v>
      </c>
      <c r="H32" s="64">
        <f>SUM(H30:H31)</f>
        <v>20959</v>
      </c>
      <c r="I32" s="102"/>
      <c r="J32" s="17">
        <f>SUM(J30:J31)</f>
        <v>5239.75</v>
      </c>
      <c r="K32" s="16"/>
      <c r="L32" s="16"/>
      <c r="M32" s="17">
        <f>SUM(M30:M31)</f>
        <v>5239.75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Пять тысяч двести тридцать девять долларов США, 75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 t="s">
        <v>109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3.8" x14ac:dyDescent="0.25">
      <c r="A37" s="7" t="s">
        <v>28</v>
      </c>
      <c r="B37" s="7"/>
      <c r="D37" s="25" t="s">
        <v>156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41" sqref="J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UFG-M-62 от  05.09.2025г.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967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22170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530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05.09.2025г.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10155DCA/102036BA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32" sqref="G32:H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10155DCA/102036BA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UFG-M-62 от  05.09.2025г.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967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22170</v>
      </c>
    </row>
    <row r="20" spans="2:10" ht="13.5" customHeight="1" x14ac:dyDescent="0.3">
      <c r="B20" s="83"/>
      <c r="E20" s="123"/>
      <c r="F20" s="118" t="str">
        <f>+Инвойс!E31</f>
        <v>-</v>
      </c>
      <c r="G20" s="167" t="str">
        <f>+CMR!F31</f>
        <v>Дыни свежие</v>
      </c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навалом</v>
      </c>
      <c r="G21" s="161" t="str">
        <f>+Инвойс!C31</f>
        <v>0807190001</v>
      </c>
      <c r="H21" s="162"/>
      <c r="I21" s="122" t="s">
        <v>103</v>
      </c>
      <c r="J21" s="120">
        <f>+Инвойс!G31</f>
        <v>530</v>
      </c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v>967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7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165</v>
      </c>
      <c r="C1" s="173"/>
      <c r="D1" s="173"/>
      <c r="E1" s="173"/>
      <c r="F1" s="134" t="str">
        <f>+Инвойс!F1</f>
        <v xml:space="preserve"> 05.09.2025г.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10155DCA/102036BA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3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967</v>
      </c>
      <c r="F30" s="116" t="str">
        <f>+Инвойс!F30</f>
        <v>кг</v>
      </c>
      <c r="G30" s="106">
        <f>+Инвойс!G30</f>
        <v>22170</v>
      </c>
      <c r="H30" s="106">
        <f>+Инвойс!H30</f>
        <v>20429</v>
      </c>
      <c r="I30" s="108">
        <f>+Инвойс!I30</f>
        <v>0.25</v>
      </c>
      <c r="J30" s="13">
        <f>+Инвойс!J30</f>
        <v>5107.25</v>
      </c>
      <c r="K30" s="12">
        <v>0</v>
      </c>
      <c r="L30" s="12">
        <v>0</v>
      </c>
      <c r="M30" s="13">
        <f>+Инвойс!M30</f>
        <v>5107.25</v>
      </c>
      <c r="O30" s="100"/>
      <c r="Q30" s="100"/>
    </row>
    <row r="31" spans="1:17" ht="13.8" x14ac:dyDescent="0.25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530</v>
      </c>
      <c r="H31" s="106">
        <f>+Инвойс!H31</f>
        <v>530</v>
      </c>
      <c r="I31" s="108">
        <f>+Инвойс!I31</f>
        <v>0.25</v>
      </c>
      <c r="J31" s="13">
        <f>+Инвойс!J31</f>
        <v>132.5</v>
      </c>
      <c r="K31" s="12">
        <v>0</v>
      </c>
      <c r="L31" s="12">
        <v>0</v>
      </c>
      <c r="M31" s="13">
        <f>+Инвойс!M31</f>
        <v>132.5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967</v>
      </c>
      <c r="F32" s="15"/>
      <c r="G32" s="64">
        <f>SUM(G30:G31)</f>
        <v>22700</v>
      </c>
      <c r="H32" s="64">
        <f>SUM(H30:H31)</f>
        <v>20959</v>
      </c>
      <c r="I32" s="102"/>
      <c r="J32" s="17">
        <f>SUM(J30:J31)</f>
        <v>5239.75</v>
      </c>
      <c r="K32" s="16"/>
      <c r="L32" s="16"/>
      <c r="M32" s="17">
        <f>SUM(M30:M31)</f>
        <v>5239.75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Пять тысяч двести тридцать девять долларов США, 75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6" x14ac:dyDescent="0.3">
      <c r="A37" s="131" t="s">
        <v>157</v>
      </c>
      <c r="B37" s="131"/>
      <c r="D37" s="18" t="str">
        <f>+Инвойс!D37</f>
        <v>ЭШТЕМИРОВ Х.Х</v>
      </c>
      <c r="E37" s="132"/>
      <c r="G37" s="129" t="s">
        <v>129</v>
      </c>
      <c r="H37" s="18" t="str">
        <f>Инвойс!G5</f>
        <v>ООО «ГРИН ВОРЛД»</v>
      </c>
      <c r="K37" s="133" t="s">
        <v>146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159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6" t="s">
        <v>117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133</v>
      </c>
      <c r="J10" s="25" t="s">
        <v>134</v>
      </c>
    </row>
    <row r="11" spans="1:10" ht="52.8" x14ac:dyDescent="0.25">
      <c r="A11" s="126" t="s">
        <v>158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Инвойс!M32</f>
        <v>5239.75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тридцать девять долларов США, 75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45905</v>
      </c>
      <c r="O3" s="177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тридцать девять долларов США, 75 центов. (в т.ч. НДС - 357,79)</v>
      </c>
      <c r="H4" s="32"/>
      <c r="I4" s="32"/>
      <c r="J4" s="32"/>
      <c r="K4" s="178" t="str">
        <f ca="1">CONCATENATE(" «  ",P3,"  »  ",Q3,"  ",R3," г.")</f>
        <v xml:space="preserve"> «  5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тридцать девять долларов США, 75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тридцать девять долларов США, 75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тридцать девять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75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5239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5239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239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2025-09-05T04:08:25Z</cp:lastPrinted>
  <dcterms:created xsi:type="dcterms:W3CDTF">1996-10-14T23:33:28Z</dcterms:created>
  <dcterms:modified xsi:type="dcterms:W3CDTF">2025-09-05T04:08:56Z</dcterms:modified>
</cp:coreProperties>
</file>