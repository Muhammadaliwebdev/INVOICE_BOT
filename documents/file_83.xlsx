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15760BE-70AC-4423-B348-83D6F1EDB7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<sst xmlns="http://schemas.openxmlformats.org/spreadsheetml/2006/main" count="209" uniqueCount="163">
  <si>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</si>
  <si>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</si>
  <si>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</si>
  <si>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</si>
  <si>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</si>
  <si>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</si>
  <si>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</si>
  <si>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</si>
  <si>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</si>
  <si>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</si>
  <si>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</si>
  <si>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</si>
  <si>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</si>
  <si>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</si>
  <si>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</si>
  <si>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</si>
  <si>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</si>
  <si>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</si>
  <si>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</si>
  <si>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</si>
  <si>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</si>
  <si>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</si>
  <si>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</si>
  <si>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</si>
  <si>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</si>
  <si>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</si>
  <si>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</si>
  <si>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</si>
  <si>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</si>
  <si>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</si>
  <si>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</si>
  <si>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</si>
  <si>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</si>
  <si>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</si>
  <si>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</si>
  <si>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</si>
  <si>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</si>
  <si>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</si>
  <si>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</si>
  <si>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</si>
  <si>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</si>
  <si>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</si>
  <si>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</si>
  <si>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</si>
  <si>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</si>
  <si>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</si>
  <si>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</si>
  <si>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</si>
  <si>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</si>
  <si>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</si>
  <si>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</si>
  <si>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</si>
  <si>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</si>
  <si>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</si>
  <si>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</si>
  <si>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</si>
  <si>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</si>
  <si>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</si>
  <si>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</si>
  <si>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</si>
  <si>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</si>
  <si>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</si>
  <si>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</si>
  <si>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</si>
  <si>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</si>
  <si>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</si>
  <si>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</si>
  <si>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</si>
  <si>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</si>
  <si>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</si>
  <si>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</si>
  <si>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</si>
  <si>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</si>
  <si>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</si>
  <si>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</si>
  <si>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</si>
  <si>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</si>
  <si>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</si>
  <si>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</si>
  <si>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</si>
  <si>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</si>
  <si>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</si>
  <si>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</si>
  <si>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</si>
  <si>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</si>
  <si>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</si>
  <si>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</si>
  <si>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</si>
  <si>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</si>
  <si>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</si>
  <si>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</si>
  <si>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</si>
  <si>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</si>
  <si>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</si>
  <si>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</si>
  <si>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</si>
  <si>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</si>
  <si>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</si>
  <si>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</si>
  <si>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</si>
  <si>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</si>
  <si>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</si>
  <si>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</si>
  <si>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</si>
  <si>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</si>
  <si>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</si>
  <si>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</si>
  <si>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</si>
  <si>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</si>
  <si>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</si>
  <si>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</si>
  <si>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</si>
  <si>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</si>
  <si>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</si>
  <si>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</si>
  <si>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</si>
  <si>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</si>
  <si>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</si>
  <si>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</si>
  <si>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</si>
  <si>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</si>
  <si>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</si>
  <si>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</si>
  <si>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</si>
  <si>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</si>
  <si>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</si>
  <si>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</si>
  <si>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</si>
  <si>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</si>
  <si>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</si>
  <si>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</si>
  <si>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</si>
  <si>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</si>
  <si>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</si>
  <si>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</si>
  <si>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</si>
  <si>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</si>
  <si>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</si>
  <si>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</si>
  <si>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</si>
  <si>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</si>
  <si>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</si>
  <si>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</si>
  <si>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</si>
  <si>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</si>
  <si>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</si>
  <si>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</si>
  <si>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</si>
  <si>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</si>
  <si>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</si>
  <si>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</si>
  <si>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</si>
  <si>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</si>
  <si>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</si>
  <si>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</si>
  <si>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</si>
  <si>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</si>
  <si>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</si>
  <si>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VG-N-19 от </t>
  </si>
  <si>
    <t xml:space="preserve"> 27.08.2025г.</t>
  </si>
  <si>
    <t>01657FKA/015024BA</t>
  </si>
  <si>
    <t xml:space="preserve">СПЕЦИФИКАЦИЯ № VG-N-19 от 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</si>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</sst>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139</v>
      </c>
      <c r="B5" s="136"/>
      <c r="C5" s="136"/>
      <c r="D5" s="136"/>
      <c r="E5" s="136"/>
      <c r="F5" s="6"/>
      <c r="G5" s="138" t="s">
        <v>149</v>
      </c>
      <c r="H5" s="138"/>
      <c r="I5" s="138"/>
      <c r="J5" s="138"/>
      <c r="K5" s="138"/>
      <c r="L5" s="138"/>
      <c r="M5" s="138"/>
    </row>
    <row r="6" spans="1:15" ht="15" x14ac:dyDescent="0.25">
      <c r="A6" s="142" t="s">
        <v>140</v>
      </c>
      <c r="B6" s="143"/>
      <c r="C6" s="143"/>
      <c r="D6" s="143"/>
      <c r="E6" s="143"/>
      <c r="F6" s="7"/>
      <c r="G6" s="140" t="s">
        <v>150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147</v>
      </c>
      <c r="B7" s="143"/>
      <c r="C7" s="143"/>
      <c r="D7" s="143"/>
      <c r="E7" s="143"/>
      <c r="F7" s="63"/>
      <c r="G7" s="140" t="s">
        <v>151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141</v>
      </c>
      <c r="B8" s="8"/>
      <c r="C8" s="8"/>
      <c r="D8" s="8"/>
      <c r="E8" s="8"/>
      <c r="F8" s="63"/>
      <c r="G8" s="7" t="s">
        <v>152</v>
      </c>
      <c r="H8" s="23"/>
      <c r="I8" s="23"/>
      <c r="J8" s="23"/>
      <c r="K8" s="23"/>
      <c r="L8" s="23"/>
      <c r="M8" s="23"/>
    </row>
    <row r="9" spans="1:15" ht="15" x14ac:dyDescent="0.25">
      <c r="A9" s="8" t="s">
        <v>142</v>
      </c>
      <c r="B9" s="8"/>
      <c r="C9" s="8"/>
      <c r="D9" s="8"/>
      <c r="E9" s="8"/>
      <c r="F9" s="7"/>
      <c r="G9" s="7" t="s">
        <v>153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143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144</v>
      </c>
      <c r="B11" s="8"/>
      <c r="C11" s="8"/>
      <c r="D11" s="8"/>
      <c r="E11" s="8"/>
      <c r="F11" s="7"/>
      <c r="G11" s="7" t="s">
        <v>154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155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139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140</v>
      </c>
      <c r="B15" s="143"/>
      <c r="C15" s="143"/>
      <c r="D15" s="143"/>
      <c r="E15" s="143"/>
      <c r="F15" s="7"/>
      <c r="G15" s="140" t="s">
        <v>150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147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141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142</v>
      </c>
      <c r="B18" s="8"/>
      <c r="C18" s="8"/>
      <c r="D18" s="8"/>
      <c r="E18" s="8"/>
      <c r="F18" s="7"/>
      <c r="G18" s="7" t="s">
        <v>153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143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144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155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135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123</v>
      </c>
      <c r="C30" s="107" t="s">
        <v>122</v>
      </c>
      <c r="D30" s="109" t="s">
        <v>162</v>
      </c>
      <c r="E30" s="101">
        <v>2650</v>
      </c>
      <c r="F30" s="110" t="s">
        <v>27</v>
      </c>
      <c r="G30" s="106">
        <v>22600</v>
      </c>
      <c r="H30" s="106">
        <v>20745</v>
      </c>
      <c r="I30" s="108">
        <v>1.25</v>
      </c>
      <c r="J30" s="13">
        <f t="shared" ref="J30" si="0">H30*I30</f>
        <v>25931.25</v>
      </c>
      <c r="K30" s="12">
        <v>0</v>
      </c>
      <c r="L30" s="12">
        <v>0</v>
      </c>
      <c r="M30" s="13">
        <f t="shared" ref="M30" si="1">J30</f>
        <v>25931.25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2650</v>
      </c>
      <c r="F31" s="15"/>
      <c r="G31" s="64">
        <f>SUM(G30:G30)</f>
        <v>22600</v>
      </c>
      <c r="H31" s="64">
        <f>SUM(H30:H30)</f>
        <v>20745</v>
      </c>
      <c r="I31" s="102"/>
      <c r="J31" s="17">
        <f>SUM(J30:J30)</f>
        <v>25931.25</v>
      </c>
      <c r="K31" s="16"/>
      <c r="L31" s="16"/>
      <c r="M31" s="17">
        <f>SUM(M30:M30)</f>
        <v>25931.25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Двадцать пять тысяч девятьсот тридцать один доллар США,25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145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VG-N-19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2650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01657FKA/015024BA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01657FKA/015024BA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VG-N-19 от  27.08.2025г.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2650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22600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2650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161</v>
      </c>
      <c r="C1" s="174"/>
      <c r="D1" s="174"/>
      <c r="E1" s="174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GR-VT-01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«VISTOTRADE»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ООО «VISTOTRADE»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01657FKA/015024BA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2650</v>
      </c>
      <c r="F30" s="116" t="str">
        <f>+Инвойс!F30</f>
        <v>кг</v>
      </c>
      <c r="G30" s="106">
        <f>+Инвойс!G30</f>
        <v>22600</v>
      </c>
      <c r="H30" s="106">
        <f>+Инвойс!H30</f>
        <v>20745</v>
      </c>
      <c r="I30" s="108">
        <f>+Инвойс!I30</f>
        <v>1.25</v>
      </c>
      <c r="J30" s="13">
        <f>+Инвойс!J30</f>
        <v>25931.25</v>
      </c>
      <c r="K30" s="12">
        <v>0</v>
      </c>
      <c r="L30" s="12">
        <v>0</v>
      </c>
      <c r="M30" s="13">
        <f>+Инвойс!M30</f>
        <v>25931.25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2650</v>
      </c>
      <c r="F31" s="15"/>
      <c r="G31" s="64">
        <f>SUM(G30:G30)</f>
        <v>22600</v>
      </c>
      <c r="H31" s="64">
        <f>SUM(H30:H30)</f>
        <v>20745</v>
      </c>
      <c r="I31" s="102"/>
      <c r="J31" s="17">
        <f>SUM(J30:J30)</f>
        <v>25931.25</v>
      </c>
      <c r="K31" s="16"/>
      <c r="L31" s="16"/>
      <c r="M31" s="17">
        <f>SUM(M30:M30)</f>
        <v>25931.25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Двадцать пять тысяч девятьсот тридцать один доллар США,25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146</v>
      </c>
      <c r="B36" s="131"/>
      <c r="D36" s="18" t="str">
        <f>+Инвойс!D36</f>
        <v>Авазов К.Ф</v>
      </c>
      <c r="E36" s="132"/>
      <c r="G36" s="129" t="s">
        <v>129</v>
      </c>
      <c r="H36" s="18" t="str">
        <f>Инвойс!G5</f>
        <v>ООО «ГРИН ВОРЛД»</v>
      </c>
      <c r="K36" s="133" t="s">
        <v>156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115</v>
      </c>
    </row>
    <row r="3" spans="1:10" ht="51" x14ac:dyDescent="0.2">
      <c r="A3" s="130" t="s">
        <v>127</v>
      </c>
    </row>
    <row r="5" spans="1:10" ht="38.25" x14ac:dyDescent="0.2">
      <c r="A5" s="126" t="s">
        <v>116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6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6" t="s">
        <v>118</v>
      </c>
    </row>
    <row r="10" spans="1:10" x14ac:dyDescent="0.2">
      <c r="A10" s="126"/>
      <c r="E10" s="18" t="s">
        <v>133</v>
      </c>
      <c r="J10" s="25" t="s">
        <v>134</v>
      </c>
    </row>
    <row r="11" spans="1:10" ht="51" x14ac:dyDescent="0.2">
      <c r="A11" s="126" t="s">
        <v>157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25931.25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пять тысяч девятьсот тридцать один доллар США,25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пять тысяч девятьсот тридцать один доллар США,25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пять тысяч девятьсот тридцать один доллар США,25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пять тысяч девятьсот тридцать один доллар США,25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девятьсот тридцать один доллар США,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25931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259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2593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25931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931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2025-08-27T06:42:06Z</cp:lastPrinted>
  <dcterms:created xsi:type="dcterms:W3CDTF">1996-10-14T23:33:28Z</dcterms:created>
  <dcterms:modified xsi:type="dcterms:W3CDTF">2025-08-27T06:42:12Z</dcterms:modified>
</cp:coreProperties>
</file>