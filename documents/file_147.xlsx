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J30" i="2" l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<sst xmlns="http://schemas.openxmlformats.org/spreadsheetml/2006/main" count="198" uniqueCount="162">
  <si>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</si>
  <si>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</si>
  <si>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</si>
  <si>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</si>
  <si>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</si>
  <si>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</si>
  <si>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</si>
  <si>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</si>
  <si>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</si>
  <si>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</si>
  <si>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</si>
  <si>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</si>
  <si>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</si>
  <si>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</si>
  <si>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</si>
  <si>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</si>
  <si>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</si>
  <si>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</si>
  <si>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</si>
  <si>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</si>
  <si>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</si>
  <si>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</si>
  <si>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</si>
  <si>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</si>
  <si>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</si>
  <si>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</si>
  <si>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</si>
  <si>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</si>
  <si>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</si>
  <si>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</si>
  <si>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</si>
  <si>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</si>
  <si>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</si>
  <si>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</si>
  <si>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</si>
  <si>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</si>
  <si>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</si>
  <si>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</si>
  <si>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</si>
  <si>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</si>
  <si>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</si>
  <si>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</si>
  <si>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</si>
  <si>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</si>
  <si>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</si>
  <si>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</si>
  <si>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</si>
  <si>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</si>
  <si>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</si>
  <si>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</si>
  <si>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</si>
  <si>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</si>
  <si>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</si>
  <si>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</si>
  <si>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</si>
  <si>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</si>
  <si>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</si>
  <si>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</si>
  <si>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</si>
  <si>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</si>
  <si>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</si>
  <si>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</si>
  <si>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</si>
  <si>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</si>
  <si>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</si>
  <si>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</si>
  <si>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</si>
  <si>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</si>
  <si>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</si>
  <si>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</si>
  <si>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</si>
  <si>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</si>
  <si>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</si>
  <si>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</si>
  <si>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</si>
  <si>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</si>
  <si>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</si>
  <si>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</si>
  <si>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</si>
  <si>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</si>
  <si>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</si>
  <si>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</si>
  <si>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</si>
  <si>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</si>
  <si>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</si>
  <si>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</si>
  <si>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</si>
  <si>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</si>
  <si>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</si>
  <si>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</si>
  <si>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</si>
  <si>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</si>
  <si>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</si>
  <si>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</si>
  <si>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</si>
  <si>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</si>
  <si>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</si>
  <si>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</si>
  <si>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</si>
  <si>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</si>
  <si>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</si>
  <si>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</si>
  <si>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</si>
  <si>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</si>
  <si>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</si>
  <si>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</si>
  <si>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</si>
  <si>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</si>
  <si>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</si>
  <si>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</si>
  <si>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</si>
  <si>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</si>
  <si>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</si>
  <si>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</si>
  <si>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</si>
  <si>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</si>
  <si>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</si>
  <si>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</si>
  <si>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</si>
  <si>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</si>
  <si>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</si>
  <si>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</si>
  <si>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</si>
  <si>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</si>
  <si>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</si>
  <si>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</si>
  <si>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</si>
  <si>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</si>
  <si>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</si>
  <si>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</si>
  <si>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</si>
  <si>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</si>
  <si>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</si>
  <si>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</si>
  <si>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</si>
  <si>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</si>
  <si>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</si>
  <si>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</si>
  <si>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</si>
  <si>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</si>
  <si>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</si>
  <si>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</si>
  <si>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</si>
  <si>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</si>
  <si>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</si>
  <si>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</si>
  <si>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</si>
  <si>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</si>
  <si>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EX0508 от 05.08.2025 года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</si>
  <si>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</si>
  <si>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</si>
  <si>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</si>
  <si>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</si>
  <si>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</si>
  <si>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</si>
  <si>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</si>
  <si>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</si>
  <si>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 xml:space="preserve"> 10.08.2025г.</t>
  </si>
  <si>
    <t xml:space="preserve">ИНВОЙС № MEZ-O-10 от </t>
  </si>
  <si>
    <t xml:space="preserve">СПЕЦИФИКАЦИЯ № MEZ-O-10 от </t>
  </si>
  <si>
    <t>70870MBA/704176AA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</si>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</sst>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xmlns="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157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155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151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153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4"/>
      <c r="C15" s="124"/>
      <c r="D15" s="124"/>
      <c r="E15" s="124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155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151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153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124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0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0" t="s">
        <v>12</v>
      </c>
      <c r="H29" s="110" t="s">
        <v>13</v>
      </c>
      <c r="I29" s="146"/>
      <c r="J29" s="111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900</v>
      </c>
      <c r="F30" s="115" t="s">
        <v>27</v>
      </c>
      <c r="G30" s="106">
        <v>21700</v>
      </c>
      <c r="H30" s="106">
        <v>20080</v>
      </c>
      <c r="I30" s="108">
        <v>0.2</v>
      </c>
      <c r="J30" s="13">
        <f t="shared" ref="J30" si="0">H30*I30</f>
        <v>4016</v>
      </c>
      <c r="K30" s="12">
        <v>0</v>
      </c>
      <c r="L30" s="12">
        <v>0</v>
      </c>
      <c r="M30" s="13">
        <f t="shared" ref="M30" si="1">J30</f>
        <v>4016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900</v>
      </c>
      <c r="F31" s="15"/>
      <c r="G31" s="64">
        <f>SUM(G30:G30)</f>
        <v>21700</v>
      </c>
      <c r="H31" s="64">
        <f>SUM(H30:H30)</f>
        <v>20080</v>
      </c>
      <c r="I31" s="102"/>
      <c r="J31" s="17">
        <f>SUM(J30:J30)</f>
        <v>4016</v>
      </c>
      <c r="K31" s="16"/>
      <c r="L31" s="16"/>
      <c r="M31" s="17">
        <f>SUM(M30:M30)</f>
        <v>4016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шестнадцать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154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5" zoomScale="85" zoomScaleNormal="85" workbookViewId="0">
      <selection activeCell="B24" sqref="B24:D24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MEZ-O-10 от  10.08.2025г.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"КонсалтТаможСервис" 10309200 - т/п Прикубанский 350072, Краснодарский край, г. Краснодар, ул. Тополиная, д. 4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10.08.2025г.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70870MBA/704176AA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zoomScale="70" zoomScaleNormal="70" workbookViewId="0">
      <selection activeCell="D47" sqref="D47:E4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70870MBA/704176AA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MEZ-O-10 от  10.08.2025г.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900</v>
      </c>
      <c r="G18" s="164" t="str">
        <f>+CMR!F30</f>
        <v>Дыни свежие</v>
      </c>
      <c r="H18" s="164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8" t="str">
        <f>+Инвойс!C30</f>
        <v>0807190001</v>
      </c>
      <c r="H19" s="159"/>
      <c r="I19" s="121" t="s">
        <v>103</v>
      </c>
      <c r="J19" s="119">
        <f>+Инвойс!G30</f>
        <v>21700</v>
      </c>
    </row>
    <row r="20" spans="2:10" ht="13.5" customHeight="1" x14ac:dyDescent="0.3">
      <c r="B20" s="83"/>
      <c r="E20" s="122"/>
      <c r="F20" s="117"/>
      <c r="G20" s="164"/>
      <c r="H20" s="164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8"/>
      <c r="H21" s="159"/>
      <c r="I21" s="121"/>
      <c r="J21" s="119"/>
    </row>
    <row r="22" spans="2:10" ht="12.75" customHeight="1" x14ac:dyDescent="0.3">
      <c r="B22" s="83"/>
      <c r="E22" s="122"/>
      <c r="F22" s="117"/>
      <c r="G22" s="164"/>
      <c r="H22" s="164"/>
      <c r="I22" s="118"/>
      <c r="J22" s="119"/>
    </row>
    <row r="23" spans="2:10" ht="14.25" customHeight="1" x14ac:dyDescent="0.3">
      <c r="B23" s="83"/>
      <c r="E23" s="122"/>
      <c r="F23" s="120"/>
      <c r="G23" s="158"/>
      <c r="H23" s="159"/>
      <c r="I23" s="121"/>
      <c r="J23" s="119"/>
    </row>
    <row r="24" spans="2:10" ht="12.75" customHeight="1" x14ac:dyDescent="0.3">
      <c r="B24" s="87"/>
      <c r="E24" s="122"/>
      <c r="F24" s="117"/>
      <c r="G24" s="164"/>
      <c r="H24" s="164"/>
      <c r="I24" s="118"/>
      <c r="J24" s="119"/>
    </row>
    <row r="25" spans="2:10" ht="12.75" customHeight="1" x14ac:dyDescent="0.3">
      <c r="B25" s="87"/>
      <c r="E25" s="122"/>
      <c r="F25" s="120"/>
      <c r="G25" s="158"/>
      <c r="H25" s="159"/>
      <c r="I25" s="121"/>
      <c r="J25" s="119"/>
    </row>
    <row r="26" spans="2:10" ht="12" customHeight="1" x14ac:dyDescent="0.3">
      <c r="B26" s="87"/>
      <c r="E26" s="122"/>
      <c r="F26" s="117"/>
      <c r="G26" s="164"/>
      <c r="H26" s="164"/>
      <c r="I26" s="118"/>
      <c r="J26" s="119"/>
    </row>
    <row r="27" spans="2:10" ht="14.25" customHeight="1" x14ac:dyDescent="0.3">
      <c r="B27" s="87"/>
      <c r="E27" s="122"/>
      <c r="F27" s="120"/>
      <c r="G27" s="158"/>
      <c r="H27" s="159"/>
      <c r="I27" s="121"/>
      <c r="J27" s="119"/>
    </row>
    <row r="28" spans="2:10" ht="12.75" customHeight="1" x14ac:dyDescent="0.3">
      <c r="B28" s="87"/>
      <c r="E28" s="122"/>
      <c r="F28" s="117"/>
      <c r="G28" s="164"/>
      <c r="H28" s="164"/>
      <c r="I28" s="118"/>
      <c r="J28" s="119"/>
    </row>
    <row r="29" spans="2:10" ht="12.75" customHeight="1" x14ac:dyDescent="0.3">
      <c r="B29" s="87"/>
      <c r="E29" s="122"/>
      <c r="F29" s="120"/>
      <c r="G29" s="158"/>
      <c r="H29" s="159"/>
      <c r="I29" s="121"/>
      <c r="J29" s="119"/>
    </row>
    <row r="30" spans="2:10" ht="12.75" customHeight="1" x14ac:dyDescent="0.3">
      <c r="B30" s="87"/>
      <c r="E30" s="122"/>
      <c r="F30" s="117"/>
      <c r="G30" s="164"/>
      <c r="H30" s="164"/>
      <c r="I30" s="118"/>
      <c r="J30" s="119"/>
    </row>
    <row r="31" spans="2:10" ht="13.5" customHeight="1" x14ac:dyDescent="0.3">
      <c r="B31" s="87"/>
      <c r="E31" s="122"/>
      <c r="F31" s="120"/>
      <c r="G31" s="158"/>
      <c r="H31" s="159"/>
      <c r="I31" s="121"/>
      <c r="J31" s="119"/>
    </row>
    <row r="32" spans="2:10" ht="13.5" customHeight="1" x14ac:dyDescent="0.3">
      <c r="B32" s="87"/>
      <c r="E32" s="122"/>
      <c r="F32" s="117"/>
      <c r="G32" s="164"/>
      <c r="H32" s="164"/>
      <c r="I32" s="118"/>
      <c r="J32" s="119"/>
    </row>
    <row r="33" spans="2:10" ht="13.5" customHeight="1" x14ac:dyDescent="0.3">
      <c r="B33" s="87"/>
      <c r="E33" s="122"/>
      <c r="F33" s="120"/>
      <c r="G33" s="158"/>
      <c r="H33" s="159"/>
      <c r="I33" s="121"/>
      <c r="J33" s="119"/>
    </row>
    <row r="34" spans="2:10" ht="13.5" customHeight="1" x14ac:dyDescent="0.3">
      <c r="B34" s="87"/>
      <c r="E34" s="122"/>
      <c r="F34" s="117"/>
      <c r="G34" s="164"/>
      <c r="H34" s="164"/>
      <c r="I34" s="118"/>
      <c r="J34" s="119"/>
    </row>
    <row r="35" spans="2:10" ht="12.75" customHeight="1" x14ac:dyDescent="0.3">
      <c r="B35" s="87"/>
      <c r="E35" s="122"/>
      <c r="F35" s="120"/>
      <c r="G35" s="158"/>
      <c r="H35" s="159"/>
      <c r="I35" s="121"/>
      <c r="J35" s="119"/>
    </row>
    <row r="36" spans="2:10" x14ac:dyDescent="0.3">
      <c r="B36" s="87"/>
      <c r="E36" s="122"/>
      <c r="F36" s="117"/>
      <c r="G36" s="164"/>
      <c r="H36" s="164"/>
      <c r="I36" s="118"/>
      <c r="J36" s="119"/>
    </row>
    <row r="37" spans="2:10" ht="13.5" customHeight="1" x14ac:dyDescent="0.3">
      <c r="B37" s="87"/>
      <c r="E37" s="122"/>
      <c r="F37" s="120"/>
      <c r="G37" s="158"/>
      <c r="H37" s="159"/>
      <c r="I37" s="121"/>
      <c r="J37" s="119"/>
    </row>
    <row r="38" spans="2:10" x14ac:dyDescent="0.3">
      <c r="B38" s="87"/>
      <c r="E38" s="122"/>
      <c r="F38" s="117"/>
      <c r="G38" s="164"/>
      <c r="H38" s="164"/>
      <c r="I38" s="118"/>
      <c r="J38" s="119"/>
    </row>
    <row r="39" spans="2:10" ht="13.5" customHeight="1" x14ac:dyDescent="0.3">
      <c r="B39" s="87"/>
      <c r="E39" s="122"/>
      <c r="F39" s="120"/>
      <c r="G39" s="158"/>
      <c r="H39" s="159"/>
      <c r="I39" s="121"/>
      <c r="J39" s="119"/>
    </row>
    <row r="40" spans="2:10" ht="14.25" hidden="1" customHeight="1" x14ac:dyDescent="0.3">
      <c r="B40" s="87"/>
      <c r="E40" s="122"/>
      <c r="F40" s="117"/>
      <c r="G40" s="164"/>
      <c r="H40" s="164"/>
      <c r="I40" s="118"/>
      <c r="J40" s="119"/>
    </row>
    <row r="41" spans="2:10" ht="14.25" hidden="1" customHeight="1" x14ac:dyDescent="0.3">
      <c r="B41" s="87"/>
      <c r="E41" s="122"/>
      <c r="F41" s="120"/>
      <c r="G41" s="158"/>
      <c r="H41" s="159"/>
      <c r="I41" s="121"/>
      <c r="J41" s="119"/>
    </row>
    <row r="42" spans="2:10" hidden="1" x14ac:dyDescent="0.3">
      <c r="B42" s="87"/>
      <c r="E42" s="122"/>
      <c r="F42" s="117"/>
      <c r="G42" s="164"/>
      <c r="H42" s="164"/>
      <c r="I42" s="118"/>
      <c r="J42" s="119"/>
    </row>
    <row r="43" spans="2:10" x14ac:dyDescent="0.3">
      <c r="B43" s="87"/>
      <c r="E43" s="122"/>
      <c r="F43" s="120"/>
      <c r="G43" s="158"/>
      <c r="H43" s="159"/>
      <c r="I43" s="121"/>
      <c r="J43" s="119"/>
    </row>
    <row r="44" spans="2:10" ht="9" customHeight="1" x14ac:dyDescent="0.3">
      <c r="B44" s="87"/>
      <c r="E44" s="95"/>
      <c r="F44" s="92"/>
      <c r="G44" s="166"/>
      <c r="H44" s="166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900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159</v>
      </c>
      <c r="C1" s="172"/>
      <c r="D1" s="172"/>
      <c r="E1" s="172"/>
      <c r="F1" s="132" t="str">
        <f>+Инвойс!F1</f>
        <v xml:space="preserve"> 10.08.2025г.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EX0508 от 05.08.2025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ООО «MEGA EXIMPORT»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 xml:space="preserve">Республика Узбекистан, Ферганская область, 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Кува Район, Гулобод МФЙ, Сарбоз улитца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 xml:space="preserve">Р/с N 20208840607249418001   (USD)    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АКБ «KAPITAL BANK» МФО: 01088 Swift: KACHUZ22 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 xml:space="preserve"> ИНН: 312169146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/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ООО «MEGA EXIMPORT»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 xml:space="preserve">Республика Узбекистан, Ферганская область, 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Кува Район, Гулобод МФЙ, Сарбоз улитца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 xml:space="preserve">Р/с N 20208840607249418001   (USD)    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АКБ «KAPITAL BANK» МФО: 01088 Swift: KACHUZ22 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 xml:space="preserve"> ИНН: 312169146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/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70870MBA/704176AA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0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0" t="s">
        <v>12</v>
      </c>
      <c r="H29" s="110" t="s">
        <v>13</v>
      </c>
      <c r="I29" s="146"/>
      <c r="J29" s="111" t="s">
        <v>14</v>
      </c>
      <c r="K29" s="10" t="s">
        <v>15</v>
      </c>
      <c r="L29" s="10" t="s">
        <v>16</v>
      </c>
      <c r="M29" s="146"/>
    </row>
    <row r="30" spans="1:17" ht="29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21700</v>
      </c>
      <c r="H30" s="106">
        <f>+Инвойс!H30</f>
        <v>20080</v>
      </c>
      <c r="I30" s="108">
        <f>+Инвойс!I30</f>
        <v>0.2</v>
      </c>
      <c r="J30" s="13">
        <f>+Инвойс!J30</f>
        <v>4016</v>
      </c>
      <c r="K30" s="12">
        <v>0</v>
      </c>
      <c r="L30" s="12">
        <v>0</v>
      </c>
      <c r="M30" s="13">
        <f>+Инвойс!M30</f>
        <v>4016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900</v>
      </c>
      <c r="F31" s="15"/>
      <c r="G31" s="64">
        <f>SUM(G30:G30)</f>
        <v>21700</v>
      </c>
      <c r="H31" s="64">
        <f>SUM(H30:H30)</f>
        <v>20080</v>
      </c>
      <c r="I31" s="102"/>
      <c r="J31" s="17">
        <f>SUM(J30:J30)</f>
        <v>4016</v>
      </c>
      <c r="K31" s="16"/>
      <c r="L31" s="16"/>
      <c r="M31" s="17">
        <f>SUM(M30:M30)</f>
        <v>4016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шестнадцать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tr">
        <f>+Инвойс!D36</f>
        <v>Эргашев О.Р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opLeftCell="A10" zoomScale="85" zoomScaleNormal="85" workbookViewId="0">
      <selection activeCell="A17" sqref="A1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4016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шестнадцать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45879</v>
      </c>
      <c r="O3" s="176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шестнадцать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10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шестнадцать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шестнадцать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шестнадцать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5">
      <c r="A13" s="49"/>
      <c r="D13" s="51"/>
      <c r="E13" s="52">
        <f>TRUNC(E2)</f>
        <v>4016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401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4016</v>
      </c>
      <c r="B29" s="47">
        <f>TRUNC(RIGHT(A29))</f>
        <v>6</v>
      </c>
      <c r="C29" s="51">
        <f>IF(B28=1,B29+10,IF(B29=0,0,B29))</f>
        <v>16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 xml:space="preserve">шестнадцать </v>
      </c>
      <c r="G29" s="47"/>
    </row>
    <row r="30" spans="1:9" s="43" customFormat="1" x14ac:dyDescent="0.25">
      <c r="A30" s="49"/>
      <c r="B30" s="58"/>
      <c r="C30" s="59"/>
      <c r="E30" s="57">
        <f>B27*100+B28*10+B29</f>
        <v>16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2025-08-10T10:28:03Z</cp:lastPrinted>
  <dcterms:created xsi:type="dcterms:W3CDTF">1996-10-14T23:33:28Z</dcterms:created>
  <dcterms:modified xsi:type="dcterms:W3CDTF">2025-08-10T10:28:05Z</dcterms:modified>
</cp:coreProperties>
</file>