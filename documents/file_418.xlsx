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362847F-5681-4303-83F8-94723A77F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<sst xmlns="http://schemas.openxmlformats.org/spreadsheetml/2006/main" count="209" uniqueCount="163">
  <si>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</si>
  <si>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</si>
  <si>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</si>
  <si>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</si>
  <si>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</si>
  <si>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</si>
  <si>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</si>
  <si>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</si>
  <si>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</si>
  <si>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</si>
  <si>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</si>
  <si>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</si>
  <si>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</si>
  <si>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</si>
  <si>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</si>
  <si>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</si>
  <si>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</si>
  <si>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</si>
  <si>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</si>
  <si>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</si>
  <si>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</si>
  <si>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</si>
  <si>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</si>
  <si>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</si>
  <si>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</si>
  <si>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</si>
  <si>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</si>
  <si>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</si>
  <si>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</si>
  <si>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</si>
  <si>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</si>
  <si>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</si>
  <si>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</si>
  <si>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</si>
  <si>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</si>
  <si>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</si>
  <si>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</si>
  <si>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</si>
  <si>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</si>
  <si>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</si>
  <si>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</si>
  <si>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</si>
  <si>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</si>
  <si>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</si>
  <si>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</si>
  <si>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</si>
  <si>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</si>
  <si>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</si>
  <si>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</si>
  <si>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</si>
  <si>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</si>
  <si>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</si>
  <si>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</si>
  <si>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</si>
  <si>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</si>
  <si>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</si>
  <si>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</si>
  <si>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</si>
  <si>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</si>
  <si>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</si>
  <si>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</si>
  <si>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</si>
  <si>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</si>
  <si>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</si>
  <si>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</si>
  <si>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</si>
  <si>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</si>
  <si>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</si>
  <si>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</si>
  <si>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</si>
  <si>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</si>
  <si>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</si>
  <si>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</si>
  <si>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</si>
  <si>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</si>
  <si>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</si>
  <si>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</si>
  <si>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</si>
  <si>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</si>
  <si>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</si>
  <si>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</si>
  <si>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</si>
  <si>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</si>
  <si>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</si>
  <si>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</si>
  <si>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</si>
  <si>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</si>
  <si>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</si>
  <si>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</si>
  <si>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</si>
  <si>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</si>
  <si>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</si>
  <si>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</si>
  <si>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</si>
  <si>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</si>
  <si>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</si>
  <si>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</si>
  <si>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</si>
  <si>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</si>
  <si>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</si>
  <si>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</si>
  <si>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</si>
  <si>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</si>
  <si>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</si>
  <si>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</si>
  <si>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</si>
  <si>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</si>
  <si>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</si>
  <si>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</si>
  <si>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</si>
  <si>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</si>
  <si>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</si>
  <si>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</si>
  <si>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</si>
  <si>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</si>
  <si>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</si>
  <si>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</si>
  <si>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</si>
  <si>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</si>
  <si>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</si>
  <si>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</si>
  <si>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</si>
  <si>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</si>
  <si>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</si>
  <si>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</si>
  <si>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</si>
  <si>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</si>
  <si>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</si>
  <si>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</si>
  <si>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</si>
  <si>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</si>
  <si>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</si>
  <si>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</si>
  <si>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</si>
  <si>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</si>
  <si>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</si>
  <si>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</si>
  <si>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</si>
  <si>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</si>
  <si>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</si>
  <si>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</si>
  <si>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</si>
  <si>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</si>
  <si>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</si>
  <si>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</si>
  <si>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</si>
  <si>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</si>
  <si>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</si>
  <si>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</si>
  <si>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</si>
  <si>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</si>
  <si>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</si>
  <si>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</si>
  <si>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</si>
  <si>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</si>
  <si>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</si>
  <si>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</si>
  <si>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</si>
  <si>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</si>
  <si>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</si>
  <si>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GWG-F-7 от </t>
  </si>
  <si>
    <t>01W151PB/013989BA</t>
  </si>
  <si>
    <t xml:space="preserve">СПЕЦИФИКАЦИЯ № GWG-F-7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</si>
</sst>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160</v>
      </c>
      <c r="D1" s="136"/>
      <c r="E1" s="136"/>
      <c r="F1" s="135" t="s">
        <v>158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148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147</v>
      </c>
      <c r="B5" s="137"/>
      <c r="C5" s="137"/>
      <c r="D5" s="137"/>
      <c r="E5" s="137"/>
      <c r="F5" s="6"/>
      <c r="G5" s="139" t="s">
        <v>129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149</v>
      </c>
      <c r="B6" s="125"/>
      <c r="C6" s="125"/>
      <c r="D6" s="125"/>
      <c r="E6" s="125"/>
      <c r="F6" s="7"/>
      <c r="G6" s="141" t="s">
        <v>130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150</v>
      </c>
      <c r="B7" s="125"/>
      <c r="C7" s="125"/>
      <c r="D7" s="125"/>
      <c r="E7" s="125"/>
      <c r="F7" s="63"/>
      <c r="G7" s="141" t="s">
        <v>131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136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147</v>
      </c>
      <c r="B14" s="137"/>
      <c r="C14" s="137"/>
      <c r="D14" s="137"/>
      <c r="E14" s="137"/>
      <c r="F14" s="6"/>
      <c r="G14" s="139" t="s">
        <v>129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149</v>
      </c>
      <c r="B15" s="125"/>
      <c r="C15" s="125"/>
      <c r="D15" s="125"/>
      <c r="E15" s="125"/>
      <c r="F15" s="7"/>
      <c r="G15" s="141" t="s">
        <v>130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150</v>
      </c>
      <c r="B16" s="125"/>
      <c r="C16" s="125"/>
      <c r="D16" s="125"/>
      <c r="E16" s="125"/>
      <c r="F16" s="63"/>
      <c r="G16" s="141" t="s">
        <v>131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136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115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141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112</v>
      </c>
      <c r="E30" s="101">
        <v>960</v>
      </c>
      <c r="F30" s="110" t="s">
        <v>27</v>
      </c>
      <c r="G30" s="106">
        <v>22700</v>
      </c>
      <c r="H30" s="106">
        <v>20972</v>
      </c>
      <c r="I30" s="108">
        <v>0.25</v>
      </c>
      <c r="J30" s="13">
        <f t="shared" ref="J30" si="0">H30*I30</f>
        <v>5243</v>
      </c>
      <c r="K30" s="12">
        <v>0</v>
      </c>
      <c r="L30" s="12">
        <v>0</v>
      </c>
      <c r="M30" s="13">
        <f t="shared" ref="M30" si="1">J30</f>
        <v>5243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960</v>
      </c>
      <c r="F31" s="15"/>
      <c r="G31" s="64">
        <f>SUM(G30:G30)</f>
        <v>22700</v>
      </c>
      <c r="H31" s="64">
        <f>SUM(H30:H30)</f>
        <v>20972</v>
      </c>
      <c r="I31" s="102"/>
      <c r="J31" s="17">
        <f>SUM(J30:J30)</f>
        <v>5243</v>
      </c>
      <c r="K31" s="16"/>
      <c r="L31" s="16"/>
      <c r="M31" s="17">
        <f>SUM(M30:M30)</f>
        <v>5243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сорок три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GWG-F-7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01W151PB/013989BA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0" zoomScaleNormal="100" workbookViewId="0">
      <selection activeCell="G26" sqref="G26:H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01W151PB/013989BA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GWG-F-7 от  04.09.2025г.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22700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960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5" t="str">
        <f>+Инвойс!F1</f>
        <v xml:space="preserve"> 04.09.2025г.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53" t="s">
        <v>113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01W151PB/013989BA</v>
      </c>
      <c r="F26" s="155"/>
      <c r="G26" s="155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22700</v>
      </c>
      <c r="H30" s="106">
        <f>+Инвойс!H30</f>
        <v>20972</v>
      </c>
      <c r="I30" s="108">
        <f>+Инвойс!I30</f>
        <v>0.25</v>
      </c>
      <c r="J30" s="13">
        <f>+Инвойс!J30</f>
        <v>5243</v>
      </c>
      <c r="K30" s="12">
        <v>0</v>
      </c>
      <c r="L30" s="12">
        <v>0</v>
      </c>
      <c r="M30" s="13">
        <f>+Инвойс!M30</f>
        <v>5243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960</v>
      </c>
      <c r="F31" s="15"/>
      <c r="G31" s="64">
        <f>SUM(G30:G30)</f>
        <v>22700</v>
      </c>
      <c r="H31" s="64">
        <f>SUM(H30:H30)</f>
        <v>20972</v>
      </c>
      <c r="I31" s="102"/>
      <c r="J31" s="17">
        <f>SUM(J30:J30)</f>
        <v>5243</v>
      </c>
      <c r="K31" s="16"/>
      <c r="L31" s="16"/>
      <c r="M31" s="17">
        <f>SUM(M30:M30)</f>
        <v>5243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сорок три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156</v>
      </c>
      <c r="B36" s="132"/>
      <c r="D36" s="18" t="str">
        <f>+Инвойс!D36</f>
        <v>Тиловбеков Б.Э.</v>
      </c>
      <c r="E36" s="133"/>
      <c r="G36" s="130" t="s">
        <v>127</v>
      </c>
      <c r="H36" s="18" t="str">
        <f>Инвойс!G5</f>
        <v>ООО «ГРИН ВОРЛД»</v>
      </c>
      <c r="K36" s="134" t="s">
        <v>137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125</v>
      </c>
    </row>
    <row r="5" spans="1:10" ht="92.4" x14ac:dyDescent="0.25">
      <c r="A5" s="127" t="s">
        <v>159</v>
      </c>
    </row>
    <row r="6" spans="1:10" x14ac:dyDescent="0.25">
      <c r="E6" s="18" t="s">
        <v>126</v>
      </c>
      <c r="J6" s="25" t="s">
        <v>140</v>
      </c>
    </row>
    <row r="7" spans="1:10" ht="52.8" x14ac:dyDescent="0.25">
      <c r="A7" s="127" t="s">
        <v>115</v>
      </c>
    </row>
    <row r="8" spans="1:10" x14ac:dyDescent="0.25">
      <c r="E8" s="18" t="s">
        <v>141</v>
      </c>
      <c r="J8" s="25" t="s">
        <v>142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143</v>
      </c>
      <c r="J10" s="25" t="s">
        <v>144</v>
      </c>
    </row>
    <row r="11" spans="1:10" ht="52.8" x14ac:dyDescent="0.25">
      <c r="A11" s="127" t="s">
        <v>157</v>
      </c>
    </row>
    <row r="12" spans="1:10" x14ac:dyDescent="0.25">
      <c r="E12" s="18" t="s">
        <v>145</v>
      </c>
      <c r="J12" s="25" t="s">
        <v>146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5243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сорок три доллара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45904</v>
      </c>
      <c r="O3" s="177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сорок три доллара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4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сорок три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сорок три доллара США,00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сорок три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5243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5243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2025-09-04T16:16:17Z</cp:lastPrinted>
  <dcterms:created xsi:type="dcterms:W3CDTF">1996-10-14T23:33:28Z</dcterms:created>
  <dcterms:modified xsi:type="dcterms:W3CDTF">2025-09-04T16:17:36Z</dcterms:modified>
</cp:coreProperties>
</file>