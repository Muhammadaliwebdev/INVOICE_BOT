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6A4F3D1-3D3A-46AE-B008-54BE315ED5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<sst xmlns="http://schemas.openxmlformats.org/spreadsheetml/2006/main" count="211" uniqueCount="164">
  <si>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</si>
  <si>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</si>
  <si>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</si>
  <si>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</si>
  <si>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</si>
  <si>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</si>
  <si>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</si>
  <si>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</si>
  <si>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</si>
  <si>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</si>
  <si>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</si>
  <si>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</si>
  <si>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</si>
  <si>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</si>
  <si>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</si>
  <si>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</si>
  <si>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</si>
  <si>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</si>
  <si>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</si>
  <si>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</si>
  <si>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</si>
  <si>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</si>
  <si>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</si>
  <si>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</si>
  <si>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</si>
  <si>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</si>
  <si>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</si>
  <si>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</si>
  <si>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</si>
  <si>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</si>
  <si>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</si>
  <si>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</si>
  <si>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</si>
  <si>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</si>
  <si>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</si>
  <si>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</si>
  <si>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</si>
  <si>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</si>
  <si>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</si>
  <si>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</si>
  <si>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</si>
  <si>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</si>
  <si>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</si>
  <si>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</si>
  <si>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</si>
  <si>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</si>
  <si>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</si>
  <si>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</si>
  <si>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</si>
  <si>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</si>
  <si>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</si>
  <si>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</si>
  <si>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</si>
  <si>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</si>
  <si>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</si>
  <si>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</si>
  <si>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</si>
  <si>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</si>
  <si>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</si>
  <si>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</si>
  <si>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</si>
  <si>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</si>
  <si>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</si>
  <si>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</si>
  <si>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</si>
  <si>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</si>
  <si>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</si>
  <si>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</si>
  <si>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</si>
  <si>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</si>
  <si>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</si>
  <si>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</si>
  <si>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</si>
  <si>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</si>
  <si>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</si>
  <si>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</si>
  <si>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</si>
  <si>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</si>
  <si>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</si>
  <si>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</si>
  <si>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</si>
  <si>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</si>
  <si>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</si>
  <si>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</si>
  <si>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</si>
  <si>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</si>
  <si>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</si>
  <si>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</si>
  <si>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</si>
  <si>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</si>
  <si>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</si>
  <si>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</si>
  <si>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</si>
  <si>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</si>
  <si>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</si>
  <si>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</si>
  <si>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</si>
  <si>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</si>
  <si>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</si>
  <si>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</si>
  <si>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</si>
  <si>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</si>
  <si>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</si>
  <si>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</si>
  <si>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</si>
  <si>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</si>
  <si>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</si>
  <si>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</si>
  <si>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</si>
  <si>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</si>
  <si>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</si>
  <si>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</si>
  <si>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</si>
  <si>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</si>
  <si>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</si>
  <si>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</si>
  <si>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</si>
  <si>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</si>
  <si>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</si>
  <si>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</si>
  <si>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</si>
  <si>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</si>
  <si>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</si>
  <si>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</si>
  <si>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</si>
  <si>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</si>
  <si>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</si>
  <si>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</si>
  <si>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</si>
  <si>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</si>
  <si>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</si>
  <si>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</si>
  <si>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</si>
  <si>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</si>
  <si>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</si>
  <si>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</si>
  <si>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</si>
  <si>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</si>
  <si>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</si>
  <si>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</si>
  <si>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</si>
  <si>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</si>
  <si>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</si>
  <si>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</si>
  <si>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</si>
  <si>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</si>
  <si>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</si>
  <si>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</si>
  <si>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</si>
  <si>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</si>
  <si>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</si>
  <si>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</si>
  <si>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</si>
  <si>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</si>
  <si>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</si>
  <si>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</si>
  <si>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</si>
  <si>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</si>
  <si>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</si>
  <si>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</si>
  <si>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 27.08.2025г.</t>
  </si>
  <si>
    <t xml:space="preserve">ИНВОЙС № EXG-F-9 от </t>
  </si>
  <si>
    <t>30597NBA/309296AA</t>
  </si>
  <si>
    <t xml:space="preserve">СПЕЦИФИКАЦИЯ № EXG-F-9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</si>
</sst>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4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161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">
        <v>148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149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150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2" t="s">
        <v>151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">
        <v>149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">
        <v>150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5" x14ac:dyDescent="0.25">
      <c r="A16" s="142" t="s">
        <v>151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8" t="s">
        <v>128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">
        <v>138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162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1030</v>
      </c>
      <c r="F30" s="110" t="s">
        <v>27</v>
      </c>
      <c r="G30" s="106">
        <v>22700</v>
      </c>
      <c r="H30" s="106">
        <v>20845</v>
      </c>
      <c r="I30" s="108">
        <v>0.25</v>
      </c>
      <c r="J30" s="13">
        <f t="shared" ref="J30" si="0">H30*I30</f>
        <v>5211.25</v>
      </c>
      <c r="K30" s="12">
        <v>0</v>
      </c>
      <c r="L30" s="12">
        <v>0</v>
      </c>
      <c r="M30" s="13">
        <f t="shared" ref="M30" si="1">J30</f>
        <v>5211.25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1030</v>
      </c>
      <c r="F31" s="15"/>
      <c r="G31" s="64">
        <f>SUM(G30:G30)</f>
        <v>22700</v>
      </c>
      <c r="H31" s="64">
        <f>SUM(H30:H30)</f>
        <v>20845</v>
      </c>
      <c r="I31" s="102"/>
      <c r="J31" s="17">
        <f>SUM(J30:J30)</f>
        <v>5211.25</v>
      </c>
      <c r="K31" s="16"/>
      <c r="L31" s="16"/>
      <c r="M31" s="17">
        <f>SUM(M30:M30)</f>
        <v>5211.25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Пять тысяч двести одиннадцать долларов США, 25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B32" sqref="B31:I32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EXG-F-9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1030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30597NBA/309296AA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6" zoomScaleNormal="100" workbookViewId="0">
      <selection activeCell="F20" sqref="F20:J21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8" t="s">
        <v>96</v>
      </c>
      <c r="C2" s="168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9" t="str">
        <f>+Инвойс!E26</f>
        <v>30597NBA/309296AA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27.08.2025г.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EXG-F-9 от  27.08.2025г.</v>
      </c>
      <c r="I15" s="171"/>
      <c r="J15" s="171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1030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22700</v>
      </c>
    </row>
    <row r="20" spans="2:10" ht="13.5" customHeight="1" x14ac:dyDescent="0.25">
      <c r="B20" s="83"/>
      <c r="E20" s="123"/>
      <c r="F20" s="118"/>
      <c r="G20" s="163"/>
      <c r="H20" s="163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3"/>
      <c r="H22" s="163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3"/>
      <c r="H24" s="163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3"/>
      <c r="H26" s="163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3"/>
      <c r="H28" s="163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3"/>
      <c r="H30" s="163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3"/>
      <c r="H32" s="163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3"/>
      <c r="H34" s="163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3"/>
      <c r="H36" s="163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3"/>
      <c r="H38" s="163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3"/>
      <c r="H42" s="163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5"/>
      <c r="H44" s="165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v>990</v>
      </c>
      <c r="E47" s="167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B2" sqref="B2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163</v>
      </c>
      <c r="C1" s="172"/>
      <c r="D1" s="172"/>
      <c r="E1" s="172"/>
      <c r="F1" s="153" t="str">
        <f>+Инвойс!F1</f>
        <v xml:space="preserve"> 27.08.2025г.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tr">
        <f>+Инвойс!C2</f>
        <v>к контракту № GR-EX-01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5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5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5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5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5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5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5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5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5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5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30597NBA/309296AA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1030</v>
      </c>
      <c r="F30" s="116" t="str">
        <f>+Инвойс!F30</f>
        <v>кг</v>
      </c>
      <c r="G30" s="106">
        <f>+Инвойс!G30</f>
        <v>22700</v>
      </c>
      <c r="H30" s="106">
        <f>+Инвойс!H30</f>
        <v>20845</v>
      </c>
      <c r="I30" s="108">
        <f>+Инвойс!I30</f>
        <v>0.25</v>
      </c>
      <c r="J30" s="13">
        <f>+Инвойс!J30</f>
        <v>5211.25</v>
      </c>
      <c r="K30" s="12">
        <v>0</v>
      </c>
      <c r="L30" s="12">
        <v>0</v>
      </c>
      <c r="M30" s="13">
        <f>+Инвойс!M30</f>
        <v>5211.25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1030</v>
      </c>
      <c r="F31" s="15"/>
      <c r="G31" s="64">
        <f>SUM(G30:G30)</f>
        <v>22700</v>
      </c>
      <c r="H31" s="64">
        <f>SUM(H30:H30)</f>
        <v>20845</v>
      </c>
      <c r="I31" s="102"/>
      <c r="J31" s="17">
        <f>SUM(J30:J30)</f>
        <v>5211.25</v>
      </c>
      <c r="K31" s="16"/>
      <c r="L31" s="16"/>
      <c r="M31" s="17">
        <f>SUM(M30:M30)</f>
        <v>5211.25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Пять тысяч двести одиннадцать долларов США, 25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 x14ac:dyDescent="0.25">
      <c r="A36" s="131" t="s">
        <v>158</v>
      </c>
      <c r="B36" s="131"/>
      <c r="D36" s="18" t="str">
        <f>+Инвойс!D36</f>
        <v>АБДИЛАКИМОВ А.А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A3" sqref="A3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5211.25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одиннадцать долларов США, 25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45896</v>
      </c>
      <c r="O3" s="178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двести одиннадцать долларов США, 25 центов. (в т.ч. НДС - 357,79)</v>
      </c>
      <c r="H4" s="32"/>
      <c r="I4" s="32"/>
      <c r="J4" s="32"/>
      <c r="K4" s="179" t="str">
        <f ca="1">CONCATENATE(" «  ",P3,"  »  ",Q3,"  ",R3," г.")</f>
        <v xml:space="preserve"> «  27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одиннадцать долларов США, 25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одиннадцать долларов США, 25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одиннадцать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25 центов.</v>
      </c>
      <c r="D12" s="47"/>
      <c r="E12" s="48"/>
      <c r="M12" s="50">
        <f ca="1">TODAY()</f>
        <v>45896</v>
      </c>
    </row>
    <row r="13" spans="1:19" s="43" customFormat="1" x14ac:dyDescent="0.2">
      <c r="A13" s="49"/>
      <c r="D13" s="51"/>
      <c r="E13" s="52">
        <f>TRUNC(E2)</f>
        <v>5211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5211</v>
      </c>
      <c r="B29" s="47">
        <f>TRUNC(RIGHT(A29))</f>
        <v>1</v>
      </c>
      <c r="C29" s="51">
        <f>IF(B28=1,B29+10,IF(B29=0,0,B29))</f>
        <v>11</v>
      </c>
      <c r="D29" s="43" t="str">
        <f>IF(AND(C29&gt;9,C29&lt;16),IF(C29=10,D34,IF(C29=11,D35,IF(C29=12,D36,IF(C29=13,D37,IF(C29=14,D38,IF(C29=15,D39,)))))),"")</f>
        <v xml:space="preserve">одиннадцать </v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211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2025-08-27T07:02:47Z</cp:lastPrinted>
  <dcterms:created xsi:type="dcterms:W3CDTF">1996-10-14T23:33:28Z</dcterms:created>
  <dcterms:modified xsi:type="dcterms:W3CDTF">2025-08-27T07:02:49Z</dcterms:modified>
</cp:coreProperties>
</file>