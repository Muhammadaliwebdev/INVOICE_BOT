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J30" i="2" l="1"/>
  <c r="H36" i="7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<sst xmlns="http://schemas.openxmlformats.org/spreadsheetml/2006/main" count="201" uniqueCount="163">
  <si>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</si>
  <si>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</si>
  <si>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</si>
  <si>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</si>
  <si>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</si>
  <si>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</si>
  <si>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</si>
  <si>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</si>
  <si>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</si>
  <si>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</si>
  <si>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</si>
  <si>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</si>
  <si>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</si>
  <si>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</si>
  <si>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</si>
  <si>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</si>
  <si>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</si>
  <si>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</si>
  <si>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</si>
  <si>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</si>
  <si>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</si>
  <si>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</si>
  <si>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</si>
  <si>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</si>
  <si>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</si>
  <si>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</si>
  <si>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</si>
  <si>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</si>
  <si>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</si>
  <si>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</si>
  <si>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</si>
  <si>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</si>
  <si>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</si>
  <si>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</si>
  <si>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</si>
  <si>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</si>
  <si>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</si>
  <si>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</si>
  <si>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</si>
  <si>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</si>
  <si>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</si>
  <si>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</si>
  <si>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</si>
  <si>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</si>
  <si>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</si>
  <si>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</si>
  <si>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</si>
  <si>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</si>
  <si>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</si>
  <si>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</si>
  <si>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</si>
  <si>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</si>
  <si>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</si>
  <si>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</si>
  <si>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</si>
  <si>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</si>
  <si>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</si>
  <si>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</si>
  <si>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</si>
  <si>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</si>
  <si>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</si>
  <si>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</si>
  <si>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</si>
  <si>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</si>
  <si>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</si>
  <si>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</si>
  <si>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</si>
  <si>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</si>
  <si>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</si>
  <si>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</si>
  <si>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</si>
  <si>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</si>
  <si>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</si>
  <si>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</si>
  <si>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</si>
  <si>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</si>
  <si>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</si>
  <si>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</si>
  <si>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</si>
  <si>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</si>
  <si>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</si>
  <si>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</si>
  <si>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</si>
  <si>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</si>
  <si>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</si>
  <si>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</si>
  <si>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</si>
  <si>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</si>
  <si>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</si>
  <si>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</si>
  <si>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</si>
  <si>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</si>
  <si>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</si>
  <si>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</si>
  <si>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</si>
  <si>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</si>
  <si>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</si>
  <si>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</si>
  <si>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</si>
  <si>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</si>
  <si>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</si>
  <si>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</si>
  <si>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</si>
  <si>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</si>
  <si>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</si>
  <si>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</si>
  <si>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</si>
  <si>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</si>
  <si>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</si>
  <si>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</si>
  <si>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</si>
  <si>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</si>
  <si>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</si>
  <si>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</si>
  <si>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</si>
  <si>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</si>
  <si>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</si>
  <si>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</si>
  <si>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</si>
  <si>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</si>
  <si>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</si>
  <si>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</si>
  <si>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</si>
  <si>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</si>
  <si>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</si>
  <si>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</si>
  <si>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</si>
  <si>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</si>
  <si>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</si>
  <si>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</si>
  <si>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</si>
  <si>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</si>
  <si>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</si>
  <si>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</si>
  <si>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</si>
  <si>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</si>
  <si>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</si>
  <si>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</si>
  <si>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</si>
  <si>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</si>
  <si>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</si>
  <si>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</si>
  <si>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</si>
  <si>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</si>
  <si>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</si>
  <si>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</si>
  <si>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</si>
  <si>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</si>
  <si>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</si>
  <si>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</si>
  <si>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</si>
  <si>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</si>
  <si>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</si>
  <si>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</si>
  <si>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</si>
  <si>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</si>
  <si>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</si>
  <si>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</si>
  <si>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</si>
  <si>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11.08.2025г.</t>
  </si>
  <si>
    <t xml:space="preserve">ИНВОЙС № BEZ-A-68 от </t>
  </si>
  <si>
    <t xml:space="preserve">СПЕЦИФИКАЦИЯ № BEZ-A-68 от </t>
  </si>
  <si>
    <t>10H103EB/100481BA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</si>
</sst>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1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160</v>
      </c>
      <c r="D1" s="132"/>
      <c r="E1" s="132"/>
      <c r="F1" s="131" t="s">
        <v>159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149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150</v>
      </c>
      <c r="B5" s="133"/>
      <c r="C5" s="133"/>
      <c r="D5" s="133"/>
      <c r="E5" s="133"/>
      <c r="F5" s="6"/>
      <c r="G5" s="135" t="s">
        <v>139</v>
      </c>
      <c r="H5" s="135"/>
      <c r="I5" s="135"/>
      <c r="J5" s="135"/>
      <c r="K5" s="135"/>
      <c r="L5" s="135"/>
      <c r="M5" s="135"/>
    </row>
    <row r="6" spans="1:15" ht="13.8" x14ac:dyDescent="0.25">
      <c r="A6" s="124" t="s">
        <v>151</v>
      </c>
      <c r="B6" s="124"/>
      <c r="C6" s="124"/>
      <c r="D6" s="124"/>
      <c r="E6" s="124"/>
      <c r="F6" s="7"/>
      <c r="G6" s="137" t="s">
        <v>140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4" t="s">
        <v>152</v>
      </c>
      <c r="B7" s="124"/>
      <c r="C7" s="124"/>
      <c r="D7" s="124"/>
      <c r="E7" s="124"/>
      <c r="F7" s="63"/>
      <c r="G7" s="137" t="s">
        <v>141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155</v>
      </c>
      <c r="B10" s="124"/>
      <c r="C10" s="124"/>
      <c r="D10" s="124"/>
      <c r="E10" s="124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">
        <v>150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24" t="s">
        <v>151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152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155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137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7" ht="15.6" x14ac:dyDescent="0.3">
      <c r="A26" s="1" t="s">
        <v>25</v>
      </c>
      <c r="C26" s="18" t="s">
        <v>26</v>
      </c>
      <c r="E26" s="151" t="s">
        <v>162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5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двести сорок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4" zoomScaleNormal="100" workbookViewId="0">
      <selection activeCell="B24" sqref="B24:D24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BEZ-A-68 от  11.08.2025г.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e">
        <f>+Инвойс!#REF!</f>
        <v>#REF!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11.08.2025г.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10H103EB/100481BA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10H103EB/100481BA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BEZ-A-68 от  11.08.2025г.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3">
      <c r="B19" s="91"/>
      <c r="E19" s="116"/>
      <c r="F19" s="120" t="e">
        <f>+Инвойс!#REF!</f>
        <v>#REF!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3"/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63"/>
      <c r="H22" s="163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63"/>
      <c r="H24" s="163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31" t="str">
        <f>+Инвойс!F1</f>
        <v xml:space="preserve"> 11.08.2025г.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3.8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3.8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3.8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3.8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3.8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3.8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3.8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3.8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Казыгурт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10H103EB/100481BA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13.8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e">
        <f>+Инвойс!#REF!</f>
        <v>#REF!</v>
      </c>
      <c r="E30" s="101">
        <f>+Инвойс!E30</f>
        <v>1000</v>
      </c>
      <c r="F30" s="115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двести сорок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158</v>
      </c>
      <c r="B36" s="7"/>
      <c r="D36" s="25" t="s">
        <v>157</v>
      </c>
      <c r="E36" s="24"/>
      <c r="G36" s="128" t="s">
        <v>146</v>
      </c>
      <c r="H36" t="str">
        <f>Инвойс!G5</f>
        <v>ООО ТД «РЕСУРС»</v>
      </c>
      <c r="K36" s="129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45880</v>
      </c>
      <c r="O3" s="175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11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2025-08-11T10:40:52Z</cp:lastPrinted>
  <dcterms:created xsi:type="dcterms:W3CDTF">1996-10-14T23:33:28Z</dcterms:created>
  <dcterms:modified xsi:type="dcterms:W3CDTF">2025-08-11T10:40:55Z</dcterms:modified>
</cp:coreProperties>
</file>