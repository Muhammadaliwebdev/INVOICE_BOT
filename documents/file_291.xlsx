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DB57789-89D4-4E14-8D28-B9B71ECE6F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14" i="7"/>
  <c r="A6" i="7"/>
  <c r="A7" i="7"/>
  <c r="A8" i="7"/>
  <c r="A9" i="7"/>
  <c r="A10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<sst xmlns="http://schemas.openxmlformats.org/spreadsheetml/2006/main" count="207" uniqueCount="162">
  <si>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</si>
  <si>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</si>
  <si>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</si>
  <si>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</si>
  <si>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</si>
  <si>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</si>
  <si>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</si>
  <si>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</si>
  <si>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</si>
  <si>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</si>
  <si>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</si>
  <si>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</si>
  <si>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</si>
  <si>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</si>
  <si>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</si>
  <si>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</si>
  <si>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</si>
  <si>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</si>
  <si>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</si>
  <si>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</si>
  <si>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</si>
  <si>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</si>
  <si>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</si>
  <si>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</si>
  <si>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</si>
  <si>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</si>
  <si>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</si>
  <si>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</si>
  <si>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</si>
  <si>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</si>
  <si>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</si>
  <si>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</si>
  <si>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</si>
  <si>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</si>
  <si>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</si>
  <si>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</si>
  <si>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</si>
  <si>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</si>
  <si>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</si>
  <si>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</si>
  <si>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</si>
  <si>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</si>
  <si>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</si>
  <si>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</si>
  <si>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</si>
  <si>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</si>
  <si>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</si>
  <si>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</si>
  <si>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</si>
  <si>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</si>
  <si>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</si>
  <si>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</si>
  <si>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</si>
  <si>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</si>
  <si>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</si>
  <si>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</si>
  <si>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</si>
  <si>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</si>
  <si>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</si>
  <si>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</si>
  <si>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</si>
  <si>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</si>
  <si>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</si>
  <si>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</si>
  <si>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</si>
  <si>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</si>
  <si>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</si>
  <si>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</si>
  <si>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</si>
  <si>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</si>
  <si>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</si>
  <si>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</si>
  <si>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</si>
  <si>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</si>
  <si>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</si>
  <si>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</si>
  <si>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</si>
  <si>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</si>
  <si>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</si>
  <si>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</si>
  <si>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</si>
  <si>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</si>
  <si>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</si>
  <si>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</si>
  <si>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</si>
  <si>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</si>
  <si>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</si>
  <si>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</si>
  <si>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</si>
  <si>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</si>
  <si>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</si>
  <si>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</si>
  <si>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</si>
  <si>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</si>
  <si>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</si>
  <si>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</si>
  <si>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</si>
  <si>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</si>
  <si>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</si>
  <si>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</si>
  <si>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</si>
  <si>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</si>
  <si>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</si>
  <si>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</si>
  <si>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</si>
  <si>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</si>
  <si>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</si>
  <si>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</si>
  <si>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</si>
  <si>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</si>
  <si>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</si>
  <si>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</si>
  <si>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</si>
  <si>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</si>
  <si>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</si>
  <si>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</si>
  <si>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</si>
  <si>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</si>
  <si>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</si>
  <si>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</si>
  <si>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</si>
  <si>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</si>
  <si>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</si>
  <si>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</si>
  <si>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</si>
  <si>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</si>
  <si>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</si>
  <si>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</si>
  <si>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</si>
  <si>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</si>
  <si>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ООО «MEGA EXIMPORT»</t>
  </si>
  <si>
    <t xml:space="preserve">Республика Узбекистан, Ферганская область, </t>
  </si>
  <si>
    <t xml:space="preserve">в АКБ «KAPITAL BANK» МФО: 01088 Swift: KACHUZ22  </t>
  </si>
  <si>
    <r>
      <t xml:space="preserve">Р/с N </t>
    </r>
    <r>
      <rPr>
        <sz val="11"/>
        <color indexed="8"/>
        <rFont val="Times New Roman"/>
        <family val="1"/>
        <charset val="204"/>
      </rPr>
      <t>20208840607249418001   (USD)</t>
    </r>
    <r>
      <rPr>
        <sz val="11"/>
        <rFont val="Times New Roman"/>
        <family val="1"/>
        <charset val="204"/>
      </rPr>
      <t xml:space="preserve">    </t>
    </r>
  </si>
  <si>
    <t xml:space="preserve"> ИНН: 312169146</t>
  </si>
  <si>
    <t>Эргашев О.Р</t>
  </si>
  <si>
    <t>Кува Район, Гулобод МФЙ, Сарбоз улитца</t>
  </si>
  <si>
    <t>Директор:  OOO MEGA EXIMPORT</t>
  </si>
  <si>
    <t>к контракту № GR-MG-01 от 22.08.2025 года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</si>
  <si>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</si>
  <si>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</si>
  <si>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</si>
  <si>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</si>
  <si>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</si>
  <si>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Корр. счет: 30101810445250000234</t>
  </si>
  <si>
    <t>Азия-Инвест Банк (АО) г. Москва</t>
  </si>
  <si>
    <t>БИК 044525234</t>
  </si>
  <si>
    <t>Кравченко О.Н</t>
  </si>
  <si>
    <t xml:space="preserve">                    Узбекистан Фер. обл.</t>
  </si>
  <si>
    <t xml:space="preserve">                 Фер. обл   </t>
  </si>
  <si>
    <t>MAYSKIY</t>
  </si>
  <si>
    <t>DAP - с Амандык, Республика Казахстан</t>
  </si>
  <si>
    <t>ILICH</t>
  </si>
  <si>
    <t>DAP - с Жибек Жолы , Республика Казахстан</t>
  </si>
  <si>
    <t>YALLAMA</t>
  </si>
  <si>
    <t>г.Челябинский таможенный пост г.Челябинск ул. Ениссйская, 87А код поста 10504080   ООО "ГРИН ВОРЛД" 
RU/0237/2 от 27.12.2024</t>
  </si>
  <si>
    <t>DAP - с Акжигит , Республика Казахстан</t>
  </si>
  <si>
    <t>DOUT-OTA</t>
  </si>
  <si>
    <t xml:space="preserve">ИНВОЙС № MEG-O-40 от </t>
  </si>
  <si>
    <t xml:space="preserve"> 30.08.2025г.</t>
  </si>
  <si>
    <t>50L560RA/500804AA</t>
  </si>
  <si>
    <t xml:space="preserve">СПЕЦИФИКАЦИЯ № MEG-O-40 от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</si>
</sst>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7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8" fillId="0" borderId="0" xfId="0" applyFont="1"/>
    <xf numFmtId="0" fontId="79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1019735</xdr:colOff>
      <xdr:row>37</xdr:row>
      <xdr:rowOff>33618</xdr:rowOff>
    </xdr:from>
    <xdr:to>
      <xdr:col>3</xdr:col>
      <xdr:colOff>224118</xdr:colOff>
      <xdr:row>49</xdr:row>
      <xdr:rowOff>22094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8323" y="20943794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324971</xdr:colOff>
      <xdr:row>37</xdr:row>
      <xdr:rowOff>100855</xdr:rowOff>
    </xdr:from>
    <xdr:to>
      <xdr:col>4</xdr:col>
      <xdr:colOff>389833</xdr:colOff>
      <xdr:row>39</xdr:row>
      <xdr:rowOff>151841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6236" y="21011031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448235</xdr:colOff>
      <xdr:row>37</xdr:row>
      <xdr:rowOff>22412</xdr:rowOff>
    </xdr:from>
    <xdr:to>
      <xdr:col>2</xdr:col>
      <xdr:colOff>392207</xdr:colOff>
      <xdr:row>49</xdr:row>
      <xdr:rowOff>10888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524D4A-2ED9-3577-B4D0-A3A044A09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823" y="19621500"/>
          <a:ext cx="2017060" cy="2005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493060</xdr:colOff>
      <xdr:row>37</xdr:row>
      <xdr:rowOff>89649</xdr:rowOff>
    </xdr:from>
    <xdr:to>
      <xdr:col>3</xdr:col>
      <xdr:colOff>546715</xdr:colOff>
      <xdr:row>39</xdr:row>
      <xdr:rowOff>140636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6A7D6F4-2A7F-4631-6147-071719DC7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4736" y="19688737"/>
          <a:ext cx="793244" cy="431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403412</xdr:colOff>
      <xdr:row>36</xdr:row>
      <xdr:rowOff>78441</xdr:rowOff>
    </xdr:from>
    <xdr:to>
      <xdr:col>9</xdr:col>
      <xdr:colOff>589990</xdr:colOff>
      <xdr:row>48</xdr:row>
      <xdr:rowOff>5694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2194983-E6A3-4AE3-BA9D-0259AA382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7971" y="19106029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4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3" t="s">
        <v>158</v>
      </c>
      <c r="D1" s="153"/>
      <c r="E1" s="153"/>
      <c r="F1" s="152" t="s">
        <v>159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138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">
        <v>130</v>
      </c>
      <c r="B5" s="154"/>
      <c r="C5" s="154"/>
      <c r="D5" s="154"/>
      <c r="E5" s="154"/>
      <c r="F5" s="6"/>
      <c r="G5" s="147" t="s">
        <v>139</v>
      </c>
      <c r="H5" s="147"/>
      <c r="I5" s="147"/>
      <c r="J5" s="147"/>
      <c r="K5" s="147"/>
      <c r="L5" s="147"/>
      <c r="M5" s="147"/>
    </row>
    <row r="6" spans="1:15" ht="13.8" x14ac:dyDescent="0.25">
      <c r="A6" s="126" t="s">
        <v>131</v>
      </c>
      <c r="B6" s="125"/>
      <c r="C6" s="125"/>
      <c r="D6" s="125"/>
      <c r="E6" s="125"/>
      <c r="F6" s="7"/>
      <c r="G6" s="142" t="s">
        <v>140</v>
      </c>
      <c r="H6" s="142"/>
      <c r="I6" s="142"/>
      <c r="J6" s="142"/>
      <c r="K6" s="142"/>
      <c r="L6" s="142"/>
      <c r="M6" s="142"/>
      <c r="N6" s="4"/>
    </row>
    <row r="7" spans="1:15" ht="13.8" x14ac:dyDescent="0.25">
      <c r="A7" s="126" t="s">
        <v>136</v>
      </c>
      <c r="B7" s="125"/>
      <c r="C7" s="125"/>
      <c r="D7" s="125"/>
      <c r="E7" s="125"/>
      <c r="F7" s="63"/>
      <c r="G7" s="142" t="s">
        <v>141</v>
      </c>
      <c r="H7" s="142"/>
      <c r="I7" s="142"/>
      <c r="J7" s="142"/>
      <c r="K7" s="142"/>
      <c r="L7" s="142"/>
      <c r="M7" s="142"/>
    </row>
    <row r="8" spans="1:15" ht="15" customHeight="1" x14ac:dyDescent="0.25">
      <c r="A8" s="8" t="s">
        <v>133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132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134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/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">
        <v>130</v>
      </c>
      <c r="B14" s="154"/>
      <c r="C14" s="154"/>
      <c r="D14" s="154"/>
      <c r="E14" s="154"/>
      <c r="F14" s="6"/>
      <c r="G14" s="147" t="s">
        <v>139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26" t="s">
        <v>131</v>
      </c>
      <c r="B15" s="125"/>
      <c r="C15" s="125"/>
      <c r="D15" s="125"/>
      <c r="E15" s="125"/>
      <c r="F15" s="7"/>
      <c r="G15" s="142" t="s">
        <v>140</v>
      </c>
      <c r="H15" s="142"/>
      <c r="I15" s="142"/>
      <c r="J15" s="142"/>
      <c r="K15" s="142"/>
      <c r="L15" s="142"/>
      <c r="M15" s="142"/>
    </row>
    <row r="16" spans="1:15" ht="13.8" x14ac:dyDescent="0.25">
      <c r="A16" s="126" t="s">
        <v>136</v>
      </c>
      <c r="B16" s="125"/>
      <c r="C16" s="125"/>
      <c r="D16" s="125"/>
      <c r="E16" s="125"/>
      <c r="F16" s="63"/>
      <c r="G16" s="142" t="s">
        <v>141</v>
      </c>
      <c r="H16" s="142"/>
      <c r="I16" s="142"/>
      <c r="J16" s="142"/>
      <c r="K16" s="142"/>
      <c r="L16" s="142"/>
      <c r="M16" s="142"/>
    </row>
    <row r="17" spans="1:17" ht="15" customHeight="1" x14ac:dyDescent="0.25">
      <c r="A17" s="8" t="s">
        <v>133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132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134</v>
      </c>
      <c r="B19" s="125"/>
      <c r="C19" s="125"/>
      <c r="D19" s="125"/>
      <c r="E19" s="125"/>
      <c r="F19" s="7"/>
      <c r="G19" s="7" t="s">
        <v>144</v>
      </c>
      <c r="H19" s="23"/>
      <c r="I19" s="23"/>
      <c r="J19" s="23"/>
      <c r="K19" s="23"/>
      <c r="L19" s="23"/>
      <c r="M19" s="23"/>
    </row>
    <row r="20" spans="1:17" ht="13.8" x14ac:dyDescent="0.25">
      <c r="A20" s="8"/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9" t="s">
        <v>115</v>
      </c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1:17" ht="15.6" x14ac:dyDescent="0.3">
      <c r="A24" s="20" t="s">
        <v>22</v>
      </c>
      <c r="C24" s="18" t="s">
        <v>151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">
        <v>160</v>
      </c>
      <c r="F26" s="141"/>
      <c r="G26" s="141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7.6" x14ac:dyDescent="0.25">
      <c r="A30" s="128">
        <v>1</v>
      </c>
      <c r="B30" s="101" t="s">
        <v>124</v>
      </c>
      <c r="C30" s="107" t="s">
        <v>125</v>
      </c>
      <c r="D30" s="109" t="s">
        <v>112</v>
      </c>
      <c r="E30" s="101">
        <v>1000</v>
      </c>
      <c r="F30" s="110" t="s">
        <v>27</v>
      </c>
      <c r="G30" s="106">
        <v>22900</v>
      </c>
      <c r="H30" s="106">
        <v>21100</v>
      </c>
      <c r="I30" s="108">
        <v>0.25</v>
      </c>
      <c r="J30" s="13">
        <f t="shared" ref="J30" si="0">H30*I30</f>
        <v>5275</v>
      </c>
      <c r="K30" s="12">
        <v>0</v>
      </c>
      <c r="L30" s="12">
        <v>0</v>
      </c>
      <c r="M30" s="13">
        <f t="shared" ref="M30" si="1">J30</f>
        <v>5275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22900</v>
      </c>
      <c r="H31" s="64">
        <f>SUM(H30:H30)</f>
        <v>21100</v>
      </c>
      <c r="I31" s="102"/>
      <c r="J31" s="17">
        <f>SUM(J30:J30)</f>
        <v>5275</v>
      </c>
      <c r="K31" s="16"/>
      <c r="L31" s="16"/>
      <c r="M31" s="17">
        <f>SUM(M30:M30)</f>
        <v>5275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двести семьдесят пять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 t="s">
        <v>109</v>
      </c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ht="13.8" x14ac:dyDescent="0.25">
      <c r="A36" s="7" t="s">
        <v>28</v>
      </c>
      <c r="B36" s="7"/>
      <c r="D36" s="25" t="s">
        <v>135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3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G21:M21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J40" sqref="J4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«MEGA EXIMPORT»</v>
      </c>
    </row>
    <row r="3" spans="1:11" ht="11.25" customHeight="1" x14ac:dyDescent="0.2">
      <c r="B3" s="70" t="str">
        <f>+Инвойс!A6</f>
        <v xml:space="preserve">Республика Узбекистан, Ферганская область, </v>
      </c>
    </row>
    <row r="4" spans="1:11" ht="11.25" customHeight="1" x14ac:dyDescent="0.2">
      <c r="B4" s="70" t="str">
        <f>+Инвойс!A7</f>
        <v>Кува Район, Гулобод МФЙ, Сарбоз улитца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129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148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MEG-O-40 от  30.08.2025г.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106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22900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149</v>
      </c>
      <c r="D49" s="159" t="str">
        <f>+C22</f>
        <v xml:space="preserve"> 30.08.2025г.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50L560RA/500804AA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7" zoomScaleNormal="100" workbookViewId="0">
      <selection activeCell="G32" sqref="G32:H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50L560RA/500804AA</v>
      </c>
      <c r="C14" s="168"/>
      <c r="D14" s="168"/>
      <c r="E14" s="168"/>
      <c r="F14" s="168"/>
      <c r="G14" s="168"/>
      <c r="H14" s="169" t="s">
        <v>107</v>
      </c>
      <c r="I14" s="169"/>
      <c r="J14" s="88" t="str">
        <f>+Инвойс!F1</f>
        <v xml:space="preserve"> 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MEG-O-40 от  30.08.2025г.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1000</v>
      </c>
      <c r="G18" s="162" t="str">
        <f>+CMR!F30</f>
        <v>Дыни свежие</v>
      </c>
      <c r="H18" s="162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60" t="str">
        <f>+Инвойс!C30</f>
        <v>0807190001</v>
      </c>
      <c r="H19" s="161"/>
      <c r="I19" s="122" t="s">
        <v>103</v>
      </c>
      <c r="J19" s="120">
        <f>+Инвойс!G30</f>
        <v>22900</v>
      </c>
    </row>
    <row r="20" spans="2:10" ht="13.5" customHeight="1" x14ac:dyDescent="0.3">
      <c r="B20" s="83"/>
      <c r="E20" s="123"/>
      <c r="F20" s="118"/>
      <c r="G20" s="162"/>
      <c r="H20" s="162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60"/>
      <c r="H21" s="161"/>
      <c r="I21" s="122"/>
      <c r="J21" s="120"/>
    </row>
    <row r="22" spans="2:10" ht="12.75" customHeight="1" x14ac:dyDescent="0.3">
      <c r="B22" s="83"/>
      <c r="E22" s="123"/>
      <c r="F22" s="118"/>
      <c r="G22" s="162"/>
      <c r="H22" s="162"/>
      <c r="I22" s="119"/>
      <c r="J22" s="120"/>
    </row>
    <row r="23" spans="2:10" ht="14.25" customHeight="1" x14ac:dyDescent="0.3">
      <c r="B23" s="83"/>
      <c r="E23" s="123"/>
      <c r="F23" s="121"/>
      <c r="G23" s="160"/>
      <c r="H23" s="161"/>
      <c r="I23" s="122"/>
      <c r="J23" s="120"/>
    </row>
    <row r="24" spans="2:10" ht="12.75" customHeight="1" x14ac:dyDescent="0.3">
      <c r="B24" s="87"/>
      <c r="E24" s="123"/>
      <c r="F24" s="118"/>
      <c r="G24" s="162"/>
      <c r="H24" s="162"/>
      <c r="I24" s="119"/>
      <c r="J24" s="120"/>
    </row>
    <row r="25" spans="2:10" ht="12.75" customHeight="1" x14ac:dyDescent="0.3">
      <c r="B25" s="87"/>
      <c r="E25" s="123"/>
      <c r="F25" s="121"/>
      <c r="G25" s="160"/>
      <c r="H25" s="161"/>
      <c r="I25" s="122"/>
      <c r="J25" s="120"/>
    </row>
    <row r="26" spans="2:10" ht="12" customHeight="1" x14ac:dyDescent="0.3">
      <c r="B26" s="87"/>
      <c r="E26" s="123"/>
      <c r="F26" s="118"/>
      <c r="G26" s="162"/>
      <c r="H26" s="162"/>
      <c r="I26" s="119"/>
      <c r="J26" s="120"/>
    </row>
    <row r="27" spans="2:10" ht="14.25" customHeight="1" x14ac:dyDescent="0.3">
      <c r="B27" s="87"/>
      <c r="E27" s="123"/>
      <c r="F27" s="121"/>
      <c r="G27" s="160"/>
      <c r="H27" s="161"/>
      <c r="I27" s="122"/>
      <c r="J27" s="120"/>
    </row>
    <row r="28" spans="2:10" ht="12.75" customHeight="1" x14ac:dyDescent="0.3">
      <c r="B28" s="87"/>
      <c r="E28" s="123"/>
      <c r="F28" s="118"/>
      <c r="G28" s="162"/>
      <c r="H28" s="162"/>
      <c r="I28" s="119"/>
      <c r="J28" s="120"/>
    </row>
    <row r="29" spans="2:10" ht="12.75" customHeight="1" x14ac:dyDescent="0.3">
      <c r="B29" s="87"/>
      <c r="E29" s="123"/>
      <c r="F29" s="121"/>
      <c r="G29" s="160"/>
      <c r="H29" s="161"/>
      <c r="I29" s="122"/>
      <c r="J29" s="120"/>
    </row>
    <row r="30" spans="2:10" ht="12.75" customHeight="1" x14ac:dyDescent="0.3">
      <c r="B30" s="87"/>
      <c r="E30" s="123"/>
      <c r="F30" s="118"/>
      <c r="G30" s="162"/>
      <c r="H30" s="162"/>
      <c r="I30" s="119"/>
      <c r="J30" s="120"/>
    </row>
    <row r="31" spans="2:10" ht="13.5" customHeight="1" x14ac:dyDescent="0.3">
      <c r="B31" s="87"/>
      <c r="E31" s="123"/>
      <c r="F31" s="121"/>
      <c r="G31" s="160"/>
      <c r="H31" s="161"/>
      <c r="I31" s="122"/>
      <c r="J31" s="120"/>
    </row>
    <row r="32" spans="2:10" ht="13.5" customHeight="1" x14ac:dyDescent="0.3">
      <c r="B32" s="87"/>
      <c r="E32" s="123"/>
      <c r="F32" s="118"/>
      <c r="G32" s="162"/>
      <c r="H32" s="162"/>
      <c r="I32" s="119"/>
      <c r="J32" s="120"/>
    </row>
    <row r="33" spans="2:10" ht="13.5" customHeight="1" x14ac:dyDescent="0.3">
      <c r="B33" s="87"/>
      <c r="E33" s="123"/>
      <c r="F33" s="121"/>
      <c r="G33" s="160"/>
      <c r="H33" s="161"/>
      <c r="I33" s="122"/>
      <c r="J33" s="120"/>
    </row>
    <row r="34" spans="2:10" ht="13.5" customHeight="1" x14ac:dyDescent="0.3">
      <c r="B34" s="87"/>
      <c r="E34" s="123"/>
      <c r="F34" s="118"/>
      <c r="G34" s="162"/>
      <c r="H34" s="162"/>
      <c r="I34" s="119"/>
      <c r="J34" s="120"/>
    </row>
    <row r="35" spans="2:10" ht="12.75" customHeight="1" x14ac:dyDescent="0.3">
      <c r="B35" s="87"/>
      <c r="E35" s="123"/>
      <c r="F35" s="121"/>
      <c r="G35" s="160"/>
      <c r="H35" s="161"/>
      <c r="I35" s="122"/>
      <c r="J35" s="120"/>
    </row>
    <row r="36" spans="2:10" x14ac:dyDescent="0.3">
      <c r="B36" s="87"/>
      <c r="E36" s="123"/>
      <c r="F36" s="118"/>
      <c r="G36" s="162"/>
      <c r="H36" s="162"/>
      <c r="I36" s="119"/>
      <c r="J36" s="120"/>
    </row>
    <row r="37" spans="2:10" ht="13.5" customHeight="1" x14ac:dyDescent="0.3">
      <c r="B37" s="87"/>
      <c r="E37" s="123"/>
      <c r="F37" s="121"/>
      <c r="G37" s="160"/>
      <c r="H37" s="161"/>
      <c r="I37" s="122"/>
      <c r="J37" s="120"/>
    </row>
    <row r="38" spans="2:10" x14ac:dyDescent="0.3">
      <c r="B38" s="87"/>
      <c r="E38" s="123"/>
      <c r="F38" s="118"/>
      <c r="G38" s="162"/>
      <c r="H38" s="162"/>
      <c r="I38" s="119"/>
      <c r="J38" s="120"/>
    </row>
    <row r="39" spans="2:10" ht="13.5" customHeight="1" x14ac:dyDescent="0.3">
      <c r="B39" s="87"/>
      <c r="E39" s="123"/>
      <c r="F39" s="121"/>
      <c r="G39" s="160"/>
      <c r="H39" s="161"/>
      <c r="I39" s="122"/>
      <c r="J39" s="120"/>
    </row>
    <row r="40" spans="2:10" ht="14.25" hidden="1" customHeight="1" x14ac:dyDescent="0.3">
      <c r="B40" s="87"/>
      <c r="E40" s="123"/>
      <c r="F40" s="118"/>
      <c r="G40" s="162"/>
      <c r="H40" s="162"/>
      <c r="I40" s="119"/>
      <c r="J40" s="120"/>
    </row>
    <row r="41" spans="2:10" ht="14.25" hidden="1" customHeight="1" x14ac:dyDescent="0.3">
      <c r="B41" s="87"/>
      <c r="E41" s="123"/>
      <c r="F41" s="121"/>
      <c r="G41" s="160"/>
      <c r="H41" s="161"/>
      <c r="I41" s="122"/>
      <c r="J41" s="120"/>
    </row>
    <row r="42" spans="2:10" hidden="1" x14ac:dyDescent="0.3">
      <c r="B42" s="87"/>
      <c r="E42" s="123"/>
      <c r="F42" s="118"/>
      <c r="G42" s="162"/>
      <c r="H42" s="162"/>
      <c r="I42" s="119"/>
      <c r="J42" s="120"/>
    </row>
    <row r="43" spans="2:10" x14ac:dyDescent="0.3">
      <c r="B43" s="87"/>
      <c r="E43" s="123"/>
      <c r="F43" s="121"/>
      <c r="G43" s="160"/>
      <c r="H43" s="161"/>
      <c r="I43" s="122"/>
      <c r="J43" s="120"/>
    </row>
    <row r="44" spans="2:10" ht="9" customHeight="1" x14ac:dyDescent="0.3">
      <c r="B44" s="87"/>
      <c r="E44" s="95"/>
      <c r="F44" s="92"/>
      <c r="G44" s="164"/>
      <c r="H44" s="164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1000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9" zoomScale="85" zoomScaleNormal="85" workbookViewId="0">
      <selection activeCell="C32" sqref="C32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161</v>
      </c>
      <c r="C1" s="171"/>
      <c r="D1" s="171"/>
      <c r="E1" s="171"/>
      <c r="F1" s="152" t="str">
        <f>+Инвойс!F1</f>
        <v xml:space="preserve"> 30.08.2025г.</v>
      </c>
      <c r="G1" s="152"/>
      <c r="H1" s="15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GR-MG-01 от 22.08.2025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5" t="s">
        <v>19</v>
      </c>
      <c r="B4" s="145"/>
      <c r="C4" s="145"/>
      <c r="D4" s="145"/>
      <c r="E4" s="145"/>
      <c r="G4" s="145" t="s">
        <v>20</v>
      </c>
      <c r="H4" s="145"/>
      <c r="I4" s="145"/>
      <c r="J4" s="145"/>
      <c r="K4" s="145"/>
      <c r="L4" s="145"/>
      <c r="M4" s="145"/>
    </row>
    <row r="5" spans="1:15" ht="14.25" customHeight="1" x14ac:dyDescent="0.25">
      <c r="A5" s="154" t="str">
        <f>+Инвойс!A5</f>
        <v>ООО «MEGA EXIMPORT»</v>
      </c>
      <c r="B5" s="154"/>
      <c r="C5" s="154"/>
      <c r="D5" s="154"/>
      <c r="E5" s="154"/>
      <c r="F5" s="6"/>
      <c r="G5" s="147" t="str">
        <f>+Инвойс!G5</f>
        <v>ООО «ГРИН ВОРЛД»</v>
      </c>
      <c r="H5" s="147"/>
      <c r="I5" s="147"/>
      <c r="J5" s="147"/>
      <c r="K5" s="147"/>
      <c r="L5" s="147"/>
      <c r="M5" s="147"/>
    </row>
    <row r="6" spans="1:15" ht="13.8" x14ac:dyDescent="0.25">
      <c r="A6" s="174" t="str">
        <f>+Инвойс!A6</f>
        <v xml:space="preserve">Республика Узбекистан, Ферганская область, </v>
      </c>
      <c r="B6" s="174"/>
      <c r="C6" s="174"/>
      <c r="D6" s="174"/>
      <c r="E6" s="174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74" t="str">
        <f>+Инвойс!A7</f>
        <v>Кува Район, Гулобод МФЙ, Сарбоз улитца</v>
      </c>
      <c r="B7" s="174"/>
      <c r="C7" s="174"/>
      <c r="D7" s="174"/>
      <c r="E7" s="174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74" t="str">
        <f>+Инвойс!A8</f>
        <v xml:space="preserve">Р/с N 20208840607249418001   (USD)    </v>
      </c>
      <c r="B8" s="174"/>
      <c r="C8" s="174"/>
      <c r="D8" s="174"/>
      <c r="E8" s="174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74" t="str">
        <f>+Инвойс!A9</f>
        <v xml:space="preserve">в АКБ «KAPITAL BANK» МФО: 01088 Swift: KACHUZ22  </v>
      </c>
      <c r="B9" s="174"/>
      <c r="C9" s="174"/>
      <c r="D9" s="174"/>
      <c r="E9" s="174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74" t="str">
        <f>+Инвойс!A10</f>
        <v xml:space="preserve"> ИНН: 312169146</v>
      </c>
      <c r="B10" s="174"/>
      <c r="C10" s="174"/>
      <c r="D10" s="174"/>
      <c r="E10" s="174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74"/>
      <c r="B11" s="174"/>
      <c r="C11" s="174"/>
      <c r="D11" s="174"/>
      <c r="E11" s="174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5" t="s">
        <v>31</v>
      </c>
      <c r="B13" s="145"/>
      <c r="C13" s="145"/>
      <c r="D13" s="145"/>
      <c r="E13" s="145"/>
      <c r="G13" s="145" t="s">
        <v>21</v>
      </c>
      <c r="H13" s="146"/>
      <c r="I13" s="146"/>
      <c r="J13" s="146"/>
      <c r="K13" s="146"/>
      <c r="L13" s="146"/>
      <c r="M13" s="146"/>
    </row>
    <row r="14" spans="1:15" ht="14.25" customHeight="1" x14ac:dyDescent="0.25">
      <c r="A14" s="154" t="str">
        <f>+Инвойс!A14</f>
        <v>ООО «MEGA EXIMPORT»</v>
      </c>
      <c r="B14" s="154"/>
      <c r="C14" s="154"/>
      <c r="D14" s="154"/>
      <c r="E14" s="154"/>
      <c r="F14" s="6"/>
      <c r="G14" s="147" t="str">
        <f>+Инвойс!G14</f>
        <v>ООО «ГРИН ВОРЛД»</v>
      </c>
      <c r="H14" s="147"/>
      <c r="I14" s="147"/>
      <c r="J14" s="147"/>
      <c r="K14" s="147"/>
      <c r="L14" s="147"/>
      <c r="M14" s="147"/>
    </row>
    <row r="15" spans="1:15" ht="13.95" customHeight="1" x14ac:dyDescent="0.25">
      <c r="A15" s="174" t="str">
        <f>+Инвойс!A15</f>
        <v xml:space="preserve">Республика Узбекистан, Ферганская область, </v>
      </c>
      <c r="B15" s="174"/>
      <c r="C15" s="174"/>
      <c r="D15" s="174"/>
      <c r="E15" s="174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74" t="str">
        <f>+Инвойс!A16</f>
        <v>Кува Район, Гулобод МФЙ, Сарбоз улитца</v>
      </c>
      <c r="B16" s="174"/>
      <c r="C16" s="174"/>
      <c r="D16" s="174"/>
      <c r="E16" s="174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74" t="str">
        <f>+Инвойс!A17</f>
        <v xml:space="preserve">Р/с N 20208840607249418001   (USD)    </v>
      </c>
      <c r="B17" s="174"/>
      <c r="C17" s="174"/>
      <c r="D17" s="174"/>
      <c r="E17" s="174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74" t="str">
        <f>+Инвойс!A18</f>
        <v xml:space="preserve">в АКБ «KAPITAL BANK» МФО: 01088 Swift: KACHUZ22  </v>
      </c>
      <c r="B18" s="174"/>
      <c r="C18" s="174"/>
      <c r="D18" s="174"/>
      <c r="E18" s="174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74" t="str">
        <f>+Инвойс!A19</f>
        <v xml:space="preserve"> ИНН: 312169146</v>
      </c>
      <c r="B19" s="174"/>
      <c r="C19" s="174"/>
      <c r="D19" s="174"/>
      <c r="E19" s="174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74"/>
      <c r="B20" s="174"/>
      <c r="C20" s="174"/>
      <c r="D20" s="174"/>
      <c r="E20" s="174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74"/>
      <c r="B21" s="174"/>
      <c r="C21" s="174"/>
      <c r="D21" s="174"/>
      <c r="E21" s="174"/>
      <c r="G21" s="7"/>
      <c r="H21" s="23"/>
      <c r="I21" s="23"/>
      <c r="J21" s="23"/>
    </row>
    <row r="22" spans="1:17" ht="43.5" customHeight="1" x14ac:dyDescent="0.3">
      <c r="A22" s="1" t="s">
        <v>122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113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0" t="str">
        <f>+Инвойс!E26</f>
        <v>50L560RA/500804AA</v>
      </c>
      <c r="F26" s="141"/>
      <c r="G26" s="141"/>
      <c r="J26" s="21"/>
    </row>
    <row r="27" spans="1:17" ht="34.5" customHeight="1" x14ac:dyDescent="0.25">
      <c r="A27" s="67" t="s">
        <v>123</v>
      </c>
      <c r="C27" s="18"/>
      <c r="E27" s="22"/>
      <c r="F27" s="22"/>
      <c r="G27" s="22"/>
      <c r="J27" s="21"/>
    </row>
    <row r="28" spans="1:17" ht="24" customHeight="1" x14ac:dyDescent="0.25">
      <c r="A28" s="135" t="s">
        <v>1</v>
      </c>
      <c r="B28" s="135" t="s">
        <v>2</v>
      </c>
      <c r="C28" s="135" t="s">
        <v>3</v>
      </c>
      <c r="D28" s="135" t="s">
        <v>4</v>
      </c>
      <c r="E28" s="135" t="s">
        <v>5</v>
      </c>
      <c r="F28" s="135" t="s">
        <v>6</v>
      </c>
      <c r="G28" s="137" t="s">
        <v>7</v>
      </c>
      <c r="H28" s="138"/>
      <c r="I28" s="135" t="s">
        <v>8</v>
      </c>
      <c r="J28" s="111" t="s">
        <v>9</v>
      </c>
      <c r="K28" s="137" t="s">
        <v>10</v>
      </c>
      <c r="L28" s="138"/>
      <c r="M28" s="135" t="s">
        <v>11</v>
      </c>
    </row>
    <row r="29" spans="1:17" ht="31.8" x14ac:dyDescent="0.25">
      <c r="A29" s="136"/>
      <c r="B29" s="136"/>
      <c r="C29" s="136"/>
      <c r="D29" s="136"/>
      <c r="E29" s="136"/>
      <c r="F29" s="136"/>
      <c r="G29" s="111" t="s">
        <v>12</v>
      </c>
      <c r="H29" s="111" t="s">
        <v>13</v>
      </c>
      <c r="I29" s="136"/>
      <c r="J29" s="112" t="s">
        <v>14</v>
      </c>
      <c r="K29" s="10" t="s">
        <v>15</v>
      </c>
      <c r="L29" s="10" t="s">
        <v>16</v>
      </c>
      <c r="M29" s="136"/>
    </row>
    <row r="30" spans="1:17" ht="28.2" customHeight="1" x14ac:dyDescent="0.25">
      <c r="A30" s="128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1000</v>
      </c>
      <c r="F30" s="116" t="str">
        <f>+Инвойс!F30</f>
        <v>кг</v>
      </c>
      <c r="G30" s="106">
        <f>+Инвойс!G30</f>
        <v>22900</v>
      </c>
      <c r="H30" s="106">
        <f>+Инвойс!H30</f>
        <v>21100</v>
      </c>
      <c r="I30" s="108">
        <f>+Инвойс!I30</f>
        <v>0.25</v>
      </c>
      <c r="J30" s="13">
        <f>+Инвойс!J30</f>
        <v>5275</v>
      </c>
      <c r="K30" s="12">
        <v>0</v>
      </c>
      <c r="L30" s="12">
        <v>0</v>
      </c>
      <c r="M30" s="13">
        <f>+Инвойс!M30</f>
        <v>5275</v>
      </c>
      <c r="O30" s="100"/>
      <c r="Q30" s="100"/>
    </row>
    <row r="31" spans="1:17" ht="13.8" x14ac:dyDescent="0.25">
      <c r="A31" s="150" t="s">
        <v>0</v>
      </c>
      <c r="B31" s="151"/>
      <c r="C31" s="14"/>
      <c r="D31" s="15"/>
      <c r="E31" s="64">
        <f>SUM(E30:E30)</f>
        <v>1000</v>
      </c>
      <c r="F31" s="15"/>
      <c r="G31" s="64">
        <f>SUM(G30:G30)</f>
        <v>22900</v>
      </c>
      <c r="H31" s="64">
        <f>SUM(H30:H30)</f>
        <v>21100</v>
      </c>
      <c r="I31" s="102"/>
      <c r="J31" s="17">
        <f>SUM(J30:J30)</f>
        <v>5275</v>
      </c>
      <c r="K31" s="16"/>
      <c r="L31" s="16"/>
      <c r="M31" s="17">
        <f>SUM(M30:M30)</f>
        <v>5275</v>
      </c>
      <c r="P31" s="66"/>
    </row>
    <row r="32" spans="1:17" ht="13.8" x14ac:dyDescent="0.3">
      <c r="A32" s="2" t="s">
        <v>17</v>
      </c>
      <c r="B32" s="3"/>
      <c r="C32" s="11"/>
      <c r="D32" s="11"/>
      <c r="E32" s="148" t="str">
        <f>Лист1!B3</f>
        <v>Пять тысяч двести семьдесят пять долларов США, 00 центов.</v>
      </c>
      <c r="F32" s="149"/>
      <c r="G32" s="149"/>
      <c r="H32" s="149"/>
      <c r="I32" s="149"/>
      <c r="J32" s="149"/>
      <c r="K32" s="149"/>
      <c r="L32" s="149"/>
      <c r="M32" s="149"/>
    </row>
    <row r="33" spans="1:14" ht="20.25" customHeight="1" x14ac:dyDescent="0.25">
      <c r="A33" s="144"/>
      <c r="B33" s="144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</row>
    <row r="34" spans="1:14" ht="25.5" customHeight="1" x14ac:dyDescent="0.25">
      <c r="A34" s="144"/>
      <c r="B34" s="144"/>
      <c r="C34" s="144"/>
      <c r="D34" s="144"/>
      <c r="E34" s="144"/>
      <c r="F34" s="144"/>
      <c r="G34" s="144"/>
      <c r="H34" s="144"/>
      <c r="I34" s="144"/>
      <c r="J34" s="144"/>
      <c r="K34" s="144"/>
      <c r="L34" s="144"/>
      <c r="M34" s="144"/>
      <c r="N34" s="26"/>
    </row>
    <row r="36" spans="1:14" s="18" customFormat="1" ht="15.6" x14ac:dyDescent="0.3">
      <c r="A36" s="132" t="s">
        <v>137</v>
      </c>
      <c r="B36" s="132"/>
      <c r="D36" s="18" t="str">
        <f>+Инвойс!D36</f>
        <v>Эргашев О.Р</v>
      </c>
      <c r="E36" s="133"/>
      <c r="G36" s="130" t="s">
        <v>128</v>
      </c>
      <c r="H36" s="18" t="str">
        <f>Инвойс!G5</f>
        <v>ООО «ГРИН ВОРЛД»</v>
      </c>
      <c r="K36" s="134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7" t="s">
        <v>114</v>
      </c>
    </row>
    <row r="3" spans="1:10" ht="52.8" x14ac:dyDescent="0.25">
      <c r="A3" s="131" t="s">
        <v>126</v>
      </c>
    </row>
    <row r="5" spans="1:10" ht="39.6" x14ac:dyDescent="0.25">
      <c r="A5" s="127" t="s">
        <v>115</v>
      </c>
    </row>
    <row r="6" spans="1:10" x14ac:dyDescent="0.25">
      <c r="E6" s="18" t="s">
        <v>127</v>
      </c>
      <c r="J6" s="25" t="s">
        <v>150</v>
      </c>
    </row>
    <row r="7" spans="1:10" ht="52.8" x14ac:dyDescent="0.25">
      <c r="A7" s="127" t="s">
        <v>116</v>
      </c>
    </row>
    <row r="8" spans="1:10" x14ac:dyDescent="0.25">
      <c r="E8" s="18" t="s">
        <v>151</v>
      </c>
      <c r="J8" s="25" t="s">
        <v>152</v>
      </c>
    </row>
    <row r="9" spans="1:10" ht="52.8" x14ac:dyDescent="0.25">
      <c r="A9" s="127" t="s">
        <v>117</v>
      </c>
    </row>
    <row r="10" spans="1:10" x14ac:dyDescent="0.25">
      <c r="A10" s="127"/>
      <c r="E10" s="18" t="s">
        <v>153</v>
      </c>
      <c r="J10" s="25" t="s">
        <v>154</v>
      </c>
    </row>
    <row r="11" spans="1:10" ht="52.8" x14ac:dyDescent="0.25">
      <c r="A11" s="127" t="s">
        <v>155</v>
      </c>
    </row>
    <row r="12" spans="1:10" x14ac:dyDescent="0.25">
      <c r="E12" s="18" t="s">
        <v>156</v>
      </c>
      <c r="J12" s="25" t="s">
        <v>157</v>
      </c>
    </row>
    <row r="13" spans="1:10" ht="52.8" x14ac:dyDescent="0.25">
      <c r="A13" s="127" t="s">
        <v>118</v>
      </c>
    </row>
    <row r="15" spans="1:10" ht="39.6" x14ac:dyDescent="0.25">
      <c r="A15" s="127" t="s">
        <v>119</v>
      </c>
    </row>
    <row r="17" spans="1:1" ht="39.6" x14ac:dyDescent="0.25">
      <c r="A17" s="127" t="s">
        <v>120</v>
      </c>
    </row>
    <row r="19" spans="1:1" ht="39.6" x14ac:dyDescent="0.25">
      <c r="A19" s="129" t="s">
        <v>121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5275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семьдесят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45899</v>
      </c>
      <c r="O3" s="178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Пять тысяч двести семьдесят пять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30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семьдесят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семьдесят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семьдесят пять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5275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527</v>
      </c>
      <c r="B28" s="58">
        <f>TRUNC(RIGHT(A28))</f>
        <v>7</v>
      </c>
      <c r="C28" s="51">
        <f>IF(B28=1,"",B28)</f>
        <v>7</v>
      </c>
      <c r="E28" s="56" t="str">
        <f>IF(OR(C28=0,B28=1),"",IF(C28=2,E35,IF(C28=3,E36,IF(C28=4,E37,IF(C28=5,E38,IF(C28=6,E39,IF(C28=7,E40,IF(C28=8,E41,E42))))))))</f>
        <v xml:space="preserve">семьдесят </v>
      </c>
      <c r="G28" s="47"/>
    </row>
    <row r="29" spans="1:9" s="43" customFormat="1" x14ac:dyDescent="0.25">
      <c r="A29" s="54">
        <f>E13</f>
        <v>5275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275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2025-08-30T08:28:19Z</cp:lastPrinted>
  <dcterms:created xsi:type="dcterms:W3CDTF">1996-10-14T23:33:28Z</dcterms:created>
  <dcterms:modified xsi:type="dcterms:W3CDTF">2025-08-30T08:28:22Z</dcterms:modified>
</cp:coreProperties>
</file>