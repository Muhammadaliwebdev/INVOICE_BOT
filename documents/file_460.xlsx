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F9ED2CE-B1C2-4F35-8465-98DD95D0A0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C10" i="4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<sst xmlns="http://schemas.openxmlformats.org/spreadsheetml/2006/main" count="202" uniqueCount="164">
  <si>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</si>
  <si>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</si>
  <si>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</si>
  <si>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</si>
  <si>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</si>
  <si>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</si>
  <si>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</si>
  <si>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</si>
  <si>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</si>
  <si>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</si>
  <si>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</si>
  <si>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</si>
  <si>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</si>
  <si>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</si>
  <si>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</si>
  <si>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</si>
  <si>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</si>
  <si>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</si>
  <si>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</si>
  <si>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</si>
  <si>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</si>
  <si>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</si>
  <si>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</si>
  <si>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</si>
  <si>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</si>
  <si>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</si>
  <si>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</si>
  <si>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</si>
  <si>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</si>
  <si>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</si>
  <si>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</si>
  <si>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</si>
  <si>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</si>
  <si>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</si>
  <si>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</si>
  <si>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</si>
  <si>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</si>
  <si>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</si>
  <si>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</si>
  <si>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</si>
  <si>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</si>
  <si>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</si>
  <si>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</si>
  <si>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</si>
  <si>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</si>
  <si>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</si>
  <si>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</si>
  <si>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</si>
  <si>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</si>
  <si>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</si>
  <si>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</si>
  <si>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</si>
  <si>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</si>
  <si>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</si>
  <si>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</si>
  <si>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</si>
  <si>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</si>
  <si>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</si>
  <si>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</si>
  <si>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</si>
  <si>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</si>
  <si>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</si>
  <si>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</si>
  <si>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</si>
  <si>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</si>
  <si>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</si>
  <si>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</si>
  <si>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</si>
  <si>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</si>
  <si>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</si>
  <si>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</si>
  <si>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</si>
  <si>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</si>
  <si>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</si>
  <si>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</si>
  <si>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</si>
  <si>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</si>
  <si>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</si>
  <si>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</si>
  <si>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</si>
  <si>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</si>
  <si>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</si>
  <si>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</si>
  <si>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</si>
  <si>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</si>
  <si>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</si>
  <si>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</si>
  <si>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</si>
  <si>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</si>
  <si>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</si>
  <si>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</si>
  <si>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</si>
  <si>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</si>
  <si>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</si>
  <si>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</si>
  <si>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</si>
  <si>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</si>
  <si>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</si>
  <si>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</si>
  <si>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</si>
  <si>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</si>
  <si>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</si>
  <si>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</si>
  <si>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</si>
  <si>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</si>
  <si>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</si>
  <si>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</si>
  <si>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</si>
  <si>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</si>
  <si>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</si>
  <si>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</si>
  <si>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</si>
  <si>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</si>
  <si>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</si>
  <si>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</si>
  <si>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</si>
  <si>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</si>
  <si>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</si>
  <si>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</si>
  <si>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</si>
  <si>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</si>
  <si>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</si>
  <si>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</si>
  <si>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</si>
  <si>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</si>
  <si>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</si>
  <si>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</si>
  <si>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</si>
  <si>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</si>
  <si>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</si>
  <si>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</si>
  <si>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</si>
  <si>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</si>
  <si>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</si>
  <si>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</si>
  <si>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</si>
  <si>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</si>
  <si>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</si>
  <si>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</si>
  <si>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</si>
  <si>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</si>
  <si>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</si>
  <si>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</si>
  <si>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</si>
  <si>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</si>
  <si>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</si>
  <si>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</si>
  <si>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</si>
  <si>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</si>
  <si>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</si>
  <si>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</si>
  <si>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</si>
  <si>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</si>
  <si>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</si>
  <si>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</si>
  <si>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</si>
  <si>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</si>
  <si>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</si>
  <si>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</si>
  <si>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</si>
  <si>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ИНВОЙС № EXZ-F-1 от </t>
  </si>
  <si>
    <t xml:space="preserve"> 07.09.2025г.</t>
  </si>
  <si>
    <t>80762NBA/808653AA</t>
  </si>
  <si>
    <t xml:space="preserve">СПЕЦИФИКАЦИЯ № EXZ-F-1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</si>
</sst>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22409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141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130</v>
      </c>
      <c r="B5" s="136"/>
      <c r="C5" s="136"/>
      <c r="D5" s="136"/>
      <c r="E5" s="136"/>
      <c r="F5" s="6"/>
      <c r="G5" s="138" t="s">
        <v>142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131</v>
      </c>
      <c r="B6" s="143"/>
      <c r="C6" s="143"/>
      <c r="D6" s="143"/>
      <c r="E6" s="143"/>
      <c r="F6" s="7"/>
      <c r="G6" s="140" t="s">
        <v>143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132</v>
      </c>
      <c r="B7" s="143"/>
      <c r="C7" s="143"/>
      <c r="D7" s="143"/>
      <c r="E7" s="143"/>
      <c r="F7" s="63"/>
      <c r="G7" s="140" t="s">
        <v>144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145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134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135</v>
      </c>
      <c r="B10" s="125"/>
      <c r="C10" s="125"/>
      <c r="D10" s="125"/>
      <c r="E10" s="125"/>
      <c r="F10" s="7"/>
      <c r="G10" s="7" t="s">
        <v>147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136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137</v>
      </c>
      <c r="B12" s="8"/>
      <c r="C12" s="8"/>
      <c r="D12" s="8"/>
      <c r="E12" s="8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130</v>
      </c>
      <c r="B14" s="136"/>
      <c r="C14" s="136"/>
      <c r="D14" s="136"/>
      <c r="E14" s="136"/>
      <c r="F14" s="6"/>
      <c r="G14" s="138" t="s">
        <v>149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131</v>
      </c>
      <c r="B15" s="143"/>
      <c r="C15" s="143"/>
      <c r="D15" s="143"/>
      <c r="E15" s="143"/>
      <c r="F15" s="7"/>
      <c r="G15" s="140" t="s">
        <v>150</v>
      </c>
      <c r="H15" s="143"/>
      <c r="I15" s="143"/>
      <c r="J15" s="143"/>
      <c r="K15" s="143"/>
      <c r="L15" s="143"/>
      <c r="M15" s="143"/>
    </row>
    <row r="16" spans="1:15" ht="13.8" x14ac:dyDescent="0.25">
      <c r="A16" s="143" t="s">
        <v>132</v>
      </c>
      <c r="B16" s="143"/>
      <c r="C16" s="143"/>
      <c r="D16" s="143"/>
      <c r="E16" s="143"/>
      <c r="F16" s="63"/>
      <c r="G16" s="140" t="s">
        <v>151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152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134</v>
      </c>
      <c r="B18" s="8"/>
      <c r="C18" s="8"/>
      <c r="D18" s="8"/>
      <c r="E18" s="8"/>
      <c r="F18" s="7"/>
      <c r="G18" s="8" t="s">
        <v>153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135</v>
      </c>
      <c r="B19" s="125"/>
      <c r="C19" s="125"/>
      <c r="D19" s="125"/>
      <c r="E19" s="125"/>
      <c r="F19" s="7"/>
      <c r="G19" s="7" t="s">
        <v>154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136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</row>
    <row r="21" spans="1:17" ht="13.8" x14ac:dyDescent="0.25">
      <c r="A21" s="99" t="s">
        <v>137</v>
      </c>
      <c r="B21" s="8"/>
      <c r="C21" s="8"/>
      <c r="D21" s="8"/>
      <c r="E21" s="8"/>
      <c r="G21" s="139"/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127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159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960</v>
      </c>
      <c r="F30" s="110" t="s">
        <v>27</v>
      </c>
      <c r="G30" s="106">
        <v>23500</v>
      </c>
      <c r="H30" s="106">
        <v>21772</v>
      </c>
      <c r="I30" s="108">
        <v>0.2</v>
      </c>
      <c r="J30" s="13">
        <f t="shared" ref="J30" si="0">H30*I30</f>
        <v>4354.4000000000005</v>
      </c>
      <c r="K30" s="12">
        <v>0</v>
      </c>
      <c r="L30" s="12">
        <v>0</v>
      </c>
      <c r="M30" s="13">
        <f t="shared" ref="M30" si="1">J30</f>
        <v>4354.4000000000005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960</v>
      </c>
      <c r="F31" s="15"/>
      <c r="G31" s="64">
        <f>SUM(G30:G30)</f>
        <v>23500</v>
      </c>
      <c r="H31" s="64">
        <f>SUM(H30:H30)</f>
        <v>21772</v>
      </c>
      <c r="I31" s="102"/>
      <c r="J31" s="17">
        <f>SUM(J30:J30)</f>
        <v>4354.4000000000005</v>
      </c>
      <c r="K31" s="16"/>
      <c r="L31" s="16"/>
      <c r="M31" s="17">
        <f>SUM(M30:M30)</f>
        <v>4354.4000000000005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Четыре тысячи триста пятьдесят четыре доллара США,40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138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J40" sqref="J40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156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07.09.2025г.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EXZ-F-1 от  07.09.2025г.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960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07.09.2025г.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80762NBA/808653AA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1" zoomScaleNormal="100" workbookViewId="0">
      <selection activeCell="E46" sqref="E4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80762NBA/808653AA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07.09.2025г.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EXZ-F-1 от  07.09.2025г.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960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23500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960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7" zoomScale="85" zoomScaleNormal="85" workbookViewId="0">
      <selection activeCell="M30" sqref="M30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163</v>
      </c>
      <c r="C1" s="173"/>
      <c r="D1" s="173"/>
      <c r="E1" s="173"/>
      <c r="F1" s="134" t="str">
        <f>+Инвойс!F1</f>
        <v xml:space="preserve"> 07.09.2025г.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EG-AZ-01 от 05.09.2025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«Аспект»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107497, Россия, г. Москва, вн.тер.г. муниципальный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 xml:space="preserve">округ Гольяново, 2-й Иртышский пр-в, д. 4Б, стр. 3 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9718239835  / 771801001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 xml:space="preserve">Валютный счет доллары  40702840100000005715 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КБ "Максима"(ООО), г. Москва РФ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(SWIFT code: MAXMRUM1XXX)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OOO «Западные ворота»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>108811, г. Москва, вн.тер.г. муниципальный округ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Солнцево, Киевское шоссе, 23-й км, д.8, стр.1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 xml:space="preserve">р/с USD 40702810501400013450 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Банк: Филиал АО «АЛЬФА-БАНК»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к/с:  30101810200000000593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ИНН/КПП 5004025693/775101001 ОГРН 1135004001802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54" t="s">
        <v>115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80762NBA/808653AA</v>
      </c>
      <c r="F26" s="156"/>
      <c r="G26" s="156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960</v>
      </c>
      <c r="F30" s="116" t="str">
        <f>+Инвойс!F30</f>
        <v>кг</v>
      </c>
      <c r="G30" s="106">
        <f>+Инвойс!G30</f>
        <v>23500</v>
      </c>
      <c r="H30" s="106">
        <f>+Инвойс!H30</f>
        <v>21772</v>
      </c>
      <c r="I30" s="108">
        <f>+Инвойс!I30</f>
        <v>0.2</v>
      </c>
      <c r="J30" s="13">
        <f>+Инвойс!J30</f>
        <v>4354.4000000000005</v>
      </c>
      <c r="K30" s="12">
        <v>0</v>
      </c>
      <c r="L30" s="12">
        <v>0</v>
      </c>
      <c r="M30" s="13">
        <f>+Инвойс!M30</f>
        <v>4354.4000000000005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960</v>
      </c>
      <c r="F31" s="15"/>
      <c r="G31" s="64">
        <f>SUM(G30:G30)</f>
        <v>23500</v>
      </c>
      <c r="H31" s="64">
        <f>SUM(H30:H30)</f>
        <v>21772</v>
      </c>
      <c r="I31" s="102"/>
      <c r="J31" s="17">
        <f>SUM(J30:J30)</f>
        <v>4354.4000000000005</v>
      </c>
      <c r="K31" s="16"/>
      <c r="L31" s="16"/>
      <c r="M31" s="17">
        <f>SUM(M30:M30)</f>
        <v>4354.4000000000005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Четыре тысячи триста пятьдесят четыре доллара США,40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139</v>
      </c>
      <c r="B36" s="131"/>
      <c r="D36" s="18" t="str">
        <f>+Инвойс!D36</f>
        <v>АБДИЛАКИМОВ А.А</v>
      </c>
      <c r="E36" s="132"/>
      <c r="G36" s="129" t="s">
        <v>128</v>
      </c>
      <c r="H36" s="18" t="str">
        <f>Инвойс!G5</f>
        <v>ООО «Аспект»</v>
      </c>
      <c r="K36" s="133" t="s">
        <v>157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/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140</v>
      </c>
    </row>
    <row r="6" spans="1:10" x14ac:dyDescent="0.25">
      <c r="E6" s="18"/>
      <c r="J6" s="25"/>
    </row>
    <row r="7" spans="1:10" ht="52.8" x14ac:dyDescent="0.25">
      <c r="A7" s="126" t="s">
        <v>117</v>
      </c>
    </row>
    <row r="8" spans="1:10" x14ac:dyDescent="0.25">
      <c r="E8" s="18"/>
      <c r="J8" s="25"/>
    </row>
    <row r="9" spans="1:10" ht="52.8" x14ac:dyDescent="0.25">
      <c r="A9" s="126" t="s">
        <v>118</v>
      </c>
    </row>
    <row r="10" spans="1:10" x14ac:dyDescent="0.25">
      <c r="A10" s="126"/>
      <c r="E10" s="18"/>
      <c r="J10" s="25"/>
    </row>
    <row r="11" spans="1:10" ht="52.8" x14ac:dyDescent="0.25">
      <c r="A11" s="126" t="s">
        <v>158</v>
      </c>
    </row>
    <row r="12" spans="1:10" x14ac:dyDescent="0.25">
      <c r="E12" s="18"/>
      <c r="J12" s="25"/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4354.4000000000005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триста пятьдесят четыре доллара США,40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45907</v>
      </c>
      <c r="O3" s="177"/>
      <c r="P3">
        <f ca="1">DAY(N3)</f>
        <v>7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Четыре тысячи триста пятьдесят четыре доллара США,40 центов. (в т.ч. НДС - 357,79)</v>
      </c>
      <c r="H4" s="32"/>
      <c r="I4" s="32"/>
      <c r="J4" s="32"/>
      <c r="K4" s="178" t="str">
        <f ca="1">CONCATENATE(" «  ",P3,"  »  ",Q3,"  ",R3," г.")</f>
        <v xml:space="preserve"> «  7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триста пятьдесят четыре доллара США,40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триста пятьдесят четыре доллара США,40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триста пятьдесят четыре доллара США,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40 центов.</v>
      </c>
      <c r="D12" s="47"/>
      <c r="E12" s="48"/>
      <c r="M12" s="50">
        <f ca="1">TODAY()</f>
        <v>45907</v>
      </c>
    </row>
    <row r="13" spans="1:19" s="43" customFormat="1" x14ac:dyDescent="0.25">
      <c r="A13" s="49"/>
      <c r="D13" s="51"/>
      <c r="E13" s="52">
        <f>TRUNC(E2)</f>
        <v>4354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435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4354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354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40</v>
      </c>
      <c r="C31" s="59">
        <f>TRUNC(A31/10)</f>
        <v>4</v>
      </c>
      <c r="E31" s="56" t="str">
        <f>IF(OR(C31=1,C31=0),"",IF(C31=2,E35,IF(C31=3,E36,IF(C31=4,E37,IF(C31=5,E38,IF(C31=6,E39,IF(C31=7,E40,IF(C31=8,E41,E42))))))))</f>
        <v xml:space="preserve">сорок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2025-09-07T07:21:57Z</cp:lastPrinted>
  <dcterms:created xsi:type="dcterms:W3CDTF">1996-10-14T23:33:28Z</dcterms:created>
  <dcterms:modified xsi:type="dcterms:W3CDTF">2025-09-07T07:23:00Z</dcterms:modified>
</cp:coreProperties>
</file>