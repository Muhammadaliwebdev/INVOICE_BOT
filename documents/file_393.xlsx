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79CE74-E0A2-4714-A90F-06B17CD90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M38" i="2" l="1"/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l="1"/>
  <c r="M40" i="2"/>
  <c r="E2" i="3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<sst xmlns="http://schemas.openxmlformats.org/spreadsheetml/2006/main" count="223" uniqueCount="181">
  <si>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</si>
  <si>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</si>
  <si>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</si>
  <si>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</si>
  <si>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</si>
  <si>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</si>
  <si>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</si>
  <si>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</si>
  <si>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</si>
  <si>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</si>
  <si>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</si>
  <si>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</si>
  <si>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</si>
  <si>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</si>
  <si>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</si>
  <si>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</si>
  <si>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</si>
  <si>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</si>
  <si>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</si>
  <si>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</si>
  <si>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</si>
  <si>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</si>
  <si>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</si>
  <si>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</si>
  <si>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</si>
  <si>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</si>
  <si>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</si>
  <si>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</si>
  <si>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</si>
  <si>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</si>
  <si>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</si>
  <si>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</si>
  <si>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</si>
  <si>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</si>
  <si>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</si>
  <si>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</si>
  <si>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</si>
  <si>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</si>
  <si>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</si>
  <si>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</si>
  <si>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</si>
  <si>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</si>
  <si>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</si>
  <si>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</si>
  <si>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</si>
  <si>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</si>
  <si>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</si>
  <si>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</si>
  <si>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</si>
  <si>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</si>
  <si>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</si>
  <si>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</si>
  <si>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</si>
  <si>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</si>
  <si>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</si>
  <si>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</si>
  <si>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</si>
  <si>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</si>
  <si>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</si>
  <si>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</si>
  <si>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</si>
  <si>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</si>
  <si>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</si>
  <si>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</si>
  <si>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</si>
  <si>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</si>
  <si>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</si>
  <si>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</si>
  <si>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</si>
  <si>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</si>
  <si>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</si>
  <si>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</si>
  <si>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</si>
  <si>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</si>
  <si>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</si>
  <si>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</si>
  <si>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</si>
  <si>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</si>
  <si>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</si>
  <si>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</si>
  <si>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</si>
  <si>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</si>
  <si>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</si>
  <si>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</si>
  <si>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</si>
  <si>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</si>
  <si>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</si>
  <si>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</si>
  <si>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</si>
  <si>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</si>
  <si>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</si>
  <si>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</si>
  <si>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</si>
  <si>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</si>
  <si>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</si>
  <si>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</si>
  <si>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</si>
  <si>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</si>
  <si>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</si>
  <si>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</si>
  <si>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</si>
  <si>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</si>
  <si>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</si>
  <si>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</si>
  <si>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</si>
  <si>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</si>
  <si>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</si>
  <si>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</si>
  <si>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</si>
  <si>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</si>
  <si>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</si>
  <si>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</si>
  <si>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</si>
  <si>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</si>
  <si>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</si>
  <si>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</si>
  <si>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</si>
  <si>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</si>
  <si>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</si>
  <si>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</si>
  <si>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</si>
  <si>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</si>
  <si>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</si>
  <si>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</si>
  <si>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</si>
  <si>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</si>
  <si>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</si>
  <si>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</si>
  <si>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</si>
  <si>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</si>
  <si>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</si>
  <si>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</si>
  <si>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</si>
  <si>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</si>
  <si>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</si>
  <si>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</si>
  <si>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</si>
  <si>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</si>
  <si>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</si>
  <si>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</si>
  <si>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</si>
  <si>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</si>
  <si>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</si>
  <si>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</si>
  <si>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</si>
  <si>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</si>
  <si>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</si>
  <si>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</si>
  <si>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</si>
  <si>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</si>
  <si>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</si>
  <si>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</si>
  <si>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</si>
  <si>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</si>
  <si>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</si>
  <si>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</si>
  <si>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</si>
  <si>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</si>
  <si>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</si>
  <si>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</si>
  <si>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</si>
  <si>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</si>
  <si>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</si>
  <si>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</si>
  <si>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</si>
  <si>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Наименование услуги</t>
  </si>
  <si>
    <t>Маршрут</t>
  </si>
  <si>
    <t>Стоимость услуги (доллар США)</t>
  </si>
  <si>
    <t xml:space="preserve">Экспедиторские услуги </t>
  </si>
  <si>
    <t xml:space="preserve">Транспортно-экспедиторские услуги по территории Узбекистана с экспортными документами </t>
  </si>
  <si>
    <t>Транспортно-экспедиторские услуги по территории ЕАЭС</t>
  </si>
  <si>
    <t>ИТОГО ПО УСЛУГАМ</t>
  </si>
  <si>
    <t>ИТОГО ПО ИНВОЙСУ</t>
  </si>
  <si>
    <t>DAP - г. Москва, Российская Федерация (согласно Incoterms 2010)</t>
  </si>
  <si>
    <t>ИНВОЙС № AGB-113 от</t>
  </si>
  <si>
    <t xml:space="preserve"> 03.09.2025г.</t>
  </si>
  <si>
    <t>90541FBA/900518BA</t>
  </si>
  <si>
    <r>
      <t xml:space="preserve">Ташкент, Узбекистан - КПП </t>
    </r>
    <r>
      <rPr>
        <b/>
        <i/>
        <sz val="9"/>
        <rFont val="Times New Roman"/>
        <family val="1"/>
        <charset val="204"/>
      </rPr>
      <t>Акжигит</t>
    </r>
    <r>
      <rPr>
        <b/>
        <i/>
        <sz val="9"/>
        <rFont val="Times New Roman"/>
        <family val="1"/>
      </rPr>
      <t>, Казахстан, 50 км</t>
    </r>
  </si>
  <si>
    <r>
      <t xml:space="preserve">КПП </t>
    </r>
    <r>
      <rPr>
        <b/>
        <i/>
        <sz val="9"/>
        <rFont val="Times New Roman"/>
        <family val="1"/>
        <charset val="204"/>
      </rPr>
      <t>Акжигит</t>
    </r>
    <r>
      <rPr>
        <b/>
        <i/>
        <sz val="9"/>
        <rFont val="Times New Roman"/>
        <family val="1"/>
      </rPr>
      <t>, Казахстан - г. Москва, Россия, 3440 км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</si>
  <si>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</si>
  <si>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AGB-113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</si>
</sst>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i/>
      <sz val="9"/>
      <name val="Times New Roman"/>
      <family val="1"/>
    </font>
    <font>
      <b/>
      <i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1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7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" fontId="78" fillId="0" borderId="1" xfId="0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78" fillId="0" borderId="2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0" fontId="77" fillId="0" borderId="7" xfId="0" applyFont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44</xdr:row>
      <xdr:rowOff>180974</xdr:rowOff>
    </xdr:from>
    <xdr:to>
      <xdr:col>3</xdr:col>
      <xdr:colOff>480127</xdr:colOff>
      <xdr:row>56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44</xdr:row>
      <xdr:rowOff>145676</xdr:rowOff>
    </xdr:from>
    <xdr:to>
      <xdr:col>4</xdr:col>
      <xdr:colOff>395264</xdr:colOff>
      <xdr:row>47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50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8" t="s">
        <v>174</v>
      </c>
      <c r="D1" s="138"/>
      <c r="E1" s="138"/>
      <c r="F1" s="137" t="s">
        <v>175</v>
      </c>
      <c r="G1" s="137"/>
      <c r="H1" s="13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133</v>
      </c>
      <c r="D2" s="139"/>
      <c r="E2" s="139"/>
      <c r="F2" s="139"/>
      <c r="G2" s="139"/>
      <c r="H2" s="13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40" t="s">
        <v>134</v>
      </c>
      <c r="B5" s="140"/>
      <c r="C5" s="140"/>
      <c r="D5" s="140"/>
      <c r="E5" s="140"/>
      <c r="F5" s="6"/>
      <c r="G5" s="142" t="s">
        <v>141</v>
      </c>
      <c r="H5" s="142"/>
      <c r="I5" s="142"/>
      <c r="J5" s="142"/>
      <c r="K5" s="142"/>
      <c r="L5" s="142"/>
      <c r="M5" s="142"/>
    </row>
    <row r="6" spans="1:15" ht="13.8" x14ac:dyDescent="0.25">
      <c r="A6" s="123" t="s">
        <v>135</v>
      </c>
      <c r="B6" s="123"/>
      <c r="C6" s="123"/>
      <c r="D6" s="123"/>
      <c r="E6" s="123"/>
      <c r="F6" s="7"/>
      <c r="G6" s="144" t="s">
        <v>142</v>
      </c>
      <c r="H6" s="144"/>
      <c r="I6" s="144"/>
      <c r="J6" s="144"/>
      <c r="K6" s="144"/>
      <c r="L6" s="144"/>
      <c r="M6" s="144"/>
      <c r="N6" s="4"/>
    </row>
    <row r="7" spans="1:15" ht="13.8" x14ac:dyDescent="0.25">
      <c r="A7" s="123" t="s">
        <v>136</v>
      </c>
      <c r="B7" s="123"/>
      <c r="C7" s="123"/>
      <c r="D7" s="123"/>
      <c r="E7" s="123"/>
      <c r="F7" s="63"/>
      <c r="G7" s="144" t="s">
        <v>143</v>
      </c>
      <c r="H7" s="144"/>
      <c r="I7" s="144"/>
      <c r="J7" s="144"/>
      <c r="K7" s="144"/>
      <c r="L7" s="144"/>
      <c r="M7" s="144"/>
    </row>
    <row r="8" spans="1:15" ht="15" customHeight="1" x14ac:dyDescent="0.25">
      <c r="A8" s="8" t="s">
        <v>137</v>
      </c>
      <c r="B8" s="8"/>
      <c r="C8" s="8"/>
      <c r="D8" s="8"/>
      <c r="E8" s="8"/>
      <c r="F8" s="63"/>
      <c r="G8" s="145" t="s">
        <v>144</v>
      </c>
      <c r="H8" s="145"/>
      <c r="I8" s="145"/>
      <c r="J8" s="145"/>
      <c r="K8" s="145"/>
      <c r="L8" s="145"/>
      <c r="M8" s="145"/>
    </row>
    <row r="9" spans="1:15" ht="13.8" x14ac:dyDescent="0.25">
      <c r="A9" s="8" t="s">
        <v>138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139</v>
      </c>
      <c r="B10" s="123"/>
      <c r="C10" s="123"/>
      <c r="D10" s="123"/>
      <c r="E10" s="123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123" t="s">
        <v>150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3"/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40" t="s">
        <v>134</v>
      </c>
      <c r="B14" s="140"/>
      <c r="C14" s="140"/>
      <c r="D14" s="140"/>
      <c r="E14" s="140"/>
      <c r="F14" s="6"/>
      <c r="G14" s="142" t="s">
        <v>106</v>
      </c>
      <c r="H14" s="142"/>
      <c r="I14" s="142"/>
      <c r="J14" s="142"/>
      <c r="K14" s="142"/>
      <c r="L14" s="142"/>
      <c r="M14" s="142"/>
    </row>
    <row r="15" spans="1:15" ht="13.95" customHeight="1" x14ac:dyDescent="0.25">
      <c r="A15" s="123" t="s">
        <v>135</v>
      </c>
      <c r="B15" s="123"/>
      <c r="C15" s="123"/>
      <c r="D15" s="123"/>
      <c r="E15" s="123"/>
      <c r="F15" s="7"/>
      <c r="G15" s="144" t="s">
        <v>107</v>
      </c>
      <c r="H15" s="145"/>
      <c r="I15" s="145"/>
      <c r="J15" s="145"/>
      <c r="K15" s="145"/>
      <c r="L15" s="145"/>
      <c r="M15" s="145"/>
    </row>
    <row r="16" spans="1:15" ht="13.8" x14ac:dyDescent="0.25">
      <c r="A16" s="123" t="s">
        <v>136</v>
      </c>
      <c r="B16" s="123"/>
      <c r="C16" s="123"/>
      <c r="D16" s="123"/>
      <c r="E16" s="123"/>
      <c r="F16" s="63"/>
      <c r="G16" s="144" t="s">
        <v>108</v>
      </c>
      <c r="H16" s="144"/>
      <c r="I16" s="144"/>
      <c r="J16" s="144"/>
      <c r="K16" s="144"/>
      <c r="L16" s="144"/>
      <c r="M16" s="144"/>
    </row>
    <row r="17" spans="1:17" ht="15" customHeight="1" x14ac:dyDescent="0.25">
      <c r="A17" s="8" t="s">
        <v>137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139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3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43"/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6" t="s">
        <v>130</v>
      </c>
      <c r="D23" s="156"/>
      <c r="E23" s="156"/>
      <c r="F23" s="156"/>
      <c r="G23" s="156"/>
      <c r="H23" s="156"/>
      <c r="I23" s="156"/>
      <c r="J23" s="156"/>
      <c r="K23" s="156"/>
      <c r="L23" s="156"/>
      <c r="M23" s="156"/>
    </row>
    <row r="24" spans="1:17" ht="15.6" x14ac:dyDescent="0.3">
      <c r="A24" s="20" t="s">
        <v>22</v>
      </c>
      <c r="C24" s="18" t="s">
        <v>173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7" t="s">
        <v>176</v>
      </c>
      <c r="F26" s="158"/>
      <c r="G26" s="158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50" t="s">
        <v>1</v>
      </c>
      <c r="B28" s="150" t="s">
        <v>2</v>
      </c>
      <c r="C28" s="150" t="s">
        <v>3</v>
      </c>
      <c r="D28" s="150" t="s">
        <v>4</v>
      </c>
      <c r="E28" s="150" t="s">
        <v>5</v>
      </c>
      <c r="F28" s="150" t="s">
        <v>6</v>
      </c>
      <c r="G28" s="154" t="s">
        <v>7</v>
      </c>
      <c r="H28" s="155"/>
      <c r="I28" s="150" t="s">
        <v>8</v>
      </c>
      <c r="J28" s="110" t="s">
        <v>9</v>
      </c>
      <c r="K28" s="154" t="s">
        <v>10</v>
      </c>
      <c r="L28" s="155"/>
      <c r="M28" s="150" t="s">
        <v>11</v>
      </c>
    </row>
    <row r="29" spans="1:17" ht="31.8" x14ac:dyDescent="0.25">
      <c r="A29" s="151"/>
      <c r="B29" s="151"/>
      <c r="C29" s="151"/>
      <c r="D29" s="151"/>
      <c r="E29" s="151"/>
      <c r="F29" s="151"/>
      <c r="G29" s="110" t="s">
        <v>12</v>
      </c>
      <c r="H29" s="110" t="s">
        <v>13</v>
      </c>
      <c r="I29" s="151"/>
      <c r="J29" s="111" t="s">
        <v>14</v>
      </c>
      <c r="K29" s="10" t="s">
        <v>15</v>
      </c>
      <c r="L29" s="10" t="s">
        <v>16</v>
      </c>
      <c r="M29" s="151"/>
    </row>
    <row r="30" spans="1:17" ht="27.6" x14ac:dyDescent="0.25">
      <c r="A30" s="124">
        <v>1</v>
      </c>
      <c r="B30" s="100" t="s">
        <v>129</v>
      </c>
      <c r="C30" s="106" t="s">
        <v>128</v>
      </c>
      <c r="D30" s="108" t="s">
        <v>119</v>
      </c>
      <c r="E30" s="100">
        <v>2300</v>
      </c>
      <c r="F30" s="114" t="s">
        <v>27</v>
      </c>
      <c r="G30" s="105">
        <v>22650</v>
      </c>
      <c r="H30" s="105">
        <v>21040</v>
      </c>
      <c r="I30" s="107">
        <v>0.95</v>
      </c>
      <c r="J30" s="13">
        <f t="shared" ref="J30" si="0">H30*I30</f>
        <v>19988</v>
      </c>
      <c r="K30" s="12">
        <v>0</v>
      </c>
      <c r="L30" s="12">
        <v>0</v>
      </c>
      <c r="M30" s="13">
        <f t="shared" ref="M30" si="1">J30</f>
        <v>19988</v>
      </c>
      <c r="O30" s="99"/>
      <c r="Q30" s="99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2300</v>
      </c>
      <c r="F31" s="15"/>
      <c r="G31" s="64">
        <f>SUM(G30:G30)</f>
        <v>22650</v>
      </c>
      <c r="H31" s="64">
        <f>SUM(H30:H30)</f>
        <v>21040</v>
      </c>
      <c r="I31" s="101"/>
      <c r="J31" s="17">
        <f>SUM(J30:J30)</f>
        <v>19988</v>
      </c>
      <c r="K31" s="16"/>
      <c r="L31" s="16"/>
      <c r="M31" s="17">
        <f>SUM(M30:M30)</f>
        <v>19988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Девятнадцать тысяч девятьсот восемьдесят восемь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ht="24" x14ac:dyDescent="0.25">
      <c r="A34" s="132" t="s">
        <v>1</v>
      </c>
      <c r="B34" s="132" t="s">
        <v>165</v>
      </c>
      <c r="C34" s="162" t="s">
        <v>166</v>
      </c>
      <c r="D34" s="163"/>
      <c r="E34" s="163"/>
      <c r="F34" s="163"/>
      <c r="G34" s="163"/>
      <c r="H34" s="163"/>
      <c r="I34" s="163"/>
      <c r="J34" s="163"/>
      <c r="K34" s="163"/>
      <c r="L34" s="164"/>
      <c r="M34" s="133" t="s">
        <v>167</v>
      </c>
    </row>
    <row r="35" spans="1:14" ht="13.8" x14ac:dyDescent="0.25">
      <c r="A35" s="132">
        <v>1</v>
      </c>
      <c r="B35" s="132" t="s">
        <v>168</v>
      </c>
      <c r="C35" s="165"/>
      <c r="D35" s="166"/>
      <c r="E35" s="166"/>
      <c r="F35" s="166"/>
      <c r="G35" s="166"/>
      <c r="H35" s="166"/>
      <c r="I35" s="166"/>
      <c r="J35" s="166"/>
      <c r="K35" s="166"/>
      <c r="L35" s="167"/>
      <c r="M35" s="134">
        <v>100</v>
      </c>
    </row>
    <row r="36" spans="1:14" ht="55.2" x14ac:dyDescent="0.25">
      <c r="A36" s="132">
        <v>2</v>
      </c>
      <c r="B36" s="135" t="s">
        <v>169</v>
      </c>
      <c r="C36" s="165" t="s">
        <v>177</v>
      </c>
      <c r="D36" s="166"/>
      <c r="E36" s="166"/>
      <c r="F36" s="166"/>
      <c r="G36" s="166"/>
      <c r="H36" s="166"/>
      <c r="I36" s="166"/>
      <c r="J36" s="166"/>
      <c r="K36" s="166"/>
      <c r="L36" s="167"/>
      <c r="M36" s="134">
        <v>150</v>
      </c>
    </row>
    <row r="37" spans="1:14" ht="27.6" x14ac:dyDescent="0.25">
      <c r="A37" s="132">
        <v>3</v>
      </c>
      <c r="B37" s="135" t="s">
        <v>170</v>
      </c>
      <c r="C37" s="165" t="s">
        <v>178</v>
      </c>
      <c r="D37" s="166"/>
      <c r="E37" s="166"/>
      <c r="F37" s="166"/>
      <c r="G37" s="166"/>
      <c r="H37" s="166"/>
      <c r="I37" s="166"/>
      <c r="J37" s="166"/>
      <c r="K37" s="166"/>
      <c r="L37" s="167"/>
      <c r="M37" s="134">
        <v>10320</v>
      </c>
    </row>
    <row r="38" spans="1:14" ht="13.8" x14ac:dyDescent="0.25">
      <c r="A38" s="168" t="s">
        <v>171</v>
      </c>
      <c r="B38" s="169"/>
      <c r="C38" s="165"/>
      <c r="D38" s="166"/>
      <c r="E38" s="166"/>
      <c r="F38" s="166"/>
      <c r="G38" s="166"/>
      <c r="H38" s="166"/>
      <c r="I38" s="166"/>
      <c r="J38" s="166"/>
      <c r="K38" s="166"/>
      <c r="L38" s="167"/>
      <c r="M38" s="134">
        <f>M35+M36+M37</f>
        <v>10570</v>
      </c>
    </row>
    <row r="39" spans="1:14" ht="13.8" x14ac:dyDescent="0.3">
      <c r="A39" s="2"/>
      <c r="B39" s="3"/>
      <c r="C39" s="11"/>
      <c r="D39" s="11"/>
      <c r="E39" s="125"/>
      <c r="F39" s="126"/>
      <c r="G39" s="126"/>
      <c r="H39" s="126"/>
      <c r="I39" s="126"/>
      <c r="J39" s="126"/>
      <c r="K39" s="126"/>
      <c r="L39" s="126"/>
      <c r="M39" s="126"/>
    </row>
    <row r="40" spans="1:14" ht="30.9" customHeight="1" x14ac:dyDescent="0.25">
      <c r="A40" s="159" t="s">
        <v>172</v>
      </c>
      <c r="B40" s="160"/>
      <c r="C40" s="159" t="s">
        <v>173</v>
      </c>
      <c r="D40" s="161"/>
      <c r="E40" s="161"/>
      <c r="F40" s="161"/>
      <c r="G40" s="161"/>
      <c r="H40" s="161"/>
      <c r="I40" s="161"/>
      <c r="J40" s="161"/>
      <c r="K40" s="161"/>
      <c r="L40" s="160"/>
      <c r="M40" s="136">
        <f>M38+M31</f>
        <v>30558</v>
      </c>
    </row>
    <row r="41" spans="1:14" x14ac:dyDescent="0.25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</row>
    <row r="42" spans="1:14" ht="25.5" customHeight="1" x14ac:dyDescent="0.25">
      <c r="A42" s="146" t="s">
        <v>179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26"/>
    </row>
    <row r="44" spans="1:14" ht="13.8" x14ac:dyDescent="0.25">
      <c r="A44" s="7" t="s">
        <v>28</v>
      </c>
      <c r="B44" s="7"/>
      <c r="D44" s="25" t="s">
        <v>140</v>
      </c>
      <c r="E44" s="24"/>
    </row>
    <row r="45" spans="1:14" ht="13.8" x14ac:dyDescent="0.25">
      <c r="A45" s="7"/>
      <c r="B45" s="9"/>
    </row>
    <row r="46" spans="1:14" ht="30.9" customHeight="1" x14ac:dyDescent="0.25">
      <c r="A46" s="7" t="s">
        <v>18</v>
      </c>
      <c r="B46" s="9"/>
    </row>
    <row r="47" spans="1:14" ht="13.8" x14ac:dyDescent="0.25">
      <c r="A47" s="7"/>
      <c r="B47" s="9"/>
    </row>
    <row r="48" spans="1:14" ht="13.8" x14ac:dyDescent="0.25">
      <c r="A48" s="7" t="s">
        <v>29</v>
      </c>
      <c r="B48" s="9"/>
    </row>
    <row r="49" spans="1:2" ht="13.8" x14ac:dyDescent="0.25">
      <c r="A49" s="8"/>
      <c r="B49" s="9"/>
    </row>
    <row r="50" spans="1:2" x14ac:dyDescent="0.25">
      <c r="A50" s="4"/>
    </row>
  </sheetData>
  <mergeCells count="43">
    <mergeCell ref="A40:B40"/>
    <mergeCell ref="C40:L40"/>
    <mergeCell ref="C34:L34"/>
    <mergeCell ref="C35:L35"/>
    <mergeCell ref="C36:L36"/>
    <mergeCell ref="C37:L37"/>
    <mergeCell ref="A38:B38"/>
    <mergeCell ref="C38:L38"/>
    <mergeCell ref="M28:M29"/>
    <mergeCell ref="I28:I29"/>
    <mergeCell ref="G28:H28"/>
    <mergeCell ref="C23:M23"/>
    <mergeCell ref="E26:G26"/>
    <mergeCell ref="A42:M42"/>
    <mergeCell ref="G15:M15"/>
    <mergeCell ref="G13:M13"/>
    <mergeCell ref="G14:M14"/>
    <mergeCell ref="E32:M32"/>
    <mergeCell ref="E28:E29"/>
    <mergeCell ref="C28:C29"/>
    <mergeCell ref="D28:D29"/>
    <mergeCell ref="A41:M41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K43" sqref="K4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125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70" t="str">
        <f>+CONCATENATE(Инвойс!C1,Инвойс!F1)</f>
        <v>ИНВОЙС № AGB-113 от 03.09.2025г.</v>
      </c>
      <c r="C24" s="170"/>
      <c r="D24" s="170"/>
      <c r="E24" s="73"/>
      <c r="F24" s="73"/>
      <c r="G24" s="73"/>
      <c r="H24" s="73"/>
      <c r="I24" s="73"/>
    </row>
    <row r="25" spans="1:9" x14ac:dyDescent="0.2">
      <c r="B25" s="171" t="s">
        <v>115</v>
      </c>
      <c r="C25" s="171"/>
      <c r="D25" s="17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72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72"/>
      <c r="D45" s="172"/>
    </row>
    <row r="46" spans="1:9" ht="11.25" customHeight="1" x14ac:dyDescent="0.2">
      <c r="B46" s="172"/>
      <c r="C46" s="172"/>
      <c r="D46" s="17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73" t="str">
        <f>+C22</f>
        <v xml:space="preserve"> 03.09.2025г.</v>
      </c>
      <c r="E49" s="173"/>
      <c r="F49" s="17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90541FBA/900518BA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0" zoomScaleNormal="100" workbookViewId="0">
      <selection activeCell="J37" sqref="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76" t="s">
        <v>96</v>
      </c>
      <c r="C2" s="17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77" t="str">
        <f>+Инвойс!E26</f>
        <v>90541FBA/900518BA</v>
      </c>
      <c r="C14" s="177"/>
      <c r="D14" s="177"/>
      <c r="E14" s="177"/>
      <c r="F14" s="177"/>
      <c r="G14" s="177"/>
      <c r="H14" s="178" t="s">
        <v>116</v>
      </c>
      <c r="I14" s="178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9" t="str">
        <f>+CMR!B24</f>
        <v>ИНВОЙС № AGB-113 от 03.09.2025г.</v>
      </c>
      <c r="I15" s="179"/>
      <c r="J15" s="17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2300</v>
      </c>
      <c r="G18" s="180" t="str">
        <f>+CMR!F30</f>
        <v>Виноград свежий столовых сортов</v>
      </c>
      <c r="H18" s="180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Пласт. ящик</v>
      </c>
      <c r="G19" s="174" t="str">
        <f>+Инвойс!C30</f>
        <v>0806101001</v>
      </c>
      <c r="H19" s="175"/>
      <c r="I19" s="120" t="s">
        <v>103</v>
      </c>
      <c r="J19" s="118">
        <f>+Инвойс!G30</f>
        <v>22650</v>
      </c>
    </row>
    <row r="20" spans="2:10" ht="13.5" customHeight="1" x14ac:dyDescent="0.3">
      <c r="B20" s="83"/>
      <c r="E20" s="121"/>
      <c r="F20" s="116"/>
      <c r="G20" s="180"/>
      <c r="H20" s="180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74"/>
      <c r="H21" s="175"/>
      <c r="I21" s="120"/>
      <c r="J21" s="118"/>
    </row>
    <row r="22" spans="2:10" ht="12.75" customHeight="1" x14ac:dyDescent="0.3">
      <c r="B22" s="83"/>
      <c r="E22" s="121"/>
      <c r="F22" s="116"/>
      <c r="G22" s="180"/>
      <c r="H22" s="180"/>
      <c r="I22" s="117"/>
      <c r="J22" s="118"/>
    </row>
    <row r="23" spans="2:10" ht="14.25" customHeight="1" x14ac:dyDescent="0.3">
      <c r="B23" s="83"/>
      <c r="E23" s="121"/>
      <c r="F23" s="119"/>
      <c r="G23" s="174"/>
      <c r="H23" s="175"/>
      <c r="I23" s="120"/>
      <c r="J23" s="118"/>
    </row>
    <row r="24" spans="2:10" ht="12.75" customHeight="1" x14ac:dyDescent="0.3">
      <c r="B24" s="87"/>
      <c r="E24" s="121"/>
      <c r="F24" s="116"/>
      <c r="G24" s="180"/>
      <c r="H24" s="180"/>
      <c r="I24" s="117"/>
      <c r="J24" s="118"/>
    </row>
    <row r="25" spans="2:10" ht="12.75" customHeight="1" x14ac:dyDescent="0.3">
      <c r="B25" s="87"/>
      <c r="E25" s="121"/>
      <c r="F25" s="119"/>
      <c r="G25" s="174"/>
      <c r="H25" s="175"/>
      <c r="I25" s="120"/>
      <c r="J25" s="118"/>
    </row>
    <row r="26" spans="2:10" ht="12" customHeight="1" x14ac:dyDescent="0.3">
      <c r="B26" s="87"/>
      <c r="E26" s="121"/>
      <c r="F26" s="116"/>
      <c r="G26" s="180"/>
      <c r="H26" s="180"/>
      <c r="I26" s="117"/>
      <c r="J26" s="118"/>
    </row>
    <row r="27" spans="2:10" ht="14.25" customHeight="1" x14ac:dyDescent="0.3">
      <c r="B27" s="87"/>
      <c r="E27" s="121"/>
      <c r="F27" s="119"/>
      <c r="G27" s="174"/>
      <c r="H27" s="175"/>
      <c r="I27" s="120"/>
      <c r="J27" s="118"/>
    </row>
    <row r="28" spans="2:10" ht="12.75" customHeight="1" x14ac:dyDescent="0.3">
      <c r="B28" s="87"/>
      <c r="E28" s="121"/>
      <c r="F28" s="116"/>
      <c r="G28" s="180"/>
      <c r="H28" s="180"/>
      <c r="I28" s="117"/>
      <c r="J28" s="118"/>
    </row>
    <row r="29" spans="2:10" ht="12.75" customHeight="1" x14ac:dyDescent="0.3">
      <c r="B29" s="87"/>
      <c r="E29" s="121"/>
      <c r="F29" s="119"/>
      <c r="G29" s="174"/>
      <c r="H29" s="175"/>
      <c r="I29" s="120"/>
      <c r="J29" s="118"/>
    </row>
    <row r="30" spans="2:10" ht="12.75" customHeight="1" x14ac:dyDescent="0.3">
      <c r="B30" s="87"/>
      <c r="E30" s="121"/>
      <c r="F30" s="116"/>
      <c r="G30" s="180"/>
      <c r="H30" s="180"/>
      <c r="I30" s="117"/>
      <c r="J30" s="118"/>
    </row>
    <row r="31" spans="2:10" ht="13.5" customHeight="1" x14ac:dyDescent="0.3">
      <c r="B31" s="87"/>
      <c r="E31" s="121"/>
      <c r="F31" s="119"/>
      <c r="G31" s="174"/>
      <c r="H31" s="175"/>
      <c r="I31" s="120"/>
      <c r="J31" s="118"/>
    </row>
    <row r="32" spans="2:10" ht="13.5" customHeight="1" x14ac:dyDescent="0.3">
      <c r="B32" s="87"/>
      <c r="E32" s="121"/>
      <c r="F32" s="116"/>
      <c r="G32" s="180"/>
      <c r="H32" s="180"/>
      <c r="I32" s="117"/>
      <c r="J32" s="118"/>
    </row>
    <row r="33" spans="2:10" ht="13.5" customHeight="1" x14ac:dyDescent="0.3">
      <c r="B33" s="87"/>
      <c r="E33" s="121"/>
      <c r="F33" s="119"/>
      <c r="G33" s="174"/>
      <c r="H33" s="175"/>
      <c r="I33" s="120"/>
      <c r="J33" s="118"/>
    </row>
    <row r="34" spans="2:10" ht="13.5" customHeight="1" x14ac:dyDescent="0.3">
      <c r="B34" s="87"/>
      <c r="E34" s="121"/>
      <c r="F34" s="116"/>
      <c r="G34" s="180"/>
      <c r="H34" s="180"/>
      <c r="I34" s="117"/>
      <c r="J34" s="118"/>
    </row>
    <row r="35" spans="2:10" ht="12.75" customHeight="1" x14ac:dyDescent="0.3">
      <c r="B35" s="87"/>
      <c r="E35" s="121"/>
      <c r="F35" s="119"/>
      <c r="G35" s="174"/>
      <c r="H35" s="175"/>
      <c r="I35" s="120"/>
      <c r="J35" s="118"/>
    </row>
    <row r="36" spans="2:10" x14ac:dyDescent="0.3">
      <c r="B36" s="87"/>
      <c r="E36" s="121"/>
      <c r="F36" s="116"/>
      <c r="G36" s="180"/>
      <c r="H36" s="180"/>
      <c r="I36" s="117"/>
      <c r="J36" s="118"/>
    </row>
    <row r="37" spans="2:10" ht="13.5" customHeight="1" x14ac:dyDescent="0.3">
      <c r="B37" s="87"/>
      <c r="E37" s="121"/>
      <c r="F37" s="119"/>
      <c r="G37" s="174"/>
      <c r="H37" s="175"/>
      <c r="I37" s="120"/>
      <c r="J37" s="118"/>
    </row>
    <row r="38" spans="2:10" x14ac:dyDescent="0.3">
      <c r="B38" s="87"/>
      <c r="E38" s="121"/>
      <c r="F38" s="116"/>
      <c r="G38" s="180"/>
      <c r="H38" s="180"/>
      <c r="I38" s="117"/>
      <c r="J38" s="118"/>
    </row>
    <row r="39" spans="2:10" ht="13.5" customHeight="1" x14ac:dyDescent="0.3">
      <c r="B39" s="87"/>
      <c r="E39" s="121"/>
      <c r="F39" s="119"/>
      <c r="G39" s="174"/>
      <c r="H39" s="175"/>
      <c r="I39" s="120"/>
      <c r="J39" s="118"/>
    </row>
    <row r="40" spans="2:10" ht="14.25" customHeight="1" x14ac:dyDescent="0.3">
      <c r="B40" s="87"/>
      <c r="E40" s="121"/>
      <c r="F40" s="116"/>
      <c r="G40" s="180"/>
      <c r="H40" s="180"/>
      <c r="I40" s="117"/>
      <c r="J40" s="118"/>
    </row>
    <row r="41" spans="2:10" ht="14.25" customHeight="1" x14ac:dyDescent="0.3">
      <c r="B41" s="87"/>
      <c r="E41" s="121"/>
      <c r="F41" s="119"/>
      <c r="G41" s="174"/>
      <c r="H41" s="175"/>
      <c r="I41" s="120"/>
      <c r="J41" s="118"/>
    </row>
    <row r="42" spans="2:10" x14ac:dyDescent="0.3">
      <c r="B42" s="87"/>
      <c r="E42" s="121"/>
      <c r="F42" s="116"/>
      <c r="G42" s="180"/>
      <c r="H42" s="180"/>
      <c r="I42" s="117"/>
      <c r="J42" s="118"/>
    </row>
    <row r="43" spans="2:10" x14ac:dyDescent="0.3">
      <c r="B43" s="87"/>
      <c r="E43" s="121"/>
      <c r="F43" s="119"/>
      <c r="G43" s="174"/>
      <c r="H43" s="175"/>
      <c r="I43" s="120"/>
      <c r="J43" s="118"/>
    </row>
    <row r="44" spans="2:10" ht="9" customHeight="1" x14ac:dyDescent="0.3">
      <c r="B44" s="87"/>
      <c r="E44" s="95"/>
      <c r="F44" s="92"/>
      <c r="G44" s="182"/>
      <c r="H44" s="182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83">
        <f>+F18+F20+F22+F24+F26+F28+F30+F32+F34+F36+F38+F40+F42</f>
        <v>2300</v>
      </c>
      <c r="E47" s="184"/>
    </row>
    <row r="48" spans="2:10" ht="17.25" customHeight="1" x14ac:dyDescent="0.3">
      <c r="B48" s="181" t="s">
        <v>105</v>
      </c>
      <c r="C48" s="181"/>
      <c r="D48" s="181"/>
      <c r="E48" s="181"/>
    </row>
    <row r="49" spans="2:5" ht="21.75" customHeight="1" x14ac:dyDescent="0.3">
      <c r="B49" s="181"/>
      <c r="C49" s="181"/>
      <c r="D49" s="181"/>
      <c r="E49" s="181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topLeftCell="A4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38" t="s">
        <v>180</v>
      </c>
      <c r="C1" s="138"/>
      <c r="D1" s="138"/>
      <c r="E1" s="138"/>
      <c r="F1" s="137" t="str">
        <f>+Инвойс!F1</f>
        <v xml:space="preserve"> 03.09.2025г.</v>
      </c>
      <c r="G1" s="137"/>
      <c r="H1" s="13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АG/B-2/0725 от 25.07.2025 года</v>
      </c>
      <c r="D2" s="139"/>
      <c r="E2" s="139"/>
      <c r="F2" s="139"/>
      <c r="G2" s="139"/>
      <c r="H2" s="13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40" t="str">
        <f>+Инвойс!A5</f>
        <v>ООО “AAZZ GROUP”</v>
      </c>
      <c r="B5" s="140"/>
      <c r="C5" s="140"/>
      <c r="D5" s="140"/>
      <c r="E5" s="140"/>
      <c r="F5" s="6"/>
      <c r="G5" s="142" t="str">
        <f>+Инвойс!G5</f>
        <v>ООО «БЕНУА»</v>
      </c>
      <c r="H5" s="142"/>
      <c r="I5" s="142"/>
      <c r="J5" s="142"/>
      <c r="K5" s="142"/>
      <c r="L5" s="142"/>
      <c r="M5" s="142"/>
    </row>
    <row r="6" spans="1:15" ht="13.8" x14ac:dyDescent="0.25">
      <c r="A6" s="187" t="str">
        <f>+Инвойс!A6</f>
        <v xml:space="preserve">Респyблика Узбекистан, Хорезмская область, </v>
      </c>
      <c r="B6" s="187"/>
      <c r="C6" s="187"/>
      <c r="D6" s="187"/>
      <c r="E6" s="187"/>
      <c r="F6" s="7"/>
      <c r="G6" s="185" t="str">
        <f>+Инвойс!G6</f>
        <v>199004, г. Санкт-Петербург, наб. Макарова, д. 14,</v>
      </c>
      <c r="H6" s="185"/>
      <c r="I6" s="185"/>
      <c r="J6" s="185"/>
      <c r="K6" s="185"/>
      <c r="L6" s="185"/>
      <c r="M6" s="185"/>
      <c r="N6" s="4"/>
    </row>
    <row r="7" spans="1:15" ht="13.8" x14ac:dyDescent="0.25">
      <c r="A7" s="187" t="str">
        <f>+Инвойс!A7</f>
        <v>Ургенчский р-н, Мевазор МФИ, улица Мустакиллик, д.6/2</v>
      </c>
      <c r="B7" s="187"/>
      <c r="C7" s="187"/>
      <c r="D7" s="187"/>
      <c r="E7" s="187"/>
      <c r="F7" s="63"/>
      <c r="G7" s="185" t="str">
        <f>+Инвойс!G7</f>
        <v>литера А, пом. 1-Н, рабочее место 11.</v>
      </c>
      <c r="H7" s="185"/>
      <c r="I7" s="185"/>
      <c r="J7" s="185"/>
      <c r="K7" s="185"/>
      <c r="L7" s="185"/>
      <c r="M7" s="185"/>
    </row>
    <row r="8" spans="1:15" ht="15" customHeight="1" x14ac:dyDescent="0.25">
      <c r="A8" s="187" t="str">
        <f>+Инвойс!A8</f>
        <v xml:space="preserve">Р/с 20208840707099612003  (USD)  </v>
      </c>
      <c r="B8" s="187"/>
      <c r="C8" s="187"/>
      <c r="D8" s="187"/>
      <c r="E8" s="187"/>
      <c r="F8" s="63"/>
      <c r="G8" s="185" t="str">
        <f>+Инвойс!G8</f>
        <v xml:space="preserve">ОГРН 1247800053544 / ИНН: 7801734052 / 780101001 </v>
      </c>
      <c r="H8" s="185"/>
      <c r="I8" s="185"/>
      <c r="J8" s="185"/>
      <c r="K8" s="185"/>
      <c r="L8" s="185"/>
      <c r="M8" s="185"/>
    </row>
    <row r="9" spans="1:15" ht="13.8" x14ac:dyDescent="0.25">
      <c r="A9" s="187" t="str">
        <f>+Инвойс!A9</f>
        <v xml:space="preserve">Банк: АКБ «Гарант Банк » </v>
      </c>
      <c r="B9" s="187"/>
      <c r="C9" s="187"/>
      <c r="D9" s="187"/>
      <c r="E9" s="187"/>
      <c r="F9" s="7"/>
      <c r="G9" s="185" t="str">
        <f>+Инвойс!G9</f>
        <v>Банк: Азия-Инвест Банк (АО) Свифт: ASIJRUMM</v>
      </c>
      <c r="H9" s="185"/>
      <c r="I9" s="185"/>
      <c r="J9" s="185"/>
      <c r="K9" s="185"/>
      <c r="L9" s="185"/>
      <c r="M9" s="185"/>
      <c r="O9" s="7"/>
    </row>
    <row r="10" spans="1:15" ht="13.8" x14ac:dyDescent="0.25">
      <c r="A10" s="187" t="str">
        <f>+Инвойс!A10</f>
        <v>МФО: 00439; SWIFTCode: JSCSUZ22</v>
      </c>
      <c r="B10" s="187"/>
      <c r="C10" s="187"/>
      <c r="D10" s="187"/>
      <c r="E10" s="187"/>
      <c r="F10" s="7"/>
      <c r="G10" s="185" t="str">
        <f>+Инвойс!G10</f>
        <v xml:space="preserve">Счет получателя (RUB)№ 40702810302100012537 </v>
      </c>
      <c r="H10" s="185"/>
      <c r="I10" s="185"/>
      <c r="J10" s="185"/>
      <c r="K10" s="185"/>
      <c r="L10" s="185"/>
      <c r="M10" s="185"/>
    </row>
    <row r="11" spans="1:15" ht="13.8" x14ac:dyDescent="0.25">
      <c r="A11" s="187" t="str">
        <f>+Инвойс!A11</f>
        <v>ИНН: 311440436</v>
      </c>
      <c r="B11" s="187"/>
      <c r="C11" s="187"/>
      <c r="D11" s="187"/>
      <c r="E11" s="187"/>
      <c r="F11" s="7"/>
      <c r="G11" s="185" t="str">
        <f>+Инвойс!G11</f>
        <v xml:space="preserve">К/С 21002840900090007001 Банк-корреспондент: УЗНАЦБАНК </v>
      </c>
      <c r="H11" s="185"/>
      <c r="I11" s="185"/>
      <c r="J11" s="185"/>
      <c r="K11" s="185"/>
      <c r="L11" s="185"/>
      <c r="M11" s="185"/>
    </row>
    <row r="12" spans="1:15" ht="60.6" customHeight="1" x14ac:dyDescent="0.25">
      <c r="A12" s="143"/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40" t="str">
        <f>+Инвойс!A14</f>
        <v>ООО “AAZZ GROUP”</v>
      </c>
      <c r="B14" s="140"/>
      <c r="C14" s="140"/>
      <c r="D14" s="140"/>
      <c r="E14" s="140"/>
      <c r="F14" s="6"/>
      <c r="G14" s="142" t="str">
        <f>+Инвойс!G14</f>
        <v>OOO «Сармант-ЮГ»</v>
      </c>
      <c r="H14" s="142"/>
      <c r="I14" s="142"/>
      <c r="J14" s="142"/>
      <c r="K14" s="142"/>
      <c r="L14" s="142"/>
      <c r="M14" s="142"/>
    </row>
    <row r="15" spans="1:15" ht="13.95" customHeight="1" x14ac:dyDescent="0.25">
      <c r="A15" s="187" t="str">
        <f>+Инвойс!A15</f>
        <v xml:space="preserve">Респyблика Узбекистан, Хорезмская область, </v>
      </c>
      <c r="B15" s="187"/>
      <c r="C15" s="187"/>
      <c r="D15" s="187"/>
      <c r="E15" s="187"/>
      <c r="F15" s="7"/>
      <c r="G15" s="185" t="str">
        <f>+Инвойс!G15</f>
        <v xml:space="preserve">196006, город Санкт-Петербург, улица Новорощинская, </v>
      </c>
      <c r="H15" s="185"/>
      <c r="I15" s="185"/>
      <c r="J15" s="185"/>
      <c r="K15" s="185"/>
      <c r="L15" s="185"/>
      <c r="M15" s="185"/>
    </row>
    <row r="16" spans="1:15" ht="15" customHeight="1" x14ac:dyDescent="0.25">
      <c r="A16" s="187" t="str">
        <f>+Инвойс!A16</f>
        <v>Ургенчский р-н, Мевазор МФИ, улица Мустакиллик, д.6/2</v>
      </c>
      <c r="B16" s="187"/>
      <c r="C16" s="187"/>
      <c r="D16" s="187"/>
      <c r="E16" s="187"/>
      <c r="F16" s="63"/>
      <c r="G16" s="185" t="str">
        <f>+Инвойс!G16</f>
        <v>дом 4, литер А, 1Н помещение 363 офис 609-1</v>
      </c>
      <c r="H16" s="185"/>
      <c r="I16" s="185"/>
      <c r="J16" s="185"/>
      <c r="K16" s="185"/>
      <c r="L16" s="185"/>
      <c r="M16" s="185"/>
    </row>
    <row r="17" spans="1:17" ht="15" customHeight="1" x14ac:dyDescent="0.25">
      <c r="A17" s="187" t="str">
        <f>+Инвойс!A17</f>
        <v xml:space="preserve">Р/с 20208840707099612003  (USD)  </v>
      </c>
      <c r="B17" s="187"/>
      <c r="C17" s="187"/>
      <c r="D17" s="187"/>
      <c r="E17" s="187"/>
      <c r="F17" s="63"/>
      <c r="G17" s="185" t="str">
        <f>+Инвойс!G17</f>
        <v>р/с USD 40702810226710000073</v>
      </c>
      <c r="H17" s="185"/>
      <c r="I17" s="185"/>
      <c r="J17" s="185"/>
      <c r="K17" s="185"/>
      <c r="L17" s="185"/>
      <c r="M17" s="185"/>
    </row>
    <row r="18" spans="1:17" ht="15" customHeight="1" x14ac:dyDescent="0.25">
      <c r="A18" s="187" t="str">
        <f>+Инвойс!A18</f>
        <v xml:space="preserve">Банк: АКБ «Гарант Банк » </v>
      </c>
      <c r="B18" s="187"/>
      <c r="C18" s="187"/>
      <c r="D18" s="187"/>
      <c r="E18" s="187"/>
      <c r="F18" s="7"/>
      <c r="G18" s="185" t="str">
        <f>+Инвойс!G18</f>
        <v>Банк: Филиал «Центральный» Банка ВТБ (ПАО) в г. Москве</v>
      </c>
      <c r="H18" s="185"/>
      <c r="I18" s="185"/>
      <c r="J18" s="185"/>
      <c r="K18" s="185"/>
      <c r="L18" s="185"/>
      <c r="M18" s="185"/>
    </row>
    <row r="19" spans="1:17" ht="15" customHeight="1" x14ac:dyDescent="0.25">
      <c r="A19" s="187" t="str">
        <f>+Инвойс!A19</f>
        <v>МФО: 00439; SWIFTCode: JSCSUZ22</v>
      </c>
      <c r="B19" s="187"/>
      <c r="C19" s="187"/>
      <c r="D19" s="187"/>
      <c r="E19" s="187"/>
      <c r="F19" s="7"/>
      <c r="G19" s="185" t="str">
        <f>+Инвойс!G19</f>
        <v>SWIFT: VTBRRUM2MS2</v>
      </c>
      <c r="H19" s="185"/>
      <c r="I19" s="185"/>
      <c r="J19" s="185"/>
      <c r="K19" s="185"/>
      <c r="L19" s="185"/>
      <c r="M19" s="185"/>
    </row>
    <row r="20" spans="1:17" ht="15" customHeight="1" x14ac:dyDescent="0.25">
      <c r="A20" s="187" t="str">
        <f>+Инвойс!A20</f>
        <v xml:space="preserve">ИНН: 311440436 </v>
      </c>
      <c r="B20" s="187"/>
      <c r="C20" s="187"/>
      <c r="D20" s="187"/>
      <c r="E20" s="187"/>
      <c r="F20" s="7"/>
      <c r="G20" s="185" t="str">
        <f>+Инвойс!G20</f>
        <v>ИНН/КПП 7805640197/ 781001001 ОГРН 1147847003193</v>
      </c>
      <c r="H20" s="185"/>
      <c r="I20" s="185"/>
      <c r="J20" s="185"/>
      <c r="K20" s="185"/>
      <c r="L20" s="185"/>
      <c r="M20" s="185"/>
    </row>
    <row r="21" spans="1:17" ht="64.2" customHeight="1" x14ac:dyDescent="0.25">
      <c r="A21" s="143"/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6" t="s">
        <v>160</v>
      </c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1:17" ht="15.6" x14ac:dyDescent="0.3">
      <c r="A24" s="20" t="s">
        <v>22</v>
      </c>
      <c r="C24" s="18" t="str">
        <f>+Инвойс!C24</f>
        <v>DAP - г. Москва, Российская Федерация (согласно Incoterms 2010)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7" t="str">
        <f>+Инвойс!E26</f>
        <v>90541FBA/900518BA</v>
      </c>
      <c r="F26" s="158"/>
      <c r="G26" s="158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50" t="s">
        <v>1</v>
      </c>
      <c r="B28" s="150" t="s">
        <v>2</v>
      </c>
      <c r="C28" s="150" t="s">
        <v>3</v>
      </c>
      <c r="D28" s="150" t="s">
        <v>4</v>
      </c>
      <c r="E28" s="150" t="s">
        <v>5</v>
      </c>
      <c r="F28" s="150" t="s">
        <v>6</v>
      </c>
      <c r="G28" s="154" t="s">
        <v>7</v>
      </c>
      <c r="H28" s="155"/>
      <c r="I28" s="150" t="s">
        <v>8</v>
      </c>
      <c r="J28" s="110" t="s">
        <v>9</v>
      </c>
      <c r="K28" s="154" t="s">
        <v>10</v>
      </c>
      <c r="L28" s="155"/>
      <c r="M28" s="150" t="s">
        <v>11</v>
      </c>
    </row>
    <row r="29" spans="1:17" ht="31.8" x14ac:dyDescent="0.25">
      <c r="A29" s="151"/>
      <c r="B29" s="151"/>
      <c r="C29" s="151"/>
      <c r="D29" s="151"/>
      <c r="E29" s="151"/>
      <c r="F29" s="151"/>
      <c r="G29" s="110" t="s">
        <v>12</v>
      </c>
      <c r="H29" s="110" t="s">
        <v>13</v>
      </c>
      <c r="I29" s="151"/>
      <c r="J29" s="111" t="s">
        <v>14</v>
      </c>
      <c r="K29" s="10" t="s">
        <v>15</v>
      </c>
      <c r="L29" s="10" t="s">
        <v>16</v>
      </c>
      <c r="M29" s="151"/>
    </row>
    <row r="30" spans="1:17" ht="27.6" x14ac:dyDescent="0.25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22650</v>
      </c>
      <c r="H30" s="105">
        <f>+Инвойс!H30</f>
        <v>21040</v>
      </c>
      <c r="I30" s="107">
        <f>+Инвойс!I30</f>
        <v>0.95</v>
      </c>
      <c r="J30" s="13">
        <f>+Инвойс!J30</f>
        <v>19988</v>
      </c>
      <c r="K30" s="12">
        <f>+Инвойс!K30</f>
        <v>0</v>
      </c>
      <c r="L30" s="12">
        <f>+Инвойс!L30</f>
        <v>0</v>
      </c>
      <c r="M30" s="13">
        <f>+Инвойс!M30</f>
        <v>19988</v>
      </c>
      <c r="O30" s="99"/>
      <c r="Q30" s="99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2300</v>
      </c>
      <c r="F31" s="15"/>
      <c r="G31" s="128">
        <f>+Инвойс!G31</f>
        <v>22650</v>
      </c>
      <c r="H31" s="128">
        <f>+Инвойс!H31</f>
        <v>21040</v>
      </c>
      <c r="I31" s="101"/>
      <c r="J31" s="13">
        <f>+Инвойс!J31</f>
        <v>19988</v>
      </c>
      <c r="K31" s="16"/>
      <c r="L31" s="16"/>
      <c r="M31" s="13">
        <f>+Инвойс!M31</f>
        <v>19988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Девятнадцать тысяч девятьсот восемьдесят восемь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x14ac:dyDescent="0.25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</row>
    <row r="35" spans="1:14" x14ac:dyDescent="0.25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26"/>
    </row>
    <row r="36" spans="1:14" ht="13.8" x14ac:dyDescent="0.25">
      <c r="A36" s="130" t="s">
        <v>161</v>
      </c>
      <c r="D36" s="18" t="s">
        <v>140</v>
      </c>
      <c r="G36" s="129" t="s">
        <v>162</v>
      </c>
      <c r="H36" s="129"/>
      <c r="L36" s="18" t="s">
        <v>164</v>
      </c>
    </row>
    <row r="37" spans="1:14" ht="13.8" x14ac:dyDescent="0.25">
      <c r="A37" s="130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1" t="s">
        <v>163</v>
      </c>
    </row>
    <row r="51" spans="7:12" x14ac:dyDescent="0.25">
      <c r="G51" s="18" t="str">
        <f>+Инвойс!G14</f>
        <v>OOO «Сармант-ЮГ»</v>
      </c>
    </row>
  </sheetData>
  <mergeCells count="54">
    <mergeCell ref="A35:M35"/>
    <mergeCell ref="K28:L28"/>
    <mergeCell ref="M28:M29"/>
    <mergeCell ref="A31:B31"/>
    <mergeCell ref="E32:M32"/>
    <mergeCell ref="A34:M34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C23:M23"/>
    <mergeCell ref="A17:E17"/>
    <mergeCell ref="A18:E18"/>
    <mergeCell ref="A19:E19"/>
    <mergeCell ref="A20:E20"/>
    <mergeCell ref="A13:E13"/>
    <mergeCell ref="G13:M13"/>
    <mergeCell ref="G9:M9"/>
    <mergeCell ref="G10:M10"/>
    <mergeCell ref="G11:M11"/>
    <mergeCell ref="F1:H1"/>
    <mergeCell ref="C2:H2"/>
    <mergeCell ref="A4:E4"/>
    <mergeCell ref="G4:M4"/>
    <mergeCell ref="A5:E5"/>
    <mergeCell ref="G5:M5"/>
  </mergeCells>
  <pageMargins left="0.7" right="0.7" top="0.75" bottom="0.75" header="0.3" footer="0.3"/>
  <pageSetup paperSize="9" scale="64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9" sqref="M9"/>
    </sheetView>
  </sheetViews>
  <sheetFormatPr defaultRowHeight="13.2" x14ac:dyDescent="0.25"/>
  <sheetData>
    <row r="1" spans="1:18" ht="30" customHeight="1" x14ac:dyDescent="0.25">
      <c r="A1" s="156" t="s">
        <v>120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8" x14ac:dyDescent="0.25">
      <c r="A2" s="18"/>
    </row>
    <row r="3" spans="1:18" ht="30.75" customHeight="1" x14ac:dyDescent="0.25">
      <c r="A3" s="156" t="s">
        <v>130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M3" s="18" t="s">
        <v>152</v>
      </c>
      <c r="R3" s="25" t="s">
        <v>153</v>
      </c>
    </row>
    <row r="5" spans="1:18" ht="24.75" customHeight="1" x14ac:dyDescent="0.25">
      <c r="A5" s="156" t="s">
        <v>114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M5" s="18" t="s">
        <v>157</v>
      </c>
      <c r="R5" s="25" t="s">
        <v>154</v>
      </c>
    </row>
    <row r="6" spans="1:18" x14ac:dyDescent="0.25">
      <c r="A6" s="18"/>
    </row>
    <row r="7" spans="1:18" ht="38.25" customHeight="1" x14ac:dyDescent="0.25">
      <c r="A7" s="156" t="s">
        <v>121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M7" s="18" t="s">
        <v>158</v>
      </c>
      <c r="R7" s="25" t="s">
        <v>155</v>
      </c>
    </row>
    <row r="9" spans="1:18" ht="23.25" customHeight="1" x14ac:dyDescent="0.25">
      <c r="A9" s="156" t="s">
        <v>122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M9" s="18" t="s">
        <v>159</v>
      </c>
      <c r="R9" s="25" t="s">
        <v>156</v>
      </c>
    </row>
    <row r="10" spans="1:18" x14ac:dyDescent="0.25">
      <c r="A10" s="18"/>
    </row>
    <row r="11" spans="1:18" ht="27" customHeight="1" x14ac:dyDescent="0.25">
      <c r="A11" s="156" t="s">
        <v>123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</row>
    <row r="13" spans="1:18" ht="25.5" customHeight="1" x14ac:dyDescent="0.25">
      <c r="A13" s="156" t="s">
        <v>124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</row>
    <row r="14" spans="1:18" x14ac:dyDescent="0.25">
      <c r="A14" s="18"/>
    </row>
    <row r="15" spans="1:18" ht="24.75" customHeight="1" x14ac:dyDescent="0.25">
      <c r="A15" s="156" t="s">
        <v>126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</row>
    <row r="17" spans="1:14" ht="27.75" customHeight="1" x14ac:dyDescent="0.25">
      <c r="A17" s="188" t="s">
        <v>131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M17" s="70"/>
    </row>
    <row r="18" spans="1:14" x14ac:dyDescent="0.25">
      <c r="A18" s="18"/>
      <c r="M18" s="70"/>
    </row>
    <row r="19" spans="1:14" ht="27.75" customHeight="1" x14ac:dyDescent="0.25">
      <c r="A19" s="188" t="s">
        <v>132</v>
      </c>
      <c r="B19" s="188"/>
      <c r="C19" s="188"/>
      <c r="D19" s="188"/>
      <c r="E19" s="188"/>
      <c r="F19" s="188"/>
      <c r="G19" s="188"/>
      <c r="H19" s="188"/>
      <c r="I19" s="188"/>
      <c r="J19" s="188"/>
      <c r="K19" s="188"/>
    </row>
    <row r="20" spans="1:14" x14ac:dyDescent="0.25">
      <c r="N20" s="189"/>
    </row>
    <row r="21" spans="1:14" ht="12.75" customHeight="1" x14ac:dyDescent="0.25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N21" s="173"/>
    </row>
    <row r="22" spans="1:14" x14ac:dyDescent="0.25">
      <c r="A22" s="18"/>
    </row>
    <row r="25" spans="1:14" ht="12.75" customHeight="1" x14ac:dyDescent="0.2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</row>
    <row r="26" spans="1:14" x14ac:dyDescent="0.25">
      <c r="A26" s="18"/>
    </row>
    <row r="29" spans="1:14" ht="12.75" customHeight="1" x14ac:dyDescent="0.25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</row>
    <row r="30" spans="1:14" x14ac:dyDescent="0.25">
      <c r="A30" s="18"/>
    </row>
    <row r="32" spans="1:14" x14ac:dyDescent="0.25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92" t="s">
        <v>32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9" ht="15.6" x14ac:dyDescent="0.3">
      <c r="E2" s="27">
        <f>Инвойс!M31</f>
        <v>19988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девятьсот восемьдесят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93">
        <f ca="1">TODAY()</f>
        <v>45903</v>
      </c>
      <c r="O3" s="193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Девятнадцать тысяч девятьсот восемьдесят восемь долларов США, 00 центов. (в т.ч. НДС - 357,79)</v>
      </c>
      <c r="H4" s="32"/>
      <c r="I4" s="32"/>
      <c r="J4" s="32"/>
      <c r="K4" s="194" t="str">
        <f ca="1">CONCATENATE(" «  ",P3,"  »  ",Q3,"  ",R3," г.")</f>
        <v xml:space="preserve"> «  3  »  сентября  2025 г.</v>
      </c>
      <c r="L4" s="194"/>
      <c r="M4" s="19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девятьсот восемьдесят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девятьсот восемьдесят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95" t="s">
        <v>38</v>
      </c>
      <c r="I7" s="195"/>
      <c r="J7" s="19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95"/>
      <c r="I8" s="195"/>
      <c r="J8" s="19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95"/>
      <c r="I9" s="195"/>
      <c r="J9" s="19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95"/>
      <c r="I10" s="195"/>
      <c r="J10" s="19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восемьдесят восемь долларов США, </v>
      </c>
      <c r="D11" s="47"/>
      <c r="E11" s="48"/>
      <c r="H11" s="195"/>
      <c r="I11" s="195"/>
      <c r="J11" s="19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19988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1998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19988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96" t="s">
        <v>81</v>
      </c>
      <c r="B44" s="196"/>
      <c r="C44" s="196"/>
      <c r="D44" s="196"/>
      <c r="E44" s="196"/>
      <c r="F44" s="196"/>
      <c r="G44" s="196"/>
      <c r="H44" s="196"/>
      <c r="I44" s="196"/>
      <c r="J44" s="191" t="s">
        <v>82</v>
      </c>
      <c r="K44" s="191"/>
    </row>
    <row r="45" spans="1:11" s="43" customFormat="1" x14ac:dyDescent="0.25">
      <c r="A45" s="196"/>
      <c r="B45" s="196"/>
      <c r="C45" s="196"/>
      <c r="D45" s="196"/>
      <c r="E45" s="196"/>
      <c r="F45" s="196"/>
      <c r="G45" s="196"/>
      <c r="H45" s="196"/>
      <c r="I45" s="196"/>
      <c r="J45" s="191"/>
      <c r="K45" s="191"/>
    </row>
    <row r="46" spans="1:11" s="43" customFormat="1" x14ac:dyDescent="0.25">
      <c r="B46" s="61"/>
      <c r="C46" s="61"/>
      <c r="G46" s="190" t="s">
        <v>83</v>
      </c>
      <c r="H46" s="190"/>
      <c r="I46" s="19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91" t="s">
        <v>85</v>
      </c>
      <c r="B100" s="191"/>
      <c r="C100" s="191"/>
      <c r="D100" s="19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2025-09-03T13:30:25Z</cp:lastPrinted>
  <dcterms:created xsi:type="dcterms:W3CDTF">1996-10-14T23:33:28Z</dcterms:created>
  <dcterms:modified xsi:type="dcterms:W3CDTF">2025-09-03T13:30:54Z</dcterms:modified>
</cp:coreProperties>
</file>