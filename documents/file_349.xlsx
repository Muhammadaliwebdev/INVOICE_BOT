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6BC701F-1BB2-499F-BF70-214EA4529E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<sst xmlns="http://schemas.openxmlformats.org/spreadsheetml/2006/main" count="209" uniqueCount="163">
  <si>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</si>
  <si>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</si>
  <si>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</si>
  <si>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</si>
  <si>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</si>
  <si>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</si>
  <si>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</si>
  <si>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</si>
  <si>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</si>
  <si>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</si>
  <si>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</si>
  <si>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</si>
  <si>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</si>
  <si>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</si>
  <si>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</si>
  <si>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</si>
  <si>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</si>
  <si>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</si>
  <si>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</si>
  <si>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</si>
  <si>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</si>
  <si>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</si>
  <si>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</si>
  <si>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</si>
  <si>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</si>
  <si>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</si>
  <si>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</si>
  <si>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</si>
  <si>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</si>
  <si>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</si>
  <si>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</si>
  <si>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</si>
  <si>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</si>
  <si>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</si>
  <si>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</si>
  <si>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</si>
  <si>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</si>
  <si>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</si>
  <si>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</si>
  <si>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</si>
  <si>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</si>
  <si>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</si>
  <si>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</si>
  <si>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</si>
  <si>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</si>
  <si>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</si>
  <si>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</si>
  <si>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</si>
  <si>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</si>
  <si>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</si>
  <si>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</si>
  <si>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</si>
  <si>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</si>
  <si>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</si>
  <si>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</si>
  <si>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</si>
  <si>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</si>
  <si>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</si>
  <si>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</si>
  <si>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</si>
  <si>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</si>
  <si>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</si>
  <si>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</si>
  <si>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</si>
  <si>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</si>
  <si>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</si>
  <si>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</si>
  <si>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</si>
  <si>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</si>
  <si>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</si>
  <si>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</si>
  <si>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</si>
  <si>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</si>
  <si>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</si>
  <si>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</si>
  <si>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</si>
  <si>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</si>
  <si>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</si>
  <si>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</si>
  <si>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</si>
  <si>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</si>
  <si>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</si>
  <si>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</si>
  <si>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</si>
  <si>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</si>
  <si>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</si>
  <si>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</si>
  <si>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</si>
  <si>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</si>
  <si>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</si>
  <si>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</si>
  <si>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</si>
  <si>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</si>
  <si>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</si>
  <si>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</si>
  <si>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</si>
  <si>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</si>
  <si>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</si>
  <si>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</si>
  <si>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</si>
  <si>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</si>
  <si>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</si>
  <si>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</si>
  <si>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</si>
  <si>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</si>
  <si>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</si>
  <si>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</si>
  <si>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</si>
  <si>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</si>
  <si>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</si>
  <si>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</si>
  <si>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</si>
  <si>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</si>
  <si>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</si>
  <si>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</si>
  <si>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</si>
  <si>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</si>
  <si>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</si>
  <si>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</si>
  <si>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</si>
  <si>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</si>
  <si>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</si>
  <si>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</si>
  <si>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</si>
  <si>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</si>
  <si>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</si>
  <si>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</si>
  <si>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</si>
  <si>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</si>
  <si>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</si>
  <si>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</si>
  <si>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</si>
  <si>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</si>
  <si>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</si>
  <si>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</si>
  <si>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</si>
  <si>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</si>
  <si>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</si>
  <si>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</si>
  <si>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</si>
  <si>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</si>
  <si>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</si>
  <si>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</si>
  <si>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</si>
  <si>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</si>
  <si>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</si>
  <si>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</si>
  <si>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</si>
  <si>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</si>
  <si>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</si>
  <si>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</si>
  <si>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</si>
  <si>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</si>
  <si>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</si>
  <si>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</si>
  <si>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</si>
  <si>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</si>
  <si>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</si>
  <si>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</si>
  <si>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GWG-A-7 от </t>
  </si>
  <si>
    <t xml:space="preserve"> 01.09.2025г.</t>
  </si>
  <si>
    <t>80063YBA/804015BA</t>
  </si>
  <si>
    <t xml:space="preserve">СПЕЦИФИКАЦИЯ № GWG-A-7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</si>
</sst>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2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126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1070</v>
      </c>
      <c r="F30" s="110" t="s">
        <v>27</v>
      </c>
      <c r="G30" s="106">
        <v>22100</v>
      </c>
      <c r="H30" s="106">
        <v>20174</v>
      </c>
      <c r="I30" s="108">
        <v>0.25</v>
      </c>
      <c r="J30" s="13">
        <f t="shared" ref="J30" si="0">H30*I30</f>
        <v>5043.5</v>
      </c>
      <c r="K30" s="12">
        <v>0</v>
      </c>
      <c r="L30" s="12">
        <v>0</v>
      </c>
      <c r="M30" s="13">
        <f t="shared" ref="M30" si="1">J30</f>
        <v>5043.5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1070</v>
      </c>
      <c r="F31" s="15"/>
      <c r="G31" s="64">
        <f>SUM(G30:G30)</f>
        <v>22100</v>
      </c>
      <c r="H31" s="64">
        <f>SUM(H30:H30)</f>
        <v>20174</v>
      </c>
      <c r="I31" s="102"/>
      <c r="J31" s="17">
        <f>SUM(J30:J30)</f>
        <v>5043.5</v>
      </c>
      <c r="K31" s="16"/>
      <c r="L31" s="16"/>
      <c r="M31" s="17">
        <f>SUM(M30:M30)</f>
        <v>5043.5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сорок три доллара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9" sqref="B39:B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GWG-A-7 от  01.09.2025г.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22100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01.09.2025г.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80063YBA/804015BA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0" zoomScaleNormal="100" workbookViewId="0">
      <selection activeCell="G29" sqref="G29:H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80063YBA/804015BA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GWG-A-7 от  01.09.2025г.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1070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22100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1070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5" t="str">
        <f>+Инвойс!F1</f>
        <v xml:space="preserve"> 01.09.2025г.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80063YBA/804015BA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2.8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1070</v>
      </c>
      <c r="F30" s="116" t="str">
        <f>+Инвойс!F30</f>
        <v>кг</v>
      </c>
      <c r="G30" s="106">
        <f>+Инвойс!G30</f>
        <v>22100</v>
      </c>
      <c r="H30" s="106">
        <f>+Инвойс!H30</f>
        <v>20174</v>
      </c>
      <c r="I30" s="108">
        <f>+Инвойс!I30</f>
        <v>0.25</v>
      </c>
      <c r="J30" s="13">
        <f>+Инвойс!J30</f>
        <v>5043.5</v>
      </c>
      <c r="K30" s="12">
        <v>0</v>
      </c>
      <c r="L30" s="12">
        <v>0</v>
      </c>
      <c r="M30" s="13">
        <f>+Инвойс!M30</f>
        <v>5043.5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1070</v>
      </c>
      <c r="F31" s="15"/>
      <c r="G31" s="64">
        <f>SUM(G30:G30)</f>
        <v>22100</v>
      </c>
      <c r="H31" s="64">
        <f>SUM(H30:H30)</f>
        <v>20174</v>
      </c>
      <c r="I31" s="102"/>
      <c r="J31" s="17">
        <f>SUM(J30:J30)</f>
        <v>5043.5</v>
      </c>
      <c r="K31" s="16"/>
      <c r="L31" s="16"/>
      <c r="M31" s="17">
        <f>SUM(M30:M30)</f>
        <v>5043.5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сорок три доллара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Normal="100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5043.5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сорок три доллара США,50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45901</v>
      </c>
      <c r="O3" s="178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сорок три доллара США,50 центов. (в т.ч. НДС - 357,79)</v>
      </c>
      <c r="H4" s="32"/>
      <c r="I4" s="32"/>
      <c r="J4" s="32"/>
      <c r="K4" s="179" t="str">
        <f ca="1">CONCATENATE(" «  ",P3,"  »  ",Q3,"  ",R3," г.")</f>
        <v xml:space="preserve"> «  1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сорок три доллара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сорок три доллара США,50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сорок три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5043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504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5043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2025-09-01T08:52:33Z</cp:lastPrinted>
  <dcterms:created xsi:type="dcterms:W3CDTF">1996-10-14T23:33:28Z</dcterms:created>
  <dcterms:modified xsi:type="dcterms:W3CDTF">2025-09-01T08:52:51Z</dcterms:modified>
</cp:coreProperties>
</file>