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E81715C9-101E-4CF7-8F24-36688D75DE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<sst xmlns="http://schemas.openxmlformats.org/spreadsheetml/2006/main" count="211" uniqueCount="164">
  <si>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</si>
  <si>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</si>
  <si>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</si>
  <si>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</si>
  <si>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</si>
  <si>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</si>
  <si>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</si>
  <si>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</si>
  <si>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</si>
  <si>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</si>
  <si>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</si>
  <si>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</si>
  <si>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</si>
  <si>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</si>
  <si>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</si>
  <si>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</si>
  <si>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</si>
  <si>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</si>
  <si>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</si>
  <si>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</si>
  <si>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</si>
  <si>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</si>
  <si>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</si>
  <si>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</si>
  <si>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</si>
  <si>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</si>
  <si>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</si>
  <si>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</si>
  <si>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</si>
  <si>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</si>
  <si>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</si>
  <si>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</si>
  <si>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</si>
  <si>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</si>
  <si>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</si>
  <si>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</si>
  <si>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</si>
  <si>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</si>
  <si>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</si>
  <si>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</si>
  <si>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</si>
  <si>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</si>
  <si>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</si>
  <si>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</si>
  <si>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</si>
  <si>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</si>
  <si>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</si>
  <si>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</si>
  <si>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</si>
  <si>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</si>
  <si>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</si>
  <si>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</si>
  <si>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</si>
  <si>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</si>
  <si>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</si>
  <si>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</si>
  <si>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</si>
  <si>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</si>
  <si>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</si>
  <si>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</si>
  <si>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</si>
  <si>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</si>
  <si>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</si>
  <si>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</si>
  <si>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</si>
  <si>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</si>
  <si>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</si>
  <si>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</si>
  <si>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</si>
  <si>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</si>
  <si>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</si>
  <si>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</si>
  <si>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</si>
  <si>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</si>
  <si>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</si>
  <si>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</si>
  <si>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</si>
  <si>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</si>
  <si>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</si>
  <si>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</si>
  <si>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</si>
  <si>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</si>
  <si>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</si>
  <si>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</si>
  <si>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</si>
  <si>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</si>
  <si>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</si>
  <si>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</si>
  <si>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</si>
  <si>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</si>
  <si>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</si>
  <si>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</si>
  <si>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</si>
  <si>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</si>
  <si>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</si>
  <si>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</si>
  <si>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</si>
  <si>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</si>
  <si>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</si>
  <si>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</si>
  <si>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</si>
  <si>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</si>
  <si>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</si>
  <si>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</si>
  <si>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</si>
  <si>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</si>
  <si>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</si>
  <si>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</si>
  <si>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</si>
  <si>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</si>
  <si>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</si>
  <si>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</si>
  <si>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</si>
  <si>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</si>
  <si>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</si>
  <si>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</si>
  <si>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</si>
  <si>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</si>
  <si>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</si>
  <si>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</si>
  <si>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</si>
  <si>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</si>
  <si>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</si>
  <si>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</si>
  <si>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</si>
  <si>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</si>
  <si>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</si>
  <si>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</si>
  <si>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</si>
  <si>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</si>
  <si>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</si>
  <si>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</si>
  <si>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</si>
  <si>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</si>
  <si>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</si>
  <si>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</si>
  <si>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</si>
  <si>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</si>
  <si>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</si>
  <si>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</si>
  <si>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 xml:space="preserve"> 25.08.2025г.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</si>
  <si>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</si>
  <si>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</si>
  <si>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</si>
  <si>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</si>
  <si>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</si>
  <si>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</si>
  <si>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</si>
  <si>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</si>
  <si>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к контракту № GR-EX-01 от 22.08.2025 года</t>
  </si>
  <si>
    <t>OOO “EXACT GROUP”</t>
  </si>
  <si>
    <t>РЕСПУБЛИКА УЗБЕКИСТАН. СУРХАНДАРЬИНСКАЯ ОБЛАСТЬ,</t>
  </si>
  <si>
    <t>ШЕРАБАДСКИЙ РАЙОН, МФЙ «БАХОР», УЛИЦА ШЕРЖАН, ДОМ 19Б</t>
  </si>
  <si>
    <t>в АКБ“KAPITAL BANK”  МФО: 01158  Swift: KACHUZ22</t>
  </si>
  <si>
    <t>Доллар США: 20208840607280925001</t>
  </si>
  <si>
    <t>Корреспондирующий банк (RUB): АКБ "Азия Инвест Банк" (АО) :</t>
  </si>
  <si>
    <t>SWIFT:ASIJRUMM / БИК 044525234,</t>
  </si>
  <si>
    <t>ИНН: 312 294 736</t>
  </si>
  <si>
    <t>АБДИЛАКИМОВ А.А</t>
  </si>
  <si>
    <t>Директор:  OOO “EXACT GROUP”</t>
  </si>
  <si>
    <t>г.Челябинский таможенный пост г.Челябинск ул. Ениссйская, 87А код поста 10504080   ООО "ГРИН ВОРЛД" 
RU/0237/2 от 27.12.2024</t>
  </si>
  <si>
    <t xml:space="preserve">ИНВОЙС № EXG-F-2 от </t>
  </si>
  <si>
    <t xml:space="preserve">СПЕЦИФИКАЦИЯ № EXG-F-2 от </t>
  </si>
  <si>
    <t>AI3215-1/A4839E-1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</si>
</sst>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862852</xdr:colOff>
      <xdr:row>36</xdr:row>
      <xdr:rowOff>123262</xdr:rowOff>
    </xdr:from>
    <xdr:to>
      <xdr:col>3</xdr:col>
      <xdr:colOff>439882</xdr:colOff>
      <xdr:row>50</xdr:row>
      <xdr:rowOff>100853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340986E6-4688-4E38-8FE6-8177618F9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440" y="20271438"/>
          <a:ext cx="2389707" cy="2342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512829</xdr:colOff>
      <xdr:row>36</xdr:row>
      <xdr:rowOff>78440</xdr:rowOff>
    </xdr:from>
    <xdr:to>
      <xdr:col>5</xdr:col>
      <xdr:colOff>179852</xdr:colOff>
      <xdr:row>39</xdr:row>
      <xdr:rowOff>173914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57AA385-9642-4B94-A433-05A8B5572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4094" y="20226616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37</xdr:row>
      <xdr:rowOff>11205</xdr:rowOff>
    </xdr:from>
    <xdr:to>
      <xdr:col>2</xdr:col>
      <xdr:colOff>427079</xdr:colOff>
      <xdr:row>50</xdr:row>
      <xdr:rowOff>100855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915824EF-1408-44AE-886D-FC202B6C2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229293"/>
          <a:ext cx="2309667" cy="2263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580066</xdr:colOff>
      <xdr:row>36</xdr:row>
      <xdr:rowOff>156882</xdr:rowOff>
    </xdr:from>
    <xdr:to>
      <xdr:col>4</xdr:col>
      <xdr:colOff>112618</xdr:colOff>
      <xdr:row>40</xdr:row>
      <xdr:rowOff>69477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622295F6-89F4-464A-A047-4988BAC10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1742" y="19184470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392206</xdr:colOff>
      <xdr:row>36</xdr:row>
      <xdr:rowOff>44824</xdr:rowOff>
    </xdr:from>
    <xdr:to>
      <xdr:col>9</xdr:col>
      <xdr:colOff>578784</xdr:colOff>
      <xdr:row>47</xdr:row>
      <xdr:rowOff>128960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1658576F-F5FF-4638-85E8-A6CCF1357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66765" y="19072412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0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54" t="s">
        <v>161</v>
      </c>
      <c r="D1" s="154"/>
      <c r="E1" s="154"/>
      <c r="F1" s="153" t="s">
        <v>140</v>
      </c>
      <c r="G1" s="153"/>
      <c r="H1" s="15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6" t="s">
        <v>149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5">
      <c r="A5" s="155" t="s">
        <v>150</v>
      </c>
      <c r="B5" s="155"/>
      <c r="C5" s="155"/>
      <c r="D5" s="155"/>
      <c r="E5" s="155"/>
      <c r="F5" s="6"/>
      <c r="G5" s="148" t="s">
        <v>141</v>
      </c>
      <c r="H5" s="148"/>
      <c r="I5" s="148"/>
      <c r="J5" s="148"/>
      <c r="K5" s="148"/>
      <c r="L5" s="148"/>
      <c r="M5" s="148"/>
    </row>
    <row r="6" spans="1:15" ht="15" customHeight="1" x14ac:dyDescent="0.25">
      <c r="A6" s="143" t="s">
        <v>151</v>
      </c>
      <c r="B6" s="142"/>
      <c r="C6" s="142"/>
      <c r="D6" s="142"/>
      <c r="E6" s="142"/>
      <c r="F6" s="7"/>
      <c r="G6" s="141" t="s">
        <v>142</v>
      </c>
      <c r="H6" s="141"/>
      <c r="I6" s="141"/>
      <c r="J6" s="141"/>
      <c r="K6" s="141"/>
      <c r="L6" s="141"/>
      <c r="M6" s="141"/>
      <c r="N6" s="4"/>
    </row>
    <row r="7" spans="1:15" ht="13.8" x14ac:dyDescent="0.25">
      <c r="A7" s="142" t="s">
        <v>152</v>
      </c>
      <c r="B7" s="142"/>
      <c r="C7" s="142"/>
      <c r="D7" s="142"/>
      <c r="E7" s="142"/>
      <c r="F7" s="63"/>
      <c r="G7" s="141" t="s">
        <v>143</v>
      </c>
      <c r="H7" s="141"/>
      <c r="I7" s="141"/>
      <c r="J7" s="141"/>
      <c r="K7" s="141"/>
      <c r="L7" s="141"/>
      <c r="M7" s="141"/>
    </row>
    <row r="8" spans="1:15" ht="15" customHeight="1" x14ac:dyDescent="0.25">
      <c r="A8" s="8" t="s">
        <v>153</v>
      </c>
      <c r="B8" s="8"/>
      <c r="C8" s="8"/>
      <c r="D8" s="8"/>
      <c r="E8" s="8"/>
      <c r="F8" s="63"/>
      <c r="G8" s="7" t="s">
        <v>144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154</v>
      </c>
      <c r="B9" s="8"/>
      <c r="C9" s="8"/>
      <c r="D9" s="8"/>
      <c r="E9" s="8"/>
      <c r="F9" s="7"/>
      <c r="G9" s="7" t="s">
        <v>145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155</v>
      </c>
      <c r="B10" s="125"/>
      <c r="C10" s="125"/>
      <c r="D10" s="125"/>
      <c r="E10" s="125"/>
      <c r="F10" s="7"/>
      <c r="G10" s="7" t="s">
        <v>139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156</v>
      </c>
      <c r="B11" s="8"/>
      <c r="C11" s="8"/>
      <c r="D11" s="8"/>
      <c r="E11" s="8"/>
      <c r="F11" s="7"/>
      <c r="G11" s="7" t="s">
        <v>146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157</v>
      </c>
      <c r="B12" s="8"/>
      <c r="C12" s="8"/>
      <c r="D12" s="8"/>
      <c r="E12" s="8"/>
      <c r="F12" s="7"/>
      <c r="G12" s="144" t="s">
        <v>147</v>
      </c>
      <c r="H12" s="144"/>
      <c r="I12" s="144"/>
      <c r="J12" s="144"/>
      <c r="K12" s="144"/>
      <c r="L12" s="144"/>
      <c r="M12" s="144"/>
    </row>
    <row r="13" spans="1:15" ht="24" customHeight="1" x14ac:dyDescent="0.3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5">
      <c r="A14" s="155" t="s">
        <v>150</v>
      </c>
      <c r="B14" s="155"/>
      <c r="C14" s="155"/>
      <c r="D14" s="155"/>
      <c r="E14" s="155"/>
      <c r="F14" s="6"/>
      <c r="G14" s="148" t="s">
        <v>141</v>
      </c>
      <c r="H14" s="148"/>
      <c r="I14" s="148"/>
      <c r="J14" s="148"/>
      <c r="K14" s="148"/>
      <c r="L14" s="148"/>
      <c r="M14" s="148"/>
    </row>
    <row r="15" spans="1:15" ht="13.95" customHeight="1" x14ac:dyDescent="0.25">
      <c r="A15" s="143" t="s">
        <v>151</v>
      </c>
      <c r="B15" s="142"/>
      <c r="C15" s="142"/>
      <c r="D15" s="142"/>
      <c r="E15" s="142"/>
      <c r="F15" s="7"/>
      <c r="G15" s="141" t="s">
        <v>142</v>
      </c>
      <c r="H15" s="141"/>
      <c r="I15" s="141"/>
      <c r="J15" s="141"/>
      <c r="K15" s="141"/>
      <c r="L15" s="141"/>
      <c r="M15" s="141"/>
    </row>
    <row r="16" spans="1:15" ht="13.8" x14ac:dyDescent="0.25">
      <c r="A16" s="142" t="s">
        <v>152</v>
      </c>
      <c r="B16" s="142"/>
      <c r="C16" s="142"/>
      <c r="D16" s="142"/>
      <c r="E16" s="142"/>
      <c r="F16" s="63"/>
      <c r="G16" s="141" t="s">
        <v>143</v>
      </c>
      <c r="H16" s="141"/>
      <c r="I16" s="141"/>
      <c r="J16" s="141"/>
      <c r="K16" s="141"/>
      <c r="L16" s="141"/>
      <c r="M16" s="141"/>
    </row>
    <row r="17" spans="1:17" ht="15" customHeight="1" x14ac:dyDescent="0.25">
      <c r="A17" s="8" t="s">
        <v>153</v>
      </c>
      <c r="B17" s="8"/>
      <c r="C17" s="8"/>
      <c r="D17" s="8"/>
      <c r="E17" s="8"/>
      <c r="F17" s="63"/>
      <c r="G17" s="7" t="s">
        <v>144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154</v>
      </c>
      <c r="B18" s="8"/>
      <c r="C18" s="8"/>
      <c r="D18" s="8"/>
      <c r="E18" s="8"/>
      <c r="F18" s="7"/>
      <c r="G18" s="7" t="s">
        <v>145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155</v>
      </c>
      <c r="B19" s="125"/>
      <c r="C19" s="125"/>
      <c r="D19" s="125"/>
      <c r="E19" s="125"/>
      <c r="F19" s="7"/>
      <c r="G19" s="7" t="s">
        <v>139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156</v>
      </c>
      <c r="B20" s="8"/>
      <c r="C20" s="8"/>
      <c r="D20" s="8"/>
      <c r="E20" s="8"/>
      <c r="F20" s="7"/>
      <c r="G20" s="7" t="s">
        <v>146</v>
      </c>
      <c r="H20" s="23"/>
      <c r="I20" s="23"/>
      <c r="J20" s="23"/>
      <c r="K20" s="23"/>
      <c r="L20" s="23"/>
      <c r="M20" s="23"/>
    </row>
    <row r="21" spans="1:17" ht="13.8" x14ac:dyDescent="0.25">
      <c r="A21" s="99" t="s">
        <v>157</v>
      </c>
      <c r="B21" s="8"/>
      <c r="C21" s="8"/>
      <c r="D21" s="8"/>
      <c r="E21" s="8"/>
      <c r="G21" s="144" t="s">
        <v>147</v>
      </c>
      <c r="H21" s="144"/>
      <c r="I21" s="144"/>
      <c r="J21" s="144"/>
      <c r="K21" s="144"/>
      <c r="L21" s="144"/>
      <c r="M21" s="144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38" t="s">
        <v>118</v>
      </c>
      <c r="D23" s="138"/>
      <c r="E23" s="138"/>
      <c r="F23" s="138"/>
      <c r="G23" s="138"/>
      <c r="H23" s="138"/>
      <c r="I23" s="138"/>
      <c r="J23" s="138"/>
      <c r="K23" s="138"/>
      <c r="L23" s="138"/>
      <c r="M23" s="138"/>
    </row>
    <row r="24" spans="1:17" ht="15.6" x14ac:dyDescent="0.3">
      <c r="A24" s="20" t="s">
        <v>22</v>
      </c>
      <c r="C24" s="18" t="s">
        <v>134</v>
      </c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9" t="s">
        <v>163</v>
      </c>
      <c r="F26" s="140"/>
      <c r="G26" s="140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1.8" x14ac:dyDescent="0.25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27.6" x14ac:dyDescent="0.25">
      <c r="A30" s="127">
        <v>1</v>
      </c>
      <c r="B30" s="101" t="s">
        <v>126</v>
      </c>
      <c r="C30" s="107" t="s">
        <v>127</v>
      </c>
      <c r="D30" s="109" t="s">
        <v>112</v>
      </c>
      <c r="E30" s="101">
        <v>995</v>
      </c>
      <c r="F30" s="110" t="s">
        <v>27</v>
      </c>
      <c r="G30" s="106">
        <v>23100</v>
      </c>
      <c r="H30" s="106">
        <v>21309</v>
      </c>
      <c r="I30" s="108">
        <v>0.25</v>
      </c>
      <c r="J30" s="13">
        <f t="shared" ref="J30" si="0">H30*I30</f>
        <v>5327.25</v>
      </c>
      <c r="K30" s="12">
        <v>0</v>
      </c>
      <c r="L30" s="12">
        <v>0</v>
      </c>
      <c r="M30" s="13">
        <f t="shared" ref="M30" si="1">J30</f>
        <v>5327.25</v>
      </c>
      <c r="O30" s="100"/>
      <c r="Q30" s="100"/>
    </row>
    <row r="31" spans="1:17" ht="13.8" x14ac:dyDescent="0.25">
      <c r="A31" s="151" t="s">
        <v>0</v>
      </c>
      <c r="B31" s="152"/>
      <c r="C31" s="14"/>
      <c r="D31" s="15"/>
      <c r="E31" s="64">
        <f>SUM(E30:E30)</f>
        <v>995</v>
      </c>
      <c r="F31" s="15"/>
      <c r="G31" s="64">
        <f>SUM(G30:G30)</f>
        <v>23100</v>
      </c>
      <c r="H31" s="64">
        <f>SUM(H30:H30)</f>
        <v>21309</v>
      </c>
      <c r="I31" s="102"/>
      <c r="J31" s="17">
        <f>SUM(J30:J30)</f>
        <v>5327.25</v>
      </c>
      <c r="K31" s="16"/>
      <c r="L31" s="16"/>
      <c r="M31" s="17">
        <f>SUM(M30:M30)</f>
        <v>5327.25</v>
      </c>
      <c r="P31" s="66"/>
    </row>
    <row r="32" spans="1:17" ht="13.8" x14ac:dyDescent="0.3">
      <c r="A32" s="2" t="s">
        <v>17</v>
      </c>
      <c r="B32" s="3"/>
      <c r="C32" s="11"/>
      <c r="D32" s="11"/>
      <c r="E32" s="149" t="str">
        <f>Лист1!B3</f>
        <v>Пять тысяч триста двадцать семь долларов США, 25 центов.</v>
      </c>
      <c r="F32" s="150"/>
      <c r="G32" s="150"/>
      <c r="H32" s="150"/>
      <c r="I32" s="150"/>
      <c r="J32" s="150"/>
      <c r="K32" s="150"/>
      <c r="L32" s="150"/>
      <c r="M32" s="150"/>
    </row>
    <row r="33" spans="1:14" ht="20.25" customHeight="1" x14ac:dyDescent="0.25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</row>
    <row r="34" spans="1:14" ht="25.5" customHeight="1" x14ac:dyDescent="0.25">
      <c r="A34" s="145" t="s">
        <v>109</v>
      </c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26"/>
    </row>
    <row r="36" spans="1:14" ht="13.8" x14ac:dyDescent="0.25">
      <c r="A36" s="7" t="s">
        <v>28</v>
      </c>
      <c r="B36" s="7"/>
      <c r="D36" s="25" t="s">
        <v>158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7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A7:E7"/>
    <mergeCell ref="A15:E15"/>
    <mergeCell ref="A16:E16"/>
    <mergeCell ref="G21:M21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6" zoomScale="115" zoomScaleNormal="115" workbookViewId="0">
      <selection activeCell="K45" sqref="K45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“EXACT GROUP”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ШЕРАБАДСКИЙ РАЙОН, МФЙ «БАХОР», УЛИЦА ШЕРЖАН, ДОМ 19Б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25.08.2025г.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EXG-F-2 от  25.08.2025г.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995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23100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СВХ ООО "Уралкомплект" 10412130 - т/п Оренбургский
460027, Оренбургская обл., г. Оренбург, ул. Донгузская, д. 62А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60" t="str">
        <f>+C22</f>
        <v xml:space="preserve"> 25.08.2025г.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AI3215-1/A4839E-1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4" zoomScaleNormal="100" workbookViewId="0">
      <selection activeCell="G25" sqref="G25:H25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8" t="s">
        <v>96</v>
      </c>
      <c r="C2" s="168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9" t="str">
        <f>+Инвойс!E26</f>
        <v>AI3215-1/A4839E-1</v>
      </c>
      <c r="C14" s="169"/>
      <c r="D14" s="169"/>
      <c r="E14" s="169"/>
      <c r="F14" s="169"/>
      <c r="G14" s="169"/>
      <c r="H14" s="170" t="s">
        <v>107</v>
      </c>
      <c r="I14" s="170"/>
      <c r="J14" s="88" t="str">
        <f>+Инвойс!F1</f>
        <v xml:space="preserve"> 25.08.2025г.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71" t="str">
        <f>+CMR!B24</f>
        <v>ИНВОЙС № EXG-F-2 от  25.08.2025г.</v>
      </c>
      <c r="I15" s="171"/>
      <c r="J15" s="171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995</v>
      </c>
      <c r="G18" s="163" t="str">
        <f>+CMR!F30</f>
        <v>Дыни свежие</v>
      </c>
      <c r="H18" s="163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61" t="str">
        <f>+Инвойс!C30</f>
        <v>0807190001</v>
      </c>
      <c r="H19" s="162"/>
      <c r="I19" s="122" t="s">
        <v>103</v>
      </c>
      <c r="J19" s="120">
        <f>+Инвойс!G30</f>
        <v>23100</v>
      </c>
    </row>
    <row r="20" spans="2:10" ht="13.5" customHeight="1" x14ac:dyDescent="0.3">
      <c r="B20" s="83"/>
      <c r="E20" s="123"/>
      <c r="F20" s="118"/>
      <c r="G20" s="163"/>
      <c r="H20" s="163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61"/>
      <c r="H21" s="162"/>
      <c r="I21" s="122"/>
      <c r="J21" s="120"/>
    </row>
    <row r="22" spans="2:10" ht="12.75" customHeight="1" x14ac:dyDescent="0.3">
      <c r="B22" s="83"/>
      <c r="E22" s="123"/>
      <c r="F22" s="118"/>
      <c r="G22" s="163"/>
      <c r="H22" s="163"/>
      <c r="I22" s="119"/>
      <c r="J22" s="120"/>
    </row>
    <row r="23" spans="2:10" ht="14.25" customHeight="1" x14ac:dyDescent="0.3">
      <c r="B23" s="83"/>
      <c r="E23" s="123"/>
      <c r="F23" s="121"/>
      <c r="G23" s="161"/>
      <c r="H23" s="162"/>
      <c r="I23" s="122"/>
      <c r="J23" s="120"/>
    </row>
    <row r="24" spans="2:10" ht="12.75" customHeight="1" x14ac:dyDescent="0.3">
      <c r="B24" s="87"/>
      <c r="E24" s="123"/>
      <c r="F24" s="118"/>
      <c r="G24" s="163"/>
      <c r="H24" s="163"/>
      <c r="I24" s="119"/>
      <c r="J24" s="120"/>
    </row>
    <row r="25" spans="2:10" ht="12.75" customHeight="1" x14ac:dyDescent="0.3">
      <c r="B25" s="87"/>
      <c r="E25" s="123"/>
      <c r="F25" s="121"/>
      <c r="G25" s="161"/>
      <c r="H25" s="162"/>
      <c r="I25" s="122"/>
      <c r="J25" s="120"/>
    </row>
    <row r="26" spans="2:10" ht="12" customHeight="1" x14ac:dyDescent="0.3">
      <c r="B26" s="87"/>
      <c r="E26" s="123"/>
      <c r="F26" s="118"/>
      <c r="G26" s="163"/>
      <c r="H26" s="163"/>
      <c r="I26" s="119"/>
      <c r="J26" s="120"/>
    </row>
    <row r="27" spans="2:10" ht="14.25" customHeight="1" x14ac:dyDescent="0.3">
      <c r="B27" s="87"/>
      <c r="E27" s="123"/>
      <c r="F27" s="121"/>
      <c r="G27" s="161"/>
      <c r="H27" s="162"/>
      <c r="I27" s="122"/>
      <c r="J27" s="120"/>
    </row>
    <row r="28" spans="2:10" ht="12.75" customHeight="1" x14ac:dyDescent="0.3">
      <c r="B28" s="87"/>
      <c r="E28" s="123"/>
      <c r="F28" s="118"/>
      <c r="G28" s="163"/>
      <c r="H28" s="163"/>
      <c r="I28" s="119"/>
      <c r="J28" s="120"/>
    </row>
    <row r="29" spans="2:10" ht="12.75" customHeight="1" x14ac:dyDescent="0.3">
      <c r="B29" s="87"/>
      <c r="E29" s="123"/>
      <c r="F29" s="121"/>
      <c r="G29" s="161"/>
      <c r="H29" s="162"/>
      <c r="I29" s="122"/>
      <c r="J29" s="120"/>
    </row>
    <row r="30" spans="2:10" ht="12.75" customHeight="1" x14ac:dyDescent="0.3">
      <c r="B30" s="87"/>
      <c r="E30" s="123"/>
      <c r="F30" s="118"/>
      <c r="G30" s="163"/>
      <c r="H30" s="163"/>
      <c r="I30" s="119"/>
      <c r="J30" s="120"/>
    </row>
    <row r="31" spans="2:10" ht="13.5" customHeight="1" x14ac:dyDescent="0.3">
      <c r="B31" s="87"/>
      <c r="E31" s="123"/>
      <c r="F31" s="121"/>
      <c r="G31" s="161"/>
      <c r="H31" s="162"/>
      <c r="I31" s="122"/>
      <c r="J31" s="120"/>
    </row>
    <row r="32" spans="2:10" ht="13.5" customHeight="1" x14ac:dyDescent="0.3">
      <c r="B32" s="87"/>
      <c r="E32" s="123"/>
      <c r="F32" s="118"/>
      <c r="G32" s="163"/>
      <c r="H32" s="163"/>
      <c r="I32" s="119"/>
      <c r="J32" s="120"/>
    </row>
    <row r="33" spans="2:10" ht="13.5" customHeight="1" x14ac:dyDescent="0.3">
      <c r="B33" s="87"/>
      <c r="E33" s="123"/>
      <c r="F33" s="121"/>
      <c r="G33" s="161"/>
      <c r="H33" s="162"/>
      <c r="I33" s="122"/>
      <c r="J33" s="120"/>
    </row>
    <row r="34" spans="2:10" ht="13.5" customHeight="1" x14ac:dyDescent="0.3">
      <c r="B34" s="87"/>
      <c r="E34" s="123"/>
      <c r="F34" s="118"/>
      <c r="G34" s="163"/>
      <c r="H34" s="163"/>
      <c r="I34" s="119"/>
      <c r="J34" s="120"/>
    </row>
    <row r="35" spans="2:10" ht="12.75" customHeight="1" x14ac:dyDescent="0.3">
      <c r="B35" s="87"/>
      <c r="E35" s="123"/>
      <c r="F35" s="121"/>
      <c r="G35" s="161"/>
      <c r="H35" s="162"/>
      <c r="I35" s="122"/>
      <c r="J35" s="120"/>
    </row>
    <row r="36" spans="2:10" x14ac:dyDescent="0.3">
      <c r="B36" s="87"/>
      <c r="E36" s="123"/>
      <c r="F36" s="118"/>
      <c r="G36" s="163"/>
      <c r="H36" s="163"/>
      <c r="I36" s="119"/>
      <c r="J36" s="120"/>
    </row>
    <row r="37" spans="2:10" ht="13.5" customHeight="1" x14ac:dyDescent="0.3">
      <c r="B37" s="87"/>
      <c r="E37" s="123"/>
      <c r="F37" s="121"/>
      <c r="G37" s="161"/>
      <c r="H37" s="162"/>
      <c r="I37" s="122"/>
      <c r="J37" s="120"/>
    </row>
    <row r="38" spans="2:10" x14ac:dyDescent="0.3">
      <c r="B38" s="87"/>
      <c r="E38" s="123"/>
      <c r="F38" s="118"/>
      <c r="G38" s="163"/>
      <c r="H38" s="163"/>
      <c r="I38" s="119"/>
      <c r="J38" s="120"/>
    </row>
    <row r="39" spans="2:10" ht="13.5" customHeight="1" x14ac:dyDescent="0.3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3">
      <c r="B40" s="87"/>
      <c r="E40" s="123"/>
      <c r="F40" s="118"/>
      <c r="G40" s="163"/>
      <c r="H40" s="163"/>
      <c r="I40" s="119"/>
      <c r="J40" s="120"/>
    </row>
    <row r="41" spans="2:10" ht="14.25" hidden="1" customHeight="1" x14ac:dyDescent="0.3">
      <c r="B41" s="87"/>
      <c r="E41" s="123"/>
      <c r="F41" s="121"/>
      <c r="G41" s="161"/>
      <c r="H41" s="162"/>
      <c r="I41" s="122"/>
      <c r="J41" s="120"/>
    </row>
    <row r="42" spans="2:10" hidden="1" x14ac:dyDescent="0.3">
      <c r="B42" s="87"/>
      <c r="E42" s="123"/>
      <c r="F42" s="118"/>
      <c r="G42" s="163"/>
      <c r="H42" s="163"/>
      <c r="I42" s="119"/>
      <c r="J42" s="120"/>
    </row>
    <row r="43" spans="2:10" x14ac:dyDescent="0.3">
      <c r="B43" s="87"/>
      <c r="E43" s="123"/>
      <c r="F43" s="121"/>
      <c r="G43" s="161"/>
      <c r="H43" s="162"/>
      <c r="I43" s="122"/>
      <c r="J43" s="120"/>
    </row>
    <row r="44" spans="2:10" ht="9" customHeight="1" x14ac:dyDescent="0.3">
      <c r="B44" s="87"/>
      <c r="E44" s="95"/>
      <c r="F44" s="92"/>
      <c r="G44" s="165"/>
      <c r="H44" s="165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6">
        <f>+F18+F20+F22+F24+F26+F28+F30+F32+F34+F36+F38+F40+F42</f>
        <v>995</v>
      </c>
      <c r="E47" s="167"/>
    </row>
    <row r="48" spans="2:10" ht="17.25" customHeight="1" x14ac:dyDescent="0.3">
      <c r="B48" s="164" t="s">
        <v>105</v>
      </c>
      <c r="C48" s="164"/>
      <c r="D48" s="164"/>
      <c r="E48" s="164"/>
    </row>
    <row r="49" spans="2:5" ht="21.75" customHeight="1" x14ac:dyDescent="0.3">
      <c r="B49" s="164"/>
      <c r="C49" s="164"/>
      <c r="D49" s="164"/>
      <c r="E49" s="164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19" zoomScale="85" zoomScaleNormal="85" workbookViewId="0">
      <selection activeCell="A34" sqref="A34:M34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2" t="s">
        <v>162</v>
      </c>
      <c r="C1" s="172"/>
      <c r="D1" s="172"/>
      <c r="E1" s="172"/>
      <c r="F1" s="153" t="str">
        <f>+Инвойс!F1</f>
        <v xml:space="preserve"> 25.08.2025г.</v>
      </c>
      <c r="G1" s="153"/>
      <c r="H1" s="15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6" t="str">
        <f>+Инвойс!C2</f>
        <v>к контракту № GR-EX-01 от 22.08.2025 года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5">
      <c r="A5" s="155" t="str">
        <f>+Инвойс!A5</f>
        <v>OOO “EXACT GROUP”</v>
      </c>
      <c r="B5" s="155"/>
      <c r="C5" s="155"/>
      <c r="D5" s="155"/>
      <c r="E5" s="155"/>
      <c r="F5" s="6"/>
      <c r="G5" s="148" t="str">
        <f>+Инвойс!G5</f>
        <v>ООО «ГРИН ВОРЛД»</v>
      </c>
      <c r="H5" s="148"/>
      <c r="I5" s="148"/>
      <c r="J5" s="148"/>
      <c r="K5" s="148"/>
      <c r="L5" s="148"/>
      <c r="M5" s="148"/>
    </row>
    <row r="6" spans="1:15" ht="13.8" x14ac:dyDescent="0.25">
      <c r="A6" s="143" t="str">
        <f>+Инвойс!A6</f>
        <v>РЕСПУБЛИКА УЗБЕКИСТАН. СУРХАНДАРЬИНСКАЯ ОБЛАСТЬ,</v>
      </c>
      <c r="B6" s="143"/>
      <c r="C6" s="143"/>
      <c r="D6" s="143"/>
      <c r="E6" s="143"/>
      <c r="F6" s="7"/>
      <c r="G6" s="173" t="str">
        <f>+Инвойс!G6</f>
        <v xml:space="preserve">454106, ЧЕЛЯБИНСКАЯ ОБЛАСТЬ, Г ЧЕЛЯБИНСК, </v>
      </c>
      <c r="H6" s="173"/>
      <c r="I6" s="173"/>
      <c r="J6" s="173"/>
      <c r="K6" s="173"/>
      <c r="L6" s="173"/>
      <c r="M6" s="173"/>
      <c r="N6" s="4"/>
    </row>
    <row r="7" spans="1:15" ht="13.8" x14ac:dyDescent="0.25">
      <c r="A7" s="143" t="str">
        <f>+Инвойс!A7</f>
        <v>ШЕРАБАДСКИЙ РАЙОН, МФЙ «БАХОР», УЛИЦА ШЕРЖАН, ДОМ 19Б</v>
      </c>
      <c r="B7" s="143"/>
      <c r="C7" s="143"/>
      <c r="D7" s="143"/>
      <c r="E7" s="143"/>
      <c r="F7" s="63"/>
      <c r="G7" s="173" t="str">
        <f>+Инвойс!G7</f>
        <v>УЛ ОСТРОВСКОГО, Д. 36, КВ. 176</v>
      </c>
      <c r="H7" s="173"/>
      <c r="I7" s="173"/>
      <c r="J7" s="173"/>
      <c r="K7" s="173"/>
      <c r="L7" s="173"/>
      <c r="M7" s="173"/>
    </row>
    <row r="8" spans="1:15" ht="15" customHeight="1" x14ac:dyDescent="0.25">
      <c r="A8" s="143" t="str">
        <f>+Инвойс!A8</f>
        <v>в АКБ“KAPITAL BANK”  МФО: 01158  Swift: KACHUZ22</v>
      </c>
      <c r="B8" s="143"/>
      <c r="C8" s="143"/>
      <c r="D8" s="143"/>
      <c r="E8" s="143"/>
      <c r="F8" s="63"/>
      <c r="G8" s="173" t="str">
        <f>+Инвойс!G8</f>
        <v>ИНН/ КПП 7448223299 / 744801001</v>
      </c>
      <c r="H8" s="173"/>
      <c r="I8" s="173"/>
      <c r="J8" s="173"/>
      <c r="K8" s="173"/>
      <c r="L8" s="173"/>
      <c r="M8" s="173"/>
    </row>
    <row r="9" spans="1:15" ht="13.8" x14ac:dyDescent="0.25">
      <c r="A9" s="143" t="str">
        <f>+Инвойс!A9</f>
        <v>Доллар США: 20208840607280925001</v>
      </c>
      <c r="B9" s="143"/>
      <c r="C9" s="143"/>
      <c r="D9" s="143"/>
      <c r="E9" s="143"/>
      <c r="F9" s="7"/>
      <c r="G9" s="173" t="str">
        <f>+Инвойс!G9</f>
        <v>р/с 40702810000000024357</v>
      </c>
      <c r="H9" s="173"/>
      <c r="I9" s="173"/>
      <c r="J9" s="173"/>
      <c r="K9" s="173"/>
      <c r="L9" s="173"/>
      <c r="M9" s="173"/>
      <c r="O9" s="7"/>
    </row>
    <row r="10" spans="1:15" ht="13.8" x14ac:dyDescent="0.25">
      <c r="A10" s="143" t="str">
        <f>+Инвойс!A10</f>
        <v>Корреспондирующий банк (RUB): АКБ "Азия Инвест Банк" (АО) :</v>
      </c>
      <c r="B10" s="143"/>
      <c r="C10" s="143"/>
      <c r="D10" s="143"/>
      <c r="E10" s="143"/>
      <c r="F10" s="7"/>
      <c r="G10" s="173" t="str">
        <f>+Инвойс!G10</f>
        <v>Корр. счет: 30101810445250000234</v>
      </c>
      <c r="H10" s="173"/>
      <c r="I10" s="173"/>
      <c r="J10" s="173"/>
      <c r="K10" s="173"/>
      <c r="L10" s="173"/>
      <c r="M10" s="173"/>
    </row>
    <row r="11" spans="1:15" ht="13.8" x14ac:dyDescent="0.25">
      <c r="A11" s="143" t="str">
        <f>+Инвойс!A11</f>
        <v>SWIFT:ASIJRUMM / БИК 044525234,</v>
      </c>
      <c r="B11" s="143"/>
      <c r="C11" s="143"/>
      <c r="D11" s="143"/>
      <c r="E11" s="143"/>
      <c r="F11" s="7"/>
      <c r="G11" s="173" t="str">
        <f>+Инвойс!G11</f>
        <v>Азия-Инвест Банк (АО) г. Москва</v>
      </c>
      <c r="H11" s="173"/>
      <c r="I11" s="173"/>
      <c r="J11" s="173"/>
      <c r="K11" s="173"/>
      <c r="L11" s="173"/>
      <c r="M11" s="173"/>
    </row>
    <row r="12" spans="1:15" ht="36" customHeight="1" x14ac:dyDescent="0.25">
      <c r="A12" s="144"/>
      <c r="B12" s="144"/>
      <c r="C12" s="144"/>
      <c r="D12" s="144"/>
      <c r="E12" s="144"/>
      <c r="F12" s="7"/>
      <c r="G12" s="144"/>
      <c r="H12" s="144"/>
      <c r="I12" s="144"/>
      <c r="J12" s="144"/>
      <c r="K12" s="144"/>
      <c r="L12" s="144"/>
      <c r="M12" s="144"/>
    </row>
    <row r="13" spans="1:15" ht="24" customHeight="1" x14ac:dyDescent="0.3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5">
      <c r="A14" s="155" t="str">
        <f>+Инвойс!A14</f>
        <v>OOO “EXACT GROUP”</v>
      </c>
      <c r="B14" s="155"/>
      <c r="C14" s="155"/>
      <c r="D14" s="155"/>
      <c r="E14" s="155"/>
      <c r="F14" s="6"/>
      <c r="G14" s="148" t="str">
        <f>+Инвойс!G14</f>
        <v>ООО «ГРИН ВОРЛД»</v>
      </c>
      <c r="H14" s="148"/>
      <c r="I14" s="148"/>
      <c r="J14" s="148"/>
      <c r="K14" s="148"/>
      <c r="L14" s="148"/>
      <c r="M14" s="148"/>
    </row>
    <row r="15" spans="1:15" ht="13.95" customHeight="1" x14ac:dyDescent="0.25">
      <c r="A15" s="143" t="str">
        <f>+Инвойс!A15</f>
        <v>РЕСПУБЛИКА УЗБЕКИСТАН. СУРХАНДАРЬИНСКАЯ ОБЛАСТЬ,</v>
      </c>
      <c r="B15" s="143"/>
      <c r="C15" s="143"/>
      <c r="D15" s="143"/>
      <c r="E15" s="143"/>
      <c r="F15" s="7"/>
      <c r="G15" s="173" t="str">
        <f>+Инвойс!G15</f>
        <v xml:space="preserve">454106, ЧЕЛЯБИНСКАЯ ОБЛАСТЬ, Г ЧЕЛЯБИНСК, </v>
      </c>
      <c r="H15" s="173"/>
      <c r="I15" s="173"/>
      <c r="J15" s="173"/>
      <c r="K15" s="173"/>
      <c r="L15" s="173"/>
      <c r="M15" s="173"/>
    </row>
    <row r="16" spans="1:15" ht="13.8" x14ac:dyDescent="0.25">
      <c r="A16" s="143" t="str">
        <f>+Инвойс!A16</f>
        <v>ШЕРАБАДСКИЙ РАЙОН, МФЙ «БАХОР», УЛИЦА ШЕРЖАН, ДОМ 19Б</v>
      </c>
      <c r="B16" s="143"/>
      <c r="C16" s="143"/>
      <c r="D16" s="143"/>
      <c r="E16" s="143"/>
      <c r="F16" s="63"/>
      <c r="G16" s="173" t="str">
        <f>+Инвойс!G16</f>
        <v>УЛ ОСТРОВСКОГО, Д. 36, КВ. 176</v>
      </c>
      <c r="H16" s="173"/>
      <c r="I16" s="173"/>
      <c r="J16" s="173"/>
      <c r="K16" s="173"/>
      <c r="L16" s="173"/>
      <c r="M16" s="173"/>
    </row>
    <row r="17" spans="1:17" ht="15" customHeight="1" x14ac:dyDescent="0.25">
      <c r="A17" s="143" t="str">
        <f>+Инвойс!A17</f>
        <v>в АКБ“KAPITAL BANK”  МФО: 01158  Swift: KACHUZ22</v>
      </c>
      <c r="B17" s="143"/>
      <c r="C17" s="143"/>
      <c r="D17" s="143"/>
      <c r="E17" s="143"/>
      <c r="F17" s="63"/>
      <c r="G17" s="173" t="str">
        <f>+Инвойс!G17</f>
        <v>ИНН/ КПП 7448223299 / 744801001</v>
      </c>
      <c r="H17" s="173"/>
      <c r="I17" s="173"/>
      <c r="J17" s="173"/>
      <c r="K17" s="173"/>
      <c r="L17" s="173"/>
      <c r="M17" s="173"/>
    </row>
    <row r="18" spans="1:17" ht="13.8" x14ac:dyDescent="0.25">
      <c r="A18" s="143" t="str">
        <f>+Инвойс!A18</f>
        <v>Доллар США: 20208840607280925001</v>
      </c>
      <c r="B18" s="143"/>
      <c r="C18" s="143"/>
      <c r="D18" s="143"/>
      <c r="E18" s="143"/>
      <c r="F18" s="7"/>
      <c r="G18" s="173" t="str">
        <f>+Инвойс!G18</f>
        <v>р/с 40702810000000024357</v>
      </c>
      <c r="H18" s="173"/>
      <c r="I18" s="173"/>
      <c r="J18" s="173"/>
      <c r="K18" s="173"/>
      <c r="L18" s="173"/>
      <c r="M18" s="173"/>
    </row>
    <row r="19" spans="1:17" ht="13.8" x14ac:dyDescent="0.25">
      <c r="A19" s="143" t="str">
        <f>+Инвойс!A19</f>
        <v>Корреспондирующий банк (RUB): АКБ "Азия Инвест Банк" (АО) :</v>
      </c>
      <c r="B19" s="143"/>
      <c r="C19" s="143"/>
      <c r="D19" s="143"/>
      <c r="E19" s="143"/>
      <c r="F19" s="7"/>
      <c r="G19" s="173" t="str">
        <f>+Инвойс!G19</f>
        <v>Корр. счет: 30101810445250000234</v>
      </c>
      <c r="H19" s="173"/>
      <c r="I19" s="173"/>
      <c r="J19" s="173"/>
      <c r="K19" s="173"/>
      <c r="L19" s="173"/>
      <c r="M19" s="173"/>
    </row>
    <row r="20" spans="1:17" ht="13.8" x14ac:dyDescent="0.25">
      <c r="A20" s="143" t="str">
        <f>+Инвойс!A20</f>
        <v>SWIFT:ASIJRUMM / БИК 044525234,</v>
      </c>
      <c r="B20" s="143"/>
      <c r="C20" s="143"/>
      <c r="D20" s="143"/>
      <c r="E20" s="143"/>
      <c r="F20" s="7"/>
      <c r="G20" s="173" t="str">
        <f>+Инвойс!G20</f>
        <v>Азия-Инвест Банк (АО) г. Москва</v>
      </c>
      <c r="H20" s="173"/>
      <c r="I20" s="173"/>
      <c r="J20" s="173"/>
      <c r="K20" s="173"/>
      <c r="L20" s="173"/>
      <c r="M20" s="173"/>
    </row>
    <row r="21" spans="1:17" ht="13.8" x14ac:dyDescent="0.25">
      <c r="A21" s="143"/>
      <c r="B21" s="143"/>
      <c r="C21" s="143"/>
      <c r="D21" s="143"/>
      <c r="E21" s="143"/>
      <c r="G21" s="7"/>
      <c r="H21" s="23"/>
      <c r="I21" s="23"/>
      <c r="J21" s="23"/>
    </row>
    <row r="22" spans="1:17" ht="43.5" customHeight="1" x14ac:dyDescent="0.3">
      <c r="A22" s="1" t="s">
        <v>124</v>
      </c>
      <c r="C22" s="65"/>
      <c r="F22" s="1"/>
    </row>
    <row r="23" spans="1:17" ht="26.25" hidden="1" customHeight="1" x14ac:dyDescent="0.25">
      <c r="A23" s="69" t="s">
        <v>87</v>
      </c>
      <c r="B23" s="68"/>
      <c r="C23" s="174" t="s">
        <v>115</v>
      </c>
      <c r="D23" s="174"/>
      <c r="E23" s="174"/>
      <c r="F23" s="174"/>
      <c r="G23" s="174"/>
      <c r="H23" s="174"/>
      <c r="I23" s="174"/>
      <c r="J23" s="174"/>
      <c r="K23" s="174"/>
      <c r="L23" s="174"/>
      <c r="M23" s="174"/>
    </row>
    <row r="24" spans="1:17" ht="15.6" x14ac:dyDescent="0.3">
      <c r="A24" s="20" t="s">
        <v>22</v>
      </c>
      <c r="C24" s="18" t="str">
        <f>+Инвойс!C24</f>
        <v>DAP - с Жибек Жолы 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9" t="str">
        <f>+Инвойс!E26</f>
        <v>AI3215-1/A4839E-1</v>
      </c>
      <c r="F26" s="140"/>
      <c r="G26" s="140"/>
      <c r="J26" s="21"/>
    </row>
    <row r="27" spans="1:17" ht="34.5" customHeight="1" x14ac:dyDescent="0.25">
      <c r="A27" s="67" t="s">
        <v>125</v>
      </c>
      <c r="C27" s="18"/>
      <c r="E27" s="22"/>
      <c r="F27" s="22"/>
      <c r="G27" s="22"/>
      <c r="J27" s="21"/>
    </row>
    <row r="28" spans="1:17" ht="24" customHeight="1" x14ac:dyDescent="0.25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1.8" x14ac:dyDescent="0.25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28.8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995</v>
      </c>
      <c r="F30" s="116" t="str">
        <f>+Инвойс!F30</f>
        <v>кг</v>
      </c>
      <c r="G30" s="106">
        <f>+Инвойс!G30</f>
        <v>23100</v>
      </c>
      <c r="H30" s="106">
        <f>+Инвойс!H30</f>
        <v>21309</v>
      </c>
      <c r="I30" s="108">
        <f>+Инвойс!I30</f>
        <v>0.25</v>
      </c>
      <c r="J30" s="13">
        <f>+Инвойс!J30</f>
        <v>5327.25</v>
      </c>
      <c r="K30" s="12">
        <v>0</v>
      </c>
      <c r="L30" s="12">
        <v>0</v>
      </c>
      <c r="M30" s="13">
        <f>+Инвойс!M30</f>
        <v>5327.25</v>
      </c>
      <c r="O30" s="100"/>
      <c r="Q30" s="100"/>
    </row>
    <row r="31" spans="1:17" ht="13.8" x14ac:dyDescent="0.25">
      <c r="A31" s="151" t="s">
        <v>0</v>
      </c>
      <c r="B31" s="152"/>
      <c r="C31" s="14"/>
      <c r="D31" s="15"/>
      <c r="E31" s="64">
        <f>SUM(E30:E30)</f>
        <v>995</v>
      </c>
      <c r="F31" s="15"/>
      <c r="G31" s="64">
        <f>SUM(G30:G30)</f>
        <v>23100</v>
      </c>
      <c r="H31" s="64">
        <f>SUM(H30:H30)</f>
        <v>21309</v>
      </c>
      <c r="I31" s="102"/>
      <c r="J31" s="17">
        <f>SUM(J30:J30)</f>
        <v>5327.25</v>
      </c>
      <c r="K31" s="16"/>
      <c r="L31" s="16"/>
      <c r="M31" s="17">
        <f>SUM(M30:M30)</f>
        <v>5327.25</v>
      </c>
      <c r="P31" s="66"/>
    </row>
    <row r="32" spans="1:17" ht="13.8" x14ac:dyDescent="0.3">
      <c r="A32" s="2" t="s">
        <v>17</v>
      </c>
      <c r="B32" s="3"/>
      <c r="C32" s="11"/>
      <c r="D32" s="11"/>
      <c r="E32" s="149" t="str">
        <f>Лист1!B3</f>
        <v>Пять тысяч триста двадцать семь долларов США, 25 центов.</v>
      </c>
      <c r="F32" s="150"/>
      <c r="G32" s="150"/>
      <c r="H32" s="150"/>
      <c r="I32" s="150"/>
      <c r="J32" s="150"/>
      <c r="K32" s="150"/>
      <c r="L32" s="150"/>
      <c r="M32" s="150"/>
    </row>
    <row r="33" spans="1:14" ht="20.25" customHeight="1" x14ac:dyDescent="0.25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</row>
    <row r="34" spans="1:14" ht="25.5" customHeight="1" x14ac:dyDescent="0.25">
      <c r="A34" s="145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26"/>
    </row>
    <row r="36" spans="1:14" s="18" customFormat="1" ht="15.6" x14ac:dyDescent="0.3">
      <c r="A36" s="131" t="s">
        <v>159</v>
      </c>
      <c r="B36" s="131"/>
      <c r="D36" s="18" t="str">
        <f>+Инвойс!D36</f>
        <v>АБДИЛАКИМОВ А.А</v>
      </c>
      <c r="E36" s="132"/>
      <c r="G36" s="129" t="s">
        <v>130</v>
      </c>
      <c r="H36" s="18" t="str">
        <f>Инвойс!G5</f>
        <v>ООО «ГРИН ВОРЛД»</v>
      </c>
      <c r="K36" s="133" t="s">
        <v>148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E10" sqref="E10:F10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6" t="s">
        <v>116</v>
      </c>
    </row>
    <row r="3" spans="1:10" ht="52.8" x14ac:dyDescent="0.25">
      <c r="A3" s="130" t="s">
        <v>128</v>
      </c>
    </row>
    <row r="5" spans="1:10" ht="39.6" x14ac:dyDescent="0.25">
      <c r="A5" s="126" t="s">
        <v>117</v>
      </c>
    </row>
    <row r="6" spans="1:10" x14ac:dyDescent="0.25">
      <c r="E6" s="18" t="s">
        <v>129</v>
      </c>
      <c r="J6" s="25" t="s">
        <v>132</v>
      </c>
    </row>
    <row r="7" spans="1:10" ht="52.8" x14ac:dyDescent="0.25">
      <c r="A7" s="126" t="s">
        <v>118</v>
      </c>
    </row>
    <row r="8" spans="1:10" x14ac:dyDescent="0.25">
      <c r="E8" s="18" t="s">
        <v>138</v>
      </c>
      <c r="J8" s="25" t="s">
        <v>133</v>
      </c>
    </row>
    <row r="9" spans="1:10" ht="52.8" x14ac:dyDescent="0.25">
      <c r="A9" s="126" t="s">
        <v>119</v>
      </c>
    </row>
    <row r="10" spans="1:10" x14ac:dyDescent="0.25">
      <c r="A10" s="126"/>
      <c r="E10" s="18" t="s">
        <v>134</v>
      </c>
      <c r="J10" s="25" t="s">
        <v>135</v>
      </c>
    </row>
    <row r="11" spans="1:10" ht="52.8" x14ac:dyDescent="0.25">
      <c r="A11" s="126" t="s">
        <v>160</v>
      </c>
    </row>
    <row r="12" spans="1:10" x14ac:dyDescent="0.25">
      <c r="E12" s="18" t="s">
        <v>136</v>
      </c>
      <c r="J12" s="25" t="s">
        <v>137</v>
      </c>
    </row>
    <row r="13" spans="1:10" ht="52.8" x14ac:dyDescent="0.25">
      <c r="A13" s="126" t="s">
        <v>120</v>
      </c>
    </row>
    <row r="15" spans="1:10" ht="39.6" x14ac:dyDescent="0.25">
      <c r="A15" s="126" t="s">
        <v>121</v>
      </c>
    </row>
    <row r="17" spans="1:1" ht="39.6" x14ac:dyDescent="0.25">
      <c r="A17" s="126" t="s">
        <v>122</v>
      </c>
    </row>
    <row r="19" spans="1:1" ht="39.6" x14ac:dyDescent="0.25">
      <c r="A19" s="128" t="s">
        <v>123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6" x14ac:dyDescent="0.3">
      <c r="E2" s="27">
        <f>Инвойс!M31</f>
        <v>5327.25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триста двадцать семь долларов США, 25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45894</v>
      </c>
      <c r="O3" s="178"/>
      <c r="P3">
        <f ca="1">DAY(N3)</f>
        <v>25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Пять тысяч триста двадцать семь долларов США, 25 центов. (в т.ч. НДС - 357,79)</v>
      </c>
      <c r="H4" s="32"/>
      <c r="I4" s="32"/>
      <c r="J4" s="32"/>
      <c r="K4" s="179" t="str">
        <f ca="1">CONCATENATE(" «  ",P3,"  »  ",Q3,"  ",R3," г.")</f>
        <v xml:space="preserve"> «  25  »  августа  2025 г.</v>
      </c>
      <c r="L4" s="179"/>
      <c r="M4" s="179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триста двадцать семь долларов США, 25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триста двадцать семь долларов США, 25 центов. (в т.ч. НДС - 357,79)</v>
      </c>
      <c r="C6"/>
      <c r="D6"/>
      <c r="E6"/>
      <c r="H6" s="39"/>
    </row>
    <row r="7" spans="1:19" x14ac:dyDescent="0.25">
      <c r="D7" s="33"/>
      <c r="H7" s="180" t="s">
        <v>38</v>
      </c>
      <c r="I7" s="180"/>
      <c r="J7" s="180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80"/>
      <c r="I8" s="180"/>
      <c r="J8" s="180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80"/>
      <c r="I9" s="180"/>
      <c r="J9" s="180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80"/>
      <c r="I10" s="180"/>
      <c r="J10" s="180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триста двадцать семь долларов США, </v>
      </c>
      <c r="D11" s="47"/>
      <c r="E11" s="48"/>
      <c r="H11" s="180"/>
      <c r="I11" s="180"/>
      <c r="J11" s="180"/>
    </row>
    <row r="12" spans="1:19" s="43" customFormat="1" x14ac:dyDescent="0.25">
      <c r="A12" s="49" t="str">
        <f>CONCATENATE(IF(C31=0,"0",C31),IF(C32=0,"0",C32)," ",F33)</f>
        <v>25 центов.</v>
      </c>
      <c r="D12" s="47"/>
      <c r="E12" s="48"/>
      <c r="M12" s="50">
        <f ca="1">TODAY()</f>
        <v>45894</v>
      </c>
    </row>
    <row r="13" spans="1:19" s="43" customFormat="1" x14ac:dyDescent="0.25">
      <c r="A13" s="49"/>
      <c r="D13" s="51"/>
      <c r="E13" s="52">
        <f>TRUNC(E2)</f>
        <v>5327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53</v>
      </c>
      <c r="B27" s="47">
        <f>TRUNC(RIGHT(A27))</f>
        <v>3</v>
      </c>
      <c r="C27" s="51">
        <f>B27</f>
        <v>3</v>
      </c>
      <c r="E27" s="55" t="str">
        <f>IF(B27=1,E43,IF(B27=2,G35,IF(B27=3,G36,IF(B27=4,G37,IF(B27=5,G38,IF(B27=6,G39,IF(B27=7,G40,IF(B27=8,G41,G42))))))))</f>
        <v xml:space="preserve">триста </v>
      </c>
    </row>
    <row r="28" spans="1:9" s="43" customFormat="1" x14ac:dyDescent="0.25">
      <c r="A28" s="54">
        <f>TRUNC(A29/10)</f>
        <v>532</v>
      </c>
      <c r="B28" s="58">
        <f>TRUNC(RIGHT(A28))</f>
        <v>2</v>
      </c>
      <c r="C28" s="51">
        <f>IF(B28=1,"",B28)</f>
        <v>2</v>
      </c>
      <c r="E28" s="56" t="str">
        <f>IF(OR(C28=0,B28=1),"",IF(C28=2,E35,IF(C28=3,E36,IF(C28=4,E37,IF(C28=5,E38,IF(C28=6,E39,IF(C28=7,E40,IF(C28=8,E41,E42))))))))</f>
        <v xml:space="preserve">двадцать </v>
      </c>
      <c r="G28" s="47"/>
    </row>
    <row r="29" spans="1:9" s="43" customFormat="1" x14ac:dyDescent="0.25">
      <c r="A29" s="54">
        <f>E13</f>
        <v>5327</v>
      </c>
      <c r="B29" s="47">
        <f>TRUNC(RIGHT(A29))</f>
        <v>7</v>
      </c>
      <c r="C29" s="51">
        <f>IF(B28=1,B29+10,IF(B29=0,0,B29))</f>
        <v>7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семь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327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25</v>
      </c>
      <c r="C31" s="59">
        <f>TRUNC(A31/10)</f>
        <v>2</v>
      </c>
      <c r="E31" s="56" t="str">
        <f>IF(OR(C31=1,C31=0),"",IF(C31=2,E35,IF(C31=3,E36,IF(C31=4,E37,IF(C31=5,E38,IF(C31=6,E39,IF(C31=7,E40,IF(C31=8,E41,E42))))))))</f>
        <v xml:space="preserve">двадцать </v>
      </c>
      <c r="H31" s="47"/>
    </row>
    <row r="32" spans="1:9" s="43" customFormat="1" x14ac:dyDescent="0.25">
      <c r="C32" s="59">
        <f>TRUNC(A31-C31*10)</f>
        <v>5</v>
      </c>
      <c r="E32" s="56" t="str">
        <f>IF(C32=1,B34,IF(C32=2,B35,IF(C32=3,A36,IF(C32=4,A37,IF(C32=5,A38,IF(C32=6,A39,IF(C32=7,A40,IF(C32=8,A41,A42))))))))</f>
        <v xml:space="preserve">пять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5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5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6" t="s">
        <v>85</v>
      </c>
      <c r="B100" s="176"/>
      <c r="C100" s="176"/>
      <c r="D100" s="176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2025-08-25T08:05:49Z</cp:lastPrinted>
  <dcterms:created xsi:type="dcterms:W3CDTF">1996-10-14T23:33:28Z</dcterms:created>
  <dcterms:modified xsi:type="dcterms:W3CDTF">2025-08-25T08:05:54Z</dcterms:modified>
</cp:coreProperties>
</file>