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344018-F6C2-4DBB-8ACD-9FE5C3363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<sst xmlns="http://schemas.openxmlformats.org/spreadsheetml/2006/main" count="210" uniqueCount="163">
  <si>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</si>
  <si>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</si>
  <si>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</si>
  <si>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</si>
  <si>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</si>
  <si>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</si>
  <si>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</si>
  <si>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</si>
  <si>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</si>
  <si>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</si>
  <si>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</si>
  <si>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</si>
  <si>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</si>
  <si>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</si>
  <si>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</si>
  <si>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</si>
  <si>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</si>
  <si>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</si>
  <si>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</si>
  <si>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</si>
  <si>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</si>
  <si>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</si>
  <si>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</si>
  <si>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</si>
  <si>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</si>
  <si>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</si>
  <si>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</si>
  <si>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</si>
  <si>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</si>
  <si>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</si>
  <si>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</si>
  <si>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</si>
  <si>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</si>
  <si>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</si>
  <si>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</si>
  <si>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</si>
  <si>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</si>
  <si>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</si>
  <si>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</si>
  <si>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</si>
  <si>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</si>
  <si>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</si>
  <si>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</si>
  <si>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</si>
  <si>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</si>
  <si>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</si>
  <si>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</si>
  <si>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</si>
  <si>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</si>
  <si>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</si>
  <si>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</si>
  <si>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</si>
  <si>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</si>
  <si>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</si>
  <si>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</si>
  <si>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</si>
  <si>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</si>
  <si>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</si>
  <si>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</si>
  <si>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</si>
  <si>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</si>
  <si>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</si>
  <si>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</si>
  <si>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</si>
  <si>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</si>
  <si>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</si>
  <si>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</si>
  <si>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</si>
  <si>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</si>
  <si>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</si>
  <si>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</si>
  <si>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</si>
  <si>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</si>
  <si>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</si>
  <si>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</si>
  <si>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</si>
  <si>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</si>
  <si>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</si>
  <si>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</si>
  <si>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</si>
  <si>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</si>
  <si>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</si>
  <si>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</si>
  <si>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</si>
  <si>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</si>
  <si>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</si>
  <si>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</si>
  <si>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</si>
  <si>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</si>
  <si>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</si>
  <si>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</si>
  <si>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</si>
  <si>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</si>
  <si>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</si>
  <si>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</si>
  <si>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</si>
  <si>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</si>
  <si>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</si>
  <si>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</si>
  <si>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</si>
  <si>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</si>
  <si>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</si>
  <si>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</si>
  <si>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</si>
  <si>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</si>
  <si>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</si>
  <si>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</si>
  <si>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</si>
  <si>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</si>
  <si>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</si>
  <si>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Лук репчатый свежий</t>
  </si>
  <si>
    <t>Мешки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</si>
  <si>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</si>
  <si>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</si>
  <si>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</si>
  <si>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</si>
  <si>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</si>
  <si>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</si>
  <si>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</si>
  <si>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</si>
  <si>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</si>
  <si>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</si>
  <si>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</si>
  <si>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0703101901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</si>
  <si>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</si>
  <si>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</si>
  <si>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</si>
  <si>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</si>
  <si>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</si>
  <si>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</si>
  <si>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</si>
  <si>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</si>
  <si>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</si>
  <si>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</si>
  <si>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</si>
  <si>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</si>
  <si>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</si>
  <si>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</si>
  <si>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</si>
  <si>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 xml:space="preserve"> 25.08.2025г.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</si>
  <si>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</si>
  <si>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</si>
  <si>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</si>
  <si>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</si>
  <si>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</si>
  <si>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</si>
  <si>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</si>
  <si>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</si>
  <si>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</si>
  <si>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</si>
  <si>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</si>
  <si>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</si>
  <si>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</si>
  <si>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</si>
  <si>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</si>
  <si>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</si>
  <si>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</si>
  <si>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</si>
  <si>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</si>
  <si>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</si>
  <si>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 от </t>
  </si>
  <si>
    <t>85N177NA/855190AA</t>
  </si>
  <si>
    <t xml:space="preserve">СПЕЦИФИКАЦИЯ № UFG-M-1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</si>
</sst>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160</v>
      </c>
      <c r="D1" s="133"/>
      <c r="E1" s="133"/>
      <c r="F1" s="132" t="s">
        <v>139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152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153</v>
      </c>
      <c r="B5" s="134"/>
      <c r="C5" s="134"/>
      <c r="D5" s="134"/>
      <c r="E5" s="134"/>
      <c r="F5" s="6"/>
      <c r="G5" s="136" t="s">
        <v>140</v>
      </c>
      <c r="H5" s="136"/>
      <c r="I5" s="136"/>
      <c r="J5" s="136"/>
      <c r="K5" s="136"/>
      <c r="L5" s="136"/>
      <c r="M5" s="136"/>
    </row>
    <row r="6" spans="1:15" ht="15" customHeight="1" x14ac:dyDescent="0.25">
      <c r="A6" s="140" t="s">
        <v>148</v>
      </c>
      <c r="B6" s="141"/>
      <c r="C6" s="141"/>
      <c r="D6" s="141"/>
      <c r="E6" s="141"/>
      <c r="F6" s="7"/>
      <c r="G6" s="138" t="s">
        <v>141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154</v>
      </c>
      <c r="B7" s="141"/>
      <c r="C7" s="141"/>
      <c r="D7" s="141"/>
      <c r="E7" s="141"/>
      <c r="F7" s="63"/>
      <c r="G7" s="138" t="s">
        <v>142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150</v>
      </c>
      <c r="B10" s="123"/>
      <c r="C10" s="123"/>
      <c r="D10" s="123"/>
      <c r="E10" s="123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7" t="s">
        <v>146</v>
      </c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153</v>
      </c>
      <c r="B14" s="134"/>
      <c r="C14" s="134"/>
      <c r="D14" s="134"/>
      <c r="E14" s="134"/>
      <c r="F14" s="6"/>
      <c r="G14" s="136" t="s">
        <v>140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148</v>
      </c>
      <c r="B15" s="141"/>
      <c r="C15" s="141"/>
      <c r="D15" s="141"/>
      <c r="E15" s="141"/>
      <c r="F15" s="7"/>
      <c r="G15" s="138" t="s">
        <v>141</v>
      </c>
      <c r="H15" s="138"/>
      <c r="I15" s="138"/>
      <c r="J15" s="138"/>
      <c r="K15" s="138"/>
      <c r="L15" s="138"/>
      <c r="M15" s="138"/>
    </row>
    <row r="16" spans="1:15" ht="13.8" x14ac:dyDescent="0.25">
      <c r="A16" s="141" t="s">
        <v>154</v>
      </c>
      <c r="B16" s="141"/>
      <c r="C16" s="141"/>
      <c r="D16" s="141"/>
      <c r="E16" s="141"/>
      <c r="F16" s="63"/>
      <c r="G16" s="138" t="s">
        <v>142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3" t="s">
        <v>150</v>
      </c>
      <c r="B19" s="123"/>
      <c r="C19" s="123"/>
      <c r="D19" s="123"/>
      <c r="E19" s="123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7" t="s">
        <v>146</v>
      </c>
      <c r="H21" s="137"/>
      <c r="I21" s="137"/>
      <c r="J21" s="137"/>
      <c r="K21" s="137"/>
      <c r="L21" s="137"/>
      <c r="M21" s="137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127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137</v>
      </c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161</v>
      </c>
      <c r="F26" s="154"/>
      <c r="G26" s="154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09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09" t="s">
        <v>12</v>
      </c>
      <c r="H29" s="109" t="s">
        <v>13</v>
      </c>
      <c r="I29" s="147"/>
      <c r="J29" s="110" t="s">
        <v>14</v>
      </c>
      <c r="K29" s="10" t="s">
        <v>15</v>
      </c>
      <c r="L29" s="10" t="s">
        <v>16</v>
      </c>
      <c r="M29" s="147"/>
    </row>
    <row r="30" spans="1:17" ht="13.8" x14ac:dyDescent="0.25">
      <c r="A30" s="125">
        <v>1</v>
      </c>
      <c r="B30" s="101" t="s">
        <v>110</v>
      </c>
      <c r="C30" s="107" t="s">
        <v>123</v>
      </c>
      <c r="D30" s="113" t="s">
        <v>111</v>
      </c>
      <c r="E30" s="101">
        <v>1024</v>
      </c>
      <c r="F30" s="114" t="s">
        <v>27</v>
      </c>
      <c r="G30" s="106">
        <v>23510</v>
      </c>
      <c r="H30" s="106">
        <v>23500</v>
      </c>
      <c r="I30" s="108">
        <v>0.3</v>
      </c>
      <c r="J30" s="13">
        <f t="shared" ref="J30" si="0">H30*I30</f>
        <v>7050</v>
      </c>
      <c r="K30" s="12">
        <v>0</v>
      </c>
      <c r="L30" s="12">
        <v>0</v>
      </c>
      <c r="M30" s="13">
        <f t="shared" ref="M30" si="1">J30</f>
        <v>7050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1024</v>
      </c>
      <c r="F31" s="15"/>
      <c r="G31" s="64">
        <f>SUM(G30:G30)</f>
        <v>23510</v>
      </c>
      <c r="H31" s="64">
        <f>SUM(H30:H30)</f>
        <v>23500</v>
      </c>
      <c r="I31" s="102"/>
      <c r="J31" s="17">
        <f>SUM(J30:J30)</f>
        <v>7050</v>
      </c>
      <c r="K31" s="16"/>
      <c r="L31" s="16"/>
      <c r="M31" s="17">
        <f>SUM(M30:M30)</f>
        <v>7050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Семь тысяч пятьдесят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8" sqref="K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1" t="s">
        <v>112</v>
      </c>
      <c r="C13" s="111"/>
      <c r="D13" s="111"/>
      <c r="E13" s="111"/>
      <c r="F13" s="111"/>
      <c r="G13" s="111"/>
      <c r="H13" s="111"/>
      <c r="I13" s="111"/>
      <c r="J13" s="111"/>
      <c r="K13" s="111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UFG-M-1 от  25.08.2025г.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1024</v>
      </c>
      <c r="D30" s="103" t="str">
        <f>+Инвойс!D30</f>
        <v>Мешки</v>
      </c>
      <c r="E30" s="103"/>
      <c r="F30" s="103" t="str">
        <f>+Инвойс!B30</f>
        <v>Лук репчатый свежий</v>
      </c>
      <c r="G30" s="104" t="str">
        <f>+Инвойс!C30</f>
        <v>0703101901</v>
      </c>
      <c r="H30" s="103"/>
      <c r="I30" s="105">
        <f>+Инвойс!G30</f>
        <v>23510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25.08.2025г.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85N177NA/855190AA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6" sqref="G26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85N177NA/855190AA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UFG-M-1 от  25.08.2025г.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1024</v>
      </c>
      <c r="G18" s="165" t="str">
        <f>+CMR!F30</f>
        <v>Лук репчатый свежий</v>
      </c>
      <c r="H18" s="165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Мешки</v>
      </c>
      <c r="G19" s="159" t="str">
        <f>+Инвойс!C30</f>
        <v>0703101901</v>
      </c>
      <c r="H19" s="160"/>
      <c r="I19" s="120" t="s">
        <v>103</v>
      </c>
      <c r="J19" s="118">
        <f>+Инвойс!G30</f>
        <v>23510</v>
      </c>
    </row>
    <row r="20" spans="2:10" ht="13.5" customHeight="1" x14ac:dyDescent="0.3">
      <c r="B20" s="83"/>
      <c r="E20" s="121"/>
      <c r="F20" s="116"/>
      <c r="G20" s="165"/>
      <c r="H20" s="165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9"/>
      <c r="H21" s="160"/>
      <c r="I21" s="120"/>
      <c r="J21" s="118"/>
    </row>
    <row r="22" spans="2:10" ht="12.75" customHeight="1" x14ac:dyDescent="0.3">
      <c r="B22" s="83"/>
      <c r="E22" s="121"/>
      <c r="F22" s="116"/>
      <c r="G22" s="165"/>
      <c r="H22" s="165"/>
      <c r="I22" s="117"/>
      <c r="J22" s="118"/>
    </row>
    <row r="23" spans="2:10" ht="14.25" customHeight="1" x14ac:dyDescent="0.3">
      <c r="B23" s="83"/>
      <c r="E23" s="121"/>
      <c r="F23" s="119"/>
      <c r="G23" s="159"/>
      <c r="H23" s="160"/>
      <c r="I23" s="120"/>
      <c r="J23" s="118"/>
    </row>
    <row r="24" spans="2:10" ht="12.75" customHeight="1" x14ac:dyDescent="0.3">
      <c r="B24" s="87"/>
      <c r="E24" s="121"/>
      <c r="F24" s="116"/>
      <c r="G24" s="165"/>
      <c r="H24" s="165"/>
      <c r="I24" s="117"/>
      <c r="J24" s="118"/>
    </row>
    <row r="25" spans="2:10" ht="12.75" customHeight="1" x14ac:dyDescent="0.3">
      <c r="B25" s="87"/>
      <c r="E25" s="121"/>
      <c r="F25" s="119"/>
      <c r="G25" s="159"/>
      <c r="H25" s="160"/>
      <c r="I25" s="120"/>
      <c r="J25" s="118"/>
    </row>
    <row r="26" spans="2:10" ht="12" customHeight="1" x14ac:dyDescent="0.3">
      <c r="B26" s="87"/>
      <c r="E26" s="121"/>
      <c r="F26" s="116"/>
      <c r="G26" s="165"/>
      <c r="H26" s="165"/>
      <c r="I26" s="117"/>
      <c r="J26" s="118"/>
    </row>
    <row r="27" spans="2:10" ht="14.25" customHeight="1" x14ac:dyDescent="0.3">
      <c r="B27" s="87"/>
      <c r="E27" s="121"/>
      <c r="F27" s="119"/>
      <c r="G27" s="159"/>
      <c r="H27" s="160"/>
      <c r="I27" s="120"/>
      <c r="J27" s="118"/>
    </row>
    <row r="28" spans="2:10" ht="12.75" customHeight="1" x14ac:dyDescent="0.3">
      <c r="B28" s="87"/>
      <c r="E28" s="121"/>
      <c r="F28" s="116"/>
      <c r="G28" s="165"/>
      <c r="H28" s="165"/>
      <c r="I28" s="117"/>
      <c r="J28" s="118"/>
    </row>
    <row r="29" spans="2:10" ht="12.75" customHeight="1" x14ac:dyDescent="0.3">
      <c r="B29" s="87"/>
      <c r="E29" s="121"/>
      <c r="F29" s="119"/>
      <c r="G29" s="159"/>
      <c r="H29" s="160"/>
      <c r="I29" s="120"/>
      <c r="J29" s="118"/>
    </row>
    <row r="30" spans="2:10" ht="12.75" customHeight="1" x14ac:dyDescent="0.3">
      <c r="B30" s="87"/>
      <c r="E30" s="121"/>
      <c r="F30" s="116"/>
      <c r="G30" s="165"/>
      <c r="H30" s="165"/>
      <c r="I30" s="117"/>
      <c r="J30" s="118"/>
    </row>
    <row r="31" spans="2:10" ht="13.5" customHeight="1" x14ac:dyDescent="0.3">
      <c r="B31" s="87"/>
      <c r="E31" s="121"/>
      <c r="F31" s="119"/>
      <c r="G31" s="159"/>
      <c r="H31" s="160"/>
      <c r="I31" s="120"/>
      <c r="J31" s="118"/>
    </row>
    <row r="32" spans="2:10" ht="13.5" customHeight="1" x14ac:dyDescent="0.3">
      <c r="B32" s="87"/>
      <c r="E32" s="121"/>
      <c r="F32" s="116"/>
      <c r="G32" s="165"/>
      <c r="H32" s="165"/>
      <c r="I32" s="117"/>
      <c r="J32" s="118"/>
    </row>
    <row r="33" spans="2:10" ht="13.5" customHeight="1" x14ac:dyDescent="0.3">
      <c r="B33" s="87"/>
      <c r="E33" s="121"/>
      <c r="F33" s="119"/>
      <c r="G33" s="159"/>
      <c r="H33" s="160"/>
      <c r="I33" s="120"/>
      <c r="J33" s="118"/>
    </row>
    <row r="34" spans="2:10" ht="13.5" customHeight="1" x14ac:dyDescent="0.3">
      <c r="B34" s="87"/>
      <c r="E34" s="121"/>
      <c r="F34" s="116"/>
      <c r="G34" s="165"/>
      <c r="H34" s="165"/>
      <c r="I34" s="117"/>
      <c r="J34" s="118"/>
    </row>
    <row r="35" spans="2:10" ht="12.75" customHeight="1" x14ac:dyDescent="0.3">
      <c r="B35" s="87"/>
      <c r="E35" s="121"/>
      <c r="F35" s="119"/>
      <c r="G35" s="159"/>
      <c r="H35" s="160"/>
      <c r="I35" s="120"/>
      <c r="J35" s="118"/>
    </row>
    <row r="36" spans="2:10" x14ac:dyDescent="0.3">
      <c r="B36" s="87"/>
      <c r="E36" s="121"/>
      <c r="F36" s="116"/>
      <c r="G36" s="165"/>
      <c r="H36" s="165"/>
      <c r="I36" s="117"/>
      <c r="J36" s="118"/>
    </row>
    <row r="37" spans="2:10" ht="13.5" customHeight="1" x14ac:dyDescent="0.3">
      <c r="B37" s="87"/>
      <c r="E37" s="121"/>
      <c r="F37" s="119"/>
      <c r="G37" s="159"/>
      <c r="H37" s="160"/>
      <c r="I37" s="120"/>
      <c r="J37" s="118"/>
    </row>
    <row r="38" spans="2:10" x14ac:dyDescent="0.3">
      <c r="B38" s="87"/>
      <c r="E38" s="121"/>
      <c r="F38" s="116"/>
      <c r="G38" s="165"/>
      <c r="H38" s="165"/>
      <c r="I38" s="117"/>
      <c r="J38" s="118"/>
    </row>
    <row r="39" spans="2:10" ht="13.5" customHeight="1" x14ac:dyDescent="0.3">
      <c r="B39" s="87"/>
      <c r="E39" s="121"/>
      <c r="F39" s="119"/>
      <c r="G39" s="159"/>
      <c r="H39" s="160"/>
      <c r="I39" s="120"/>
      <c r="J39" s="118"/>
    </row>
    <row r="40" spans="2:10" ht="14.25" hidden="1" customHeight="1" x14ac:dyDescent="0.3">
      <c r="B40" s="87"/>
      <c r="E40" s="121"/>
      <c r="F40" s="116"/>
      <c r="G40" s="165"/>
      <c r="H40" s="165"/>
      <c r="I40" s="117"/>
      <c r="J40" s="118"/>
    </row>
    <row r="41" spans="2:10" ht="14.25" hidden="1" customHeight="1" x14ac:dyDescent="0.3">
      <c r="B41" s="87"/>
      <c r="E41" s="121"/>
      <c r="F41" s="119"/>
      <c r="G41" s="159"/>
      <c r="H41" s="160"/>
      <c r="I41" s="120"/>
      <c r="J41" s="118"/>
    </row>
    <row r="42" spans="2:10" hidden="1" x14ac:dyDescent="0.3">
      <c r="B42" s="87"/>
      <c r="E42" s="121"/>
      <c r="F42" s="116"/>
      <c r="G42" s="165"/>
      <c r="H42" s="165"/>
      <c r="I42" s="117"/>
      <c r="J42" s="118"/>
    </row>
    <row r="43" spans="2:10" x14ac:dyDescent="0.3">
      <c r="B43" s="87"/>
      <c r="E43" s="121"/>
      <c r="F43" s="119"/>
      <c r="G43" s="159"/>
      <c r="H43" s="160"/>
      <c r="I43" s="120"/>
      <c r="J43" s="118"/>
    </row>
    <row r="44" spans="2:10" ht="9" customHeight="1" x14ac:dyDescent="0.3">
      <c r="B44" s="87"/>
      <c r="E44" s="95"/>
      <c r="F44" s="92"/>
      <c r="G44" s="167"/>
      <c r="H44" s="167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1024</v>
      </c>
      <c r="E47" s="141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B32" sqref="B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25.08.2025г.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GR-UF-01 от 22.08.2025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UCHQIZIL FRUITS EXPORT</v>
      </c>
      <c r="B5" s="134"/>
      <c r="C5" s="134"/>
      <c r="D5" s="134"/>
      <c r="E5" s="134"/>
      <c r="F5" s="6"/>
      <c r="G5" s="136" t="str">
        <f>+Инвойс!G5</f>
        <v>ООО «ГРИН ВОРЛД»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УЗБЕКИСТАН. СУРХАНДАРЬИНСКАЯ ОБЛАСТЬ,</v>
      </c>
      <c r="B6" s="170"/>
      <c r="C6" s="170"/>
      <c r="D6" s="170"/>
      <c r="E6" s="170"/>
      <c r="F6" s="7"/>
      <c r="G6" s="169" t="str">
        <f>+Инвойс!G6</f>
        <v xml:space="preserve">454106, ЧЕЛЯБИНСКАЯ ОБЛАСТЬ, Г ЧЕЛЯБИНСК,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ТЕРМИЗСКИЙ РАЙОН,ЯНГИХАЯТ МФЙ, УЛИЦА БОГИ ШАМОЛ, 20-А</v>
      </c>
      <c r="B7" s="170"/>
      <c r="C7" s="170"/>
      <c r="D7" s="170"/>
      <c r="E7" s="170"/>
      <c r="F7" s="63"/>
      <c r="G7" s="169" t="str">
        <f>+Инвойс!G7</f>
        <v>УЛ ОСТРОВСКОГО, Д. 36, КВ. 176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в АКБ“KAPITAL BANK”  МФО: 01158  Swift: KACHUZ22</v>
      </c>
      <c r="B8" s="170"/>
      <c r="C8" s="170"/>
      <c r="D8" s="170"/>
      <c r="E8" s="170"/>
      <c r="F8" s="63"/>
      <c r="G8" s="169" t="str">
        <f>+Инвойс!G8</f>
        <v>ИНН/ КПП 7448223299 / 744801001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>Доллар США: 20208840207293094001</v>
      </c>
      <c r="B9" s="170"/>
      <c r="C9" s="170"/>
      <c r="D9" s="170"/>
      <c r="E9" s="170"/>
      <c r="F9" s="7"/>
      <c r="G9" s="169" t="str">
        <f>+Инвойс!G9</f>
        <v>р/с 40702810000000024357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Корреспондирующий банк (RUB): АКБ "Азия Инвест Банк" (АО) :</v>
      </c>
      <c r="B10" s="170"/>
      <c r="C10" s="170"/>
      <c r="D10" s="170"/>
      <c r="E10" s="170"/>
      <c r="F10" s="7"/>
      <c r="G10" s="169" t="str">
        <f>+Инвойс!G10</f>
        <v>Корр. счет: 30101810445250000234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SWIFT:ASIJRUMM / БИК 044525234,</v>
      </c>
      <c r="B11" s="170"/>
      <c r="C11" s="170"/>
      <c r="D11" s="170"/>
      <c r="E11" s="170"/>
      <c r="F11" s="7"/>
      <c r="G11" s="169" t="str">
        <f>+Инвойс!G11</f>
        <v>Азия-Инвест Банк (АО) г. Москва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UCHQIZIL FRUITS EXPORT</v>
      </c>
      <c r="B14" s="134"/>
      <c r="C14" s="134"/>
      <c r="D14" s="134"/>
      <c r="E14" s="134"/>
      <c r="F14" s="6"/>
      <c r="G14" s="136" t="str">
        <f>+Инвойс!G14</f>
        <v>ООО «ГРИН ВОРЛД»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УЗБЕКИСТАН. СУРХАНДАРЬИНСКАЯ ОБЛАСТЬ,</v>
      </c>
      <c r="B15" s="170"/>
      <c r="C15" s="170"/>
      <c r="D15" s="170"/>
      <c r="E15" s="170"/>
      <c r="F15" s="7"/>
      <c r="G15" s="169" t="str">
        <f>+Инвойс!G15</f>
        <v xml:space="preserve">454106, ЧЕЛЯБИНСКАЯ ОБЛАСТЬ, Г ЧЕЛЯБИНСК, 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ТЕРМИЗСКИЙ РАЙОН,ЯНГИХАЯТ МФЙ, УЛИЦА БОГИ ШАМОЛ, 20-А</v>
      </c>
      <c r="B16" s="170"/>
      <c r="C16" s="170"/>
      <c r="D16" s="170"/>
      <c r="E16" s="170"/>
      <c r="F16" s="63"/>
      <c r="G16" s="169" t="str">
        <f>+Инвойс!G16</f>
        <v>УЛ ОСТРОВСКОГО, Д. 36, КВ. 176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в АКБ“KAPITAL BANK”  МФО: 01158  Swift: KACHUZ22</v>
      </c>
      <c r="B17" s="170"/>
      <c r="C17" s="170"/>
      <c r="D17" s="170"/>
      <c r="E17" s="170"/>
      <c r="F17" s="63"/>
      <c r="G17" s="169" t="str">
        <f>+Инвойс!G17</f>
        <v>ИНН/ КПП 7448223299 / 744801001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>Доллар США: 20208840207293094001</v>
      </c>
      <c r="B18" s="170"/>
      <c r="C18" s="170"/>
      <c r="D18" s="170"/>
      <c r="E18" s="170"/>
      <c r="F18" s="7"/>
      <c r="G18" s="169" t="str">
        <f>+Инвойс!G18</f>
        <v>р/с 40702810000000024357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Корреспондирующий банк (RUB): АКБ "Азия Инвест Банк" (АО) :</v>
      </c>
      <c r="B19" s="170"/>
      <c r="C19" s="170"/>
      <c r="D19" s="170"/>
      <c r="E19" s="170"/>
      <c r="F19" s="7"/>
      <c r="G19" s="169" t="str">
        <f>+Инвойс!G19</f>
        <v>Корр. счет: 30101810445250000234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SWIFT:ASIJRUMM / БИК 044525234,</v>
      </c>
      <c r="B20" s="170"/>
      <c r="C20" s="170"/>
      <c r="D20" s="170"/>
      <c r="E20" s="170"/>
      <c r="F20" s="7"/>
      <c r="G20" s="169" t="str">
        <f>+Инвойс!G20</f>
        <v>Азия-Инвест Банк (АО) г. Москва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85N177NA/855190AA</v>
      </c>
      <c r="F26" s="154"/>
      <c r="G26" s="154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09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09" t="s">
        <v>12</v>
      </c>
      <c r="H29" s="109" t="s">
        <v>13</v>
      </c>
      <c r="I29" s="147"/>
      <c r="J29" s="110" t="s">
        <v>14</v>
      </c>
      <c r="K29" s="10" t="s">
        <v>15</v>
      </c>
      <c r="L29" s="10" t="s">
        <v>16</v>
      </c>
      <c r="M29" s="147"/>
    </row>
    <row r="30" spans="1:17" ht="13.8" x14ac:dyDescent="0.25">
      <c r="A30" s="125">
        <f>+Инвойс!A30</f>
        <v>1</v>
      </c>
      <c r="B30" s="101" t="str">
        <f>+Инвойс!B30</f>
        <v>Лук репчатый свежий</v>
      </c>
      <c r="C30" s="107" t="str">
        <f>+Инвойс!C30</f>
        <v>0703101901</v>
      </c>
      <c r="D30" s="113" t="str">
        <f>+Инвойс!D30</f>
        <v>Мешки</v>
      </c>
      <c r="E30" s="101">
        <f>+Инвойс!E30</f>
        <v>1024</v>
      </c>
      <c r="F30" s="114" t="str">
        <f>+Инвойс!F30</f>
        <v>кг</v>
      </c>
      <c r="G30" s="106">
        <f>+Инвойс!G30</f>
        <v>23510</v>
      </c>
      <c r="H30" s="106">
        <f>+Инвойс!H30</f>
        <v>23500</v>
      </c>
      <c r="I30" s="108">
        <f>+Инвойс!I30</f>
        <v>0.3</v>
      </c>
      <c r="J30" s="13">
        <f>+Инвойс!J30</f>
        <v>7050</v>
      </c>
      <c r="K30" s="12">
        <v>0</v>
      </c>
      <c r="L30" s="12">
        <v>0</v>
      </c>
      <c r="M30" s="13">
        <f>+Инвойс!M30</f>
        <v>7050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1024</v>
      </c>
      <c r="F31" s="15"/>
      <c r="G31" s="64">
        <f>SUM(G30:G30)</f>
        <v>23510</v>
      </c>
      <c r="H31" s="64">
        <f>SUM(H30:H30)</f>
        <v>23500</v>
      </c>
      <c r="I31" s="102"/>
      <c r="J31" s="17">
        <f>SUM(J30:J30)</f>
        <v>7050</v>
      </c>
      <c r="K31" s="16"/>
      <c r="L31" s="16"/>
      <c r="M31" s="17">
        <f>SUM(M30:M30)</f>
        <v>7050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Семь тысяч пятьдесят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s="18" customFormat="1" ht="15.6" x14ac:dyDescent="0.3">
      <c r="A36" s="129" t="s">
        <v>158</v>
      </c>
      <c r="B36" s="129"/>
      <c r="D36" s="18" t="str">
        <f>+Инвойс!D36</f>
        <v>ЭШТЕМИРОВ Х.Х</v>
      </c>
      <c r="E36" s="130"/>
      <c r="G36" s="127" t="s">
        <v>129</v>
      </c>
      <c r="H36" s="18" t="str">
        <f>Инвойс!G5</f>
        <v>ООО «ГРИН ВОРЛД»</v>
      </c>
      <c r="K36" s="131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3" sqref="A3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4" t="s">
        <v>116</v>
      </c>
    </row>
    <row r="3" spans="1:10" ht="52.8" x14ac:dyDescent="0.25">
      <c r="A3" s="128" t="s">
        <v>127</v>
      </c>
    </row>
    <row r="5" spans="1:10" ht="39.6" x14ac:dyDescent="0.25">
      <c r="A5" s="124" t="s">
        <v>117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4" t="s">
        <v>118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4" t="s">
        <v>119</v>
      </c>
    </row>
    <row r="10" spans="1:10" x14ac:dyDescent="0.25">
      <c r="A10" s="124"/>
      <c r="E10" s="18" t="s">
        <v>133</v>
      </c>
      <c r="J10" s="25" t="s">
        <v>134</v>
      </c>
    </row>
    <row r="11" spans="1:10" ht="52.8" x14ac:dyDescent="0.25">
      <c r="A11" s="124" t="s">
        <v>159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4" t="s">
        <v>120</v>
      </c>
    </row>
    <row r="15" spans="1:10" ht="39.6" x14ac:dyDescent="0.25">
      <c r="A15" s="124" t="s">
        <v>121</v>
      </c>
    </row>
    <row r="17" spans="1:1" ht="39.6" x14ac:dyDescent="0.25">
      <c r="A17" s="124" t="s">
        <v>122</v>
      </c>
    </row>
    <row r="19" spans="1:1" ht="39.6" x14ac:dyDescent="0.25">
      <c r="A19" s="126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7050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Семь тысяч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45894</v>
      </c>
      <c r="O3" s="176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Семь тысяч пятьдесят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семь тысяч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семь тысяч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семь тысяч </v>
      </c>
      <c r="D10" s="47"/>
      <c r="E10" s="48"/>
      <c r="F10" s="41" t="str">
        <f>PROPER(F9)</f>
        <v>С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пятьдесят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7050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7</v>
      </c>
      <c r="B25" s="47">
        <f>TRUNC(RIGHT(A25))</f>
        <v>7</v>
      </c>
      <c r="C25" s="51">
        <f>IF(B24=1,B25+10,IF(B25=0,0,B25))</f>
        <v>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70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705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7050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2025-08-25T13:22:54Z</cp:lastPrinted>
  <dcterms:created xsi:type="dcterms:W3CDTF">1996-10-14T23:33:28Z</dcterms:created>
  <dcterms:modified xsi:type="dcterms:W3CDTF">2025-08-25T13:23:02Z</dcterms:modified>
</cp:coreProperties>
</file>