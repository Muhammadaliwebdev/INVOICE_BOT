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009606-C47F-403F-B6D2-B76B2B38E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<sst xmlns="http://schemas.openxmlformats.org/spreadsheetml/2006/main" count="213" uniqueCount="172">
  <si>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</si>
  <si>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</si>
  <si>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</si>
  <si>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</si>
  <si>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</si>
  <si>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</si>
  <si>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</si>
  <si>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</si>
  <si>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</si>
  <si>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</si>
  <si>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</si>
  <si>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</si>
  <si>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</si>
  <si>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</si>
  <si>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</si>
  <si>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</si>
  <si>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</si>
  <si>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</si>
  <si>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</si>
  <si>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</si>
  <si>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</si>
  <si>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</si>
  <si>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</si>
  <si>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</si>
  <si>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</si>
  <si>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</si>
  <si>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</si>
  <si>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</si>
  <si>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</si>
  <si>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</si>
  <si>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</si>
  <si>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</si>
  <si>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</si>
  <si>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</si>
  <si>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</si>
  <si>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</si>
  <si>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</si>
  <si>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</si>
  <si>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</si>
  <si>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</si>
  <si>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</si>
  <si>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</si>
  <si>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</si>
  <si>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</si>
  <si>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</si>
  <si>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</si>
  <si>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</si>
  <si>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</si>
  <si>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</si>
  <si>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</si>
  <si>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</si>
  <si>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</si>
  <si>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</si>
  <si>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</si>
  <si>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</si>
  <si>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</si>
  <si>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</si>
  <si>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</si>
  <si>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</si>
  <si>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</si>
  <si>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</si>
  <si>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</si>
  <si>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</si>
  <si>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</si>
  <si>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</si>
  <si>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</si>
  <si>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</si>
  <si>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</si>
  <si>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</si>
  <si>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</si>
  <si>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</si>
  <si>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</si>
  <si>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</si>
  <si>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</si>
  <si>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</si>
  <si>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</si>
  <si>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</si>
  <si>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</si>
  <si>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</si>
  <si>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</si>
  <si>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</si>
  <si>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</si>
  <si>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</si>
  <si>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</si>
  <si>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</si>
  <si>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</si>
  <si>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</si>
  <si>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</si>
  <si>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</si>
  <si>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</si>
  <si>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</si>
  <si>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</si>
  <si>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</si>
  <si>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</si>
  <si>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</si>
  <si>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</si>
  <si>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</si>
  <si>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</si>
  <si>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</si>
  <si>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</si>
  <si>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</si>
  <si>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</si>
  <si>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</si>
  <si>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</si>
  <si>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</si>
  <si>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</si>
  <si>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</si>
  <si>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</si>
  <si>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</si>
  <si>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</si>
  <si>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</si>
  <si>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</si>
  <si>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</si>
  <si>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</si>
  <si>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</si>
  <si>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</si>
  <si>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</si>
  <si>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</si>
  <si>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</si>
  <si>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</si>
  <si>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</si>
  <si>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</si>
  <si>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</si>
  <si>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</si>
  <si>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</si>
  <si>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</si>
  <si>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</si>
  <si>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</si>
  <si>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</si>
  <si>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</si>
  <si>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</si>
  <si>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</si>
  <si>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</si>
  <si>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</si>
  <si>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</si>
  <si>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</si>
  <si>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</si>
  <si>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</si>
  <si>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</si>
  <si>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</si>
  <si>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</si>
  <si>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</si>
  <si>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</si>
  <si>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</si>
  <si>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</si>
  <si>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</si>
  <si>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</si>
  <si>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</si>
  <si>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</si>
  <si>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</si>
  <si>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</si>
  <si>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</si>
  <si>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</si>
  <si>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</si>
  <si>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</si>
  <si>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</si>
  <si>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</si>
  <si>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</si>
  <si>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</si>
  <si>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</si>
  <si>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</si>
  <si>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</si>
  <si>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</si>
  <si>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</si>
  <si>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</si>
  <si>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</si>
  <si>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BMX-A-29 от </t>
  </si>
  <si>
    <t>10C960VA/102245BA</t>
  </si>
  <si>
    <t>Тыква свежая</t>
  </si>
  <si>
    <t>0709939005</t>
  </si>
  <si>
    <t xml:space="preserve">СПЕЦИФИКАЦИЯ № BMX-A-29 от </t>
  </si>
  <si>
    <t xml:space="preserve"> 22.08.2025г.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</si>
</sst>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37</xdr:row>
      <xdr:rowOff>89646</xdr:rowOff>
    </xdr:from>
    <xdr:to>
      <xdr:col>3</xdr:col>
      <xdr:colOff>470645</xdr:colOff>
      <xdr:row>49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36</xdr:row>
      <xdr:rowOff>145677</xdr:rowOff>
    </xdr:from>
    <xdr:to>
      <xdr:col>2</xdr:col>
      <xdr:colOff>649942</xdr:colOff>
      <xdr:row>48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1" t="s">
        <v>166</v>
      </c>
      <c r="D1" s="151"/>
      <c r="E1" s="151"/>
      <c r="F1" s="150" t="s">
        <v>171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165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">
        <v>149</v>
      </c>
      <c r="B5" s="152"/>
      <c r="C5" s="152"/>
      <c r="D5" s="152"/>
      <c r="E5" s="152"/>
      <c r="F5" s="6"/>
      <c r="G5" s="145" t="s">
        <v>139</v>
      </c>
      <c r="H5" s="145"/>
      <c r="I5" s="145"/>
      <c r="J5" s="145"/>
      <c r="K5" s="145"/>
      <c r="L5" s="145"/>
      <c r="M5" s="145"/>
    </row>
    <row r="6" spans="1:15" ht="13.8" x14ac:dyDescent="0.25">
      <c r="A6" s="141" t="s">
        <v>150</v>
      </c>
      <c r="B6" s="140"/>
      <c r="C6" s="140"/>
      <c r="D6" s="140"/>
      <c r="E6" s="140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0" t="s">
        <v>151</v>
      </c>
      <c r="B7" s="140"/>
      <c r="C7" s="140"/>
      <c r="D7" s="140"/>
      <c r="E7" s="140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">
        <v>149</v>
      </c>
      <c r="B14" s="152"/>
      <c r="C14" s="152"/>
      <c r="D14" s="152"/>
      <c r="E14" s="152"/>
      <c r="F14" s="6"/>
      <c r="G14" s="145" t="s">
        <v>125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41" t="s">
        <v>150</v>
      </c>
      <c r="B15" s="140"/>
      <c r="C15" s="140"/>
      <c r="D15" s="140"/>
      <c r="E15" s="140"/>
      <c r="F15" s="7"/>
      <c r="G15" s="139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40" t="s">
        <v>151</v>
      </c>
      <c r="B16" s="140"/>
      <c r="C16" s="140"/>
      <c r="D16" s="140"/>
      <c r="E16" s="140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123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164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167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21500</v>
      </c>
      <c r="H30" s="106">
        <v>19736</v>
      </c>
      <c r="I30" s="108">
        <v>0.2</v>
      </c>
      <c r="J30" s="13">
        <f t="shared" ref="J30:J31" si="0">H30*I30</f>
        <v>3947.2000000000003</v>
      </c>
      <c r="K30" s="12">
        <v>0</v>
      </c>
      <c r="L30" s="12">
        <v>0</v>
      </c>
      <c r="M30" s="13">
        <f t="shared" ref="M30:M31" si="1">J30</f>
        <v>3947.2000000000003</v>
      </c>
      <c r="O30" s="100"/>
      <c r="Q30" s="100"/>
    </row>
    <row r="31" spans="1:17" ht="27.6" x14ac:dyDescent="0.25">
      <c r="A31" s="127">
        <v>2</v>
      </c>
      <c r="B31" s="101" t="s">
        <v>168</v>
      </c>
      <c r="C31" s="107" t="s">
        <v>169</v>
      </c>
      <c r="D31" s="109" t="s">
        <v>113</v>
      </c>
      <c r="E31" s="101">
        <v>80</v>
      </c>
      <c r="F31" s="110" t="s">
        <v>27</v>
      </c>
      <c r="G31" s="106">
        <v>1200</v>
      </c>
      <c r="H31" s="106">
        <v>1056</v>
      </c>
      <c r="I31" s="108">
        <v>0.2</v>
      </c>
      <c r="J31" s="13">
        <f t="shared" si="0"/>
        <v>211.20000000000002</v>
      </c>
      <c r="K31" s="12">
        <v>0</v>
      </c>
      <c r="L31" s="12">
        <v>0</v>
      </c>
      <c r="M31" s="13">
        <f t="shared" si="1"/>
        <v>211.20000000000002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1060</v>
      </c>
      <c r="F32" s="15"/>
      <c r="G32" s="64">
        <f>SUM(G30:G31)</f>
        <v>22700</v>
      </c>
      <c r="H32" s="64">
        <f>SUM(H30:H31)</f>
        <v>20792</v>
      </c>
      <c r="I32" s="102"/>
      <c r="J32" s="17">
        <f>SUM(J30:J31)</f>
        <v>4158.4000000000005</v>
      </c>
      <c r="K32" s="16"/>
      <c r="L32" s="16"/>
      <c r="M32" s="17">
        <f>SUM(M30:M31)</f>
        <v>4158.4000000000005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Четыре тысячи сто пятьдесят восемь долларов США, 40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110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BMX-A-29 от  22.08.2025г.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21500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80</v>
      </c>
      <c r="D31" s="103" t="str">
        <f>+Инвойс!D31</f>
        <v>Карт.Коробок</v>
      </c>
      <c r="E31" s="103"/>
      <c r="F31" s="103" t="str">
        <f>+Инвойс!B31</f>
        <v>Тыква свежая</v>
      </c>
      <c r="G31" s="104" t="str">
        <f>+Инвойс!C31</f>
        <v>0709939005</v>
      </c>
      <c r="H31" s="103"/>
      <c r="I31" s="105">
        <f>+Инвойс!G31</f>
        <v>1200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22.08.2025г.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10C960VA/102245BA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E38" sqref="E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10C960VA/102245BA</v>
      </c>
      <c r="C14" s="167"/>
      <c r="D14" s="167"/>
      <c r="E14" s="167"/>
      <c r="F14" s="167"/>
      <c r="G14" s="167"/>
      <c r="H14" s="168" t="s">
        <v>108</v>
      </c>
      <c r="I14" s="168"/>
      <c r="J14" s="88" t="str">
        <f>+Инвойс!F1</f>
        <v xml:space="preserve"> 22.08.2025г.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BMX-A-29 от  22.08.2025г.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1" t="str">
        <f>+CMR!F30</f>
        <v>Дыни свежие</v>
      </c>
      <c r="H18" s="161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21500</v>
      </c>
    </row>
    <row r="20" spans="2:10" ht="13.5" customHeight="1" x14ac:dyDescent="0.3">
      <c r="B20" s="83"/>
      <c r="E20" s="123"/>
      <c r="F20" s="118">
        <f>+Инвойс!E31</f>
        <v>80</v>
      </c>
      <c r="G20" s="161" t="str">
        <f>+CMR!F31</f>
        <v>Тыква свежая</v>
      </c>
      <c r="H20" s="161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Карт.Коробок</v>
      </c>
      <c r="G21" s="159" t="str">
        <f>+Инвойс!C31</f>
        <v>0709939005</v>
      </c>
      <c r="H21" s="160"/>
      <c r="I21" s="122" t="s">
        <v>103</v>
      </c>
      <c r="J21" s="120">
        <f>+Инвойс!G31</f>
        <v>1200</v>
      </c>
    </row>
    <row r="22" spans="2:10" ht="12.75" customHeight="1" x14ac:dyDescent="0.3">
      <c r="B22" s="83"/>
      <c r="E22" s="123"/>
      <c r="F22" s="118"/>
      <c r="G22" s="161"/>
      <c r="H22" s="161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1"/>
      <c r="H24" s="161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1"/>
      <c r="H26" s="161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1"/>
      <c r="H28" s="161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1"/>
      <c r="H30" s="161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1"/>
      <c r="H32" s="161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1"/>
      <c r="H34" s="161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1"/>
      <c r="H36" s="161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1"/>
      <c r="H38" s="161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1"/>
      <c r="H40" s="161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1"/>
      <c r="H42" s="161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3"/>
      <c r="H44" s="163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1060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3" zoomScale="85" zoomScaleNormal="85" workbookViewId="0">
      <selection activeCell="F1" sqref="F1:H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170</v>
      </c>
      <c r="C1" s="170"/>
      <c r="D1" s="170"/>
      <c r="E1" s="170"/>
      <c r="F1" s="150" t="str">
        <f>+Инвойс!F1</f>
        <v xml:space="preserve"> 22.08.2025г.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BMR-2025 от 16.08.2025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tr">
        <f>+Инвойс!A5</f>
        <v>OOO “BMB МAX”</v>
      </c>
      <c r="B5" s="152"/>
      <c r="C5" s="152"/>
      <c r="D5" s="152"/>
      <c r="E5" s="152"/>
      <c r="F5" s="6"/>
      <c r="G5" s="145" t="str">
        <f>+Инвойс!G5</f>
        <v>ООО ТД «РЕСУРС»</v>
      </c>
      <c r="H5" s="145"/>
      <c r="I5" s="145"/>
      <c r="J5" s="145"/>
      <c r="K5" s="145"/>
      <c r="L5" s="145"/>
      <c r="M5" s="145"/>
    </row>
    <row r="6" spans="1:15" ht="13.8" x14ac:dyDescent="0.25">
      <c r="A6" s="141" t="str">
        <f>+Инвойс!A6</f>
        <v>Республика Узбекистан. Ташкентская область,</v>
      </c>
      <c r="B6" s="141"/>
      <c r="C6" s="141"/>
      <c r="D6" s="141"/>
      <c r="E6" s="141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Бекабадский район, МФЙ Найман, улица Мусаффо, дом 107</v>
      </c>
      <c r="B7" s="141"/>
      <c r="C7" s="141"/>
      <c r="D7" s="141"/>
      <c r="E7" s="141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“Узсаноаткурилиш” Банк операционный  МФО 00440</v>
      </c>
      <c r="B8" s="141"/>
      <c r="C8" s="141"/>
      <c r="D8" s="141"/>
      <c r="E8" s="141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Х/Р: 20208000005606798001 / Х/Р: 20208840605606798003</v>
      </c>
      <c r="B9" s="141"/>
      <c r="C9" s="141"/>
      <c r="D9" s="141"/>
      <c r="E9" s="141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Х/Р: 20208840605606798003</v>
      </c>
      <c r="B10" s="141"/>
      <c r="C10" s="141"/>
      <c r="D10" s="141"/>
      <c r="E10" s="141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309774620</v>
      </c>
      <c r="B11" s="141"/>
      <c r="C11" s="141"/>
      <c r="D11" s="141"/>
      <c r="E11" s="141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53"/>
      <c r="B12" s="153"/>
      <c r="C12" s="153"/>
      <c r="D12" s="153"/>
      <c r="E12" s="153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tr">
        <f>+Инвойс!A14</f>
        <v>OOO “BMB МAX”</v>
      </c>
      <c r="B14" s="152"/>
      <c r="C14" s="152"/>
      <c r="D14" s="152"/>
      <c r="E14" s="152"/>
      <c r="F14" s="6"/>
      <c r="G14" s="145" t="str">
        <f>+Инвойс!G14</f>
        <v>OOO «Западные ворота»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41" t="str">
        <f>+Инвойс!A15</f>
        <v>Республика Узбекистан. Ташкентская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Бекабадский район, МФЙ Найман, улица Мусаффо, дом 107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“Узсаноаткурилиш” Банк операционный  МФО 00440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Х/Р: 20208000005606798001 / Х/Р: 20208840605606798003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Х/Р: 20208840605606798003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309774620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116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10C960VA/102245BA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21500</v>
      </c>
      <c r="H30" s="106">
        <f>+Инвойс!H30</f>
        <v>19736</v>
      </c>
      <c r="I30" s="108">
        <f>+Инвойс!I30</f>
        <v>0.2</v>
      </c>
      <c r="J30" s="13">
        <f>+Инвойс!J30</f>
        <v>3947.2000000000003</v>
      </c>
      <c r="K30" s="12">
        <v>0</v>
      </c>
      <c r="L30" s="12">
        <v>0</v>
      </c>
      <c r="M30" s="13">
        <f>+Инвойс!M30</f>
        <v>3947.2000000000003</v>
      </c>
      <c r="O30" s="100"/>
      <c r="Q30" s="100"/>
    </row>
    <row r="31" spans="1:17" ht="26.4" customHeight="1" x14ac:dyDescent="0.25">
      <c r="A31" s="127">
        <f>+Инвойс!A31</f>
        <v>2</v>
      </c>
      <c r="B31" s="101" t="str">
        <f>+Инвойс!B31</f>
        <v>Тыква свежая</v>
      </c>
      <c r="C31" s="107" t="str">
        <f>+Инвойс!C31</f>
        <v>0709939005</v>
      </c>
      <c r="D31" s="115" t="str">
        <f>+Инвойс!D31</f>
        <v>Карт.Коробок</v>
      </c>
      <c r="E31" s="101">
        <f>+Инвойс!E31</f>
        <v>80</v>
      </c>
      <c r="F31" s="116" t="str">
        <f>+Инвойс!F31</f>
        <v>кг</v>
      </c>
      <c r="G31" s="106">
        <f>+Инвойс!G31</f>
        <v>1200</v>
      </c>
      <c r="H31" s="106">
        <f>+Инвойс!H31</f>
        <v>1056</v>
      </c>
      <c r="I31" s="108">
        <f>+Инвойс!I31</f>
        <v>0.2</v>
      </c>
      <c r="J31" s="13">
        <f>+Инвойс!J31</f>
        <v>211.20000000000002</v>
      </c>
      <c r="K31" s="12">
        <v>0</v>
      </c>
      <c r="L31" s="12">
        <v>0</v>
      </c>
      <c r="M31" s="13">
        <f>+Инвойс!M31</f>
        <v>211.20000000000002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1060</v>
      </c>
      <c r="F32" s="15"/>
      <c r="G32" s="64">
        <f>SUM(G30:G31)</f>
        <v>22700</v>
      </c>
      <c r="H32" s="64">
        <f>SUM(H30:H31)</f>
        <v>20792</v>
      </c>
      <c r="I32" s="102"/>
      <c r="J32" s="17">
        <f>SUM(J30:J31)</f>
        <v>4158.4000000000005</v>
      </c>
      <c r="K32" s="16"/>
      <c r="L32" s="16"/>
      <c r="M32" s="17">
        <f>SUM(M30:M31)</f>
        <v>4158.4000000000005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Четыре тысячи сто пятьдесят восемь долларов США, 40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5.6" x14ac:dyDescent="0.3">
      <c r="A37" s="7" t="s">
        <v>157</v>
      </c>
      <c r="B37" s="7"/>
      <c r="D37" s="25" t="str">
        <f>+Инвойс!D37</f>
        <v>Номуротов Ш.В</v>
      </c>
      <c r="E37" s="24"/>
      <c r="G37" s="129" t="s">
        <v>146</v>
      </c>
      <c r="H37" t="str">
        <f>Инвойс!G5</f>
        <v>ООО ТД «РЕСУРС»</v>
      </c>
      <c r="K37" s="130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1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6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6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Инвойс!M32</f>
        <v>4158.4000000000005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восемь долларов США, 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восемь долларов США, 40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восемь долларов США, 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восемь долларов США, 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4158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2025-08-24T08:17:45Z</cp:lastPrinted>
  <dcterms:created xsi:type="dcterms:W3CDTF">1996-10-14T23:33:28Z</dcterms:created>
  <dcterms:modified xsi:type="dcterms:W3CDTF">2025-08-24T08:17:52Z</dcterms:modified>
</cp:coreProperties>
</file>