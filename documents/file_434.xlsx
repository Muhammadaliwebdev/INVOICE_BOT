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6FEFB24-7AD4-40AA-BF0D-B1CCC25BA5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<sst xmlns="http://schemas.openxmlformats.org/spreadsheetml/2006/main" count="209" uniqueCount="162">
  <si>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</si>
  <si>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</si>
  <si>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</si>
  <si>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</si>
  <si>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</si>
  <si>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</si>
  <si>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</si>
  <si>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</si>
  <si>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</si>
  <si>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</si>
  <si>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</si>
  <si>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</si>
  <si>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</si>
  <si>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</si>
  <si>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</si>
  <si>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</si>
  <si>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</si>
  <si>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</si>
  <si>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</si>
  <si>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</si>
  <si>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</si>
  <si>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</si>
  <si>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</si>
  <si>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</si>
  <si>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</si>
  <si>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</si>
  <si>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</si>
  <si>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</si>
  <si>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</si>
  <si>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</si>
  <si>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</si>
  <si>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</si>
  <si>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</si>
  <si>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</si>
  <si>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</si>
  <si>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</si>
  <si>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</si>
  <si>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</si>
  <si>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</si>
  <si>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</si>
  <si>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</si>
  <si>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</si>
  <si>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</si>
  <si>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</si>
  <si>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</si>
  <si>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</si>
  <si>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</si>
  <si>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</si>
  <si>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</si>
  <si>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</si>
  <si>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</si>
  <si>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</si>
  <si>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</si>
  <si>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</si>
  <si>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</si>
  <si>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</si>
  <si>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</si>
  <si>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</si>
  <si>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</si>
  <si>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</si>
  <si>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</si>
  <si>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</si>
  <si>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</si>
  <si>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</si>
  <si>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</si>
  <si>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</si>
  <si>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</si>
  <si>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</si>
  <si>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</si>
  <si>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</si>
  <si>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</si>
  <si>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</si>
  <si>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</si>
  <si>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</si>
  <si>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</si>
  <si>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</si>
  <si>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</si>
  <si>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</si>
  <si>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</si>
  <si>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</si>
  <si>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</si>
  <si>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</si>
  <si>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</si>
  <si>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</si>
  <si>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</si>
  <si>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</si>
  <si>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</si>
  <si>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</si>
  <si>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</si>
  <si>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</si>
  <si>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</si>
  <si>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</si>
  <si>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</si>
  <si>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</si>
  <si>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</si>
  <si>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</si>
  <si>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</si>
  <si>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</si>
  <si>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</si>
  <si>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</si>
  <si>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</si>
  <si>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</si>
  <si>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</si>
  <si>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</si>
  <si>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</si>
  <si>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</si>
  <si>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</si>
  <si>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</si>
  <si>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</si>
  <si>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</si>
  <si>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</si>
  <si>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</si>
  <si>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</si>
  <si>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</si>
  <si>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</si>
  <si>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</si>
  <si>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</si>
  <si>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</si>
  <si>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</si>
  <si>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</si>
  <si>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</si>
  <si>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</si>
  <si>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</si>
  <si>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</si>
  <si>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</si>
  <si>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</si>
  <si>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</si>
  <si>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</si>
  <si>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</si>
  <si>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</si>
  <si>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</si>
  <si>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</si>
  <si>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</si>
  <si>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</si>
  <si>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</si>
  <si>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</si>
  <si>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</si>
  <si>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</si>
  <si>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</si>
  <si>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</si>
  <si>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</si>
  <si>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</si>
  <si>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</si>
  <si>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</si>
  <si>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</si>
  <si>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</si>
  <si>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</si>
  <si>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</si>
  <si>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</si>
  <si>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</si>
  <si>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</si>
  <si>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</si>
  <si>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</si>
  <si>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</si>
  <si>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</si>
  <si>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 xml:space="preserve"> 05.09.2025г.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</si>
  <si>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</si>
  <si>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</si>
  <si>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</si>
  <si>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PLG-F-1 от </t>
  </si>
  <si>
    <t>30582DBA/309289AA</t>
  </si>
  <si>
    <t xml:space="preserve">СПЕЦИФИКАЦИЯ № PLG-F-1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</si>
</sst>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155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143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144</v>
      </c>
      <c r="B5" s="155"/>
      <c r="C5" s="155"/>
      <c r="D5" s="155"/>
      <c r="E5" s="155"/>
      <c r="F5" s="6"/>
      <c r="G5" s="148" t="s">
        <v>135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3" t="s">
        <v>145</v>
      </c>
      <c r="B6" s="142"/>
      <c r="C6" s="142"/>
      <c r="D6" s="142"/>
      <c r="E6" s="142"/>
      <c r="F6" s="7"/>
      <c r="G6" s="141" t="s">
        <v>136</v>
      </c>
      <c r="H6" s="141"/>
      <c r="I6" s="141"/>
      <c r="J6" s="141"/>
      <c r="K6" s="141"/>
      <c r="L6" s="141"/>
      <c r="M6" s="141"/>
      <c r="N6" s="4"/>
    </row>
    <row r="7" spans="1:15" ht="13.8" x14ac:dyDescent="0.25">
      <c r="A7" s="142" t="s">
        <v>146</v>
      </c>
      <c r="B7" s="142"/>
      <c r="C7" s="142"/>
      <c r="D7" s="142"/>
      <c r="E7" s="142"/>
      <c r="F7" s="63"/>
      <c r="G7" s="141" t="s">
        <v>137</v>
      </c>
      <c r="H7" s="141"/>
      <c r="I7" s="141"/>
      <c r="J7" s="141"/>
      <c r="K7" s="141"/>
      <c r="L7" s="141"/>
      <c r="M7" s="141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148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149</v>
      </c>
      <c r="B10" s="125"/>
      <c r="C10" s="125"/>
      <c r="D10" s="125"/>
      <c r="E10" s="125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150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4" t="s">
        <v>141</v>
      </c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144</v>
      </c>
      <c r="B14" s="155"/>
      <c r="C14" s="155"/>
      <c r="D14" s="155"/>
      <c r="E14" s="155"/>
      <c r="F14" s="6"/>
      <c r="G14" s="148" t="s">
        <v>135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">
        <v>145</v>
      </c>
      <c r="B15" s="142"/>
      <c r="C15" s="142"/>
      <c r="D15" s="142"/>
      <c r="E15" s="142"/>
      <c r="F15" s="7"/>
      <c r="G15" s="141" t="s">
        <v>136</v>
      </c>
      <c r="H15" s="141"/>
      <c r="I15" s="141"/>
      <c r="J15" s="141"/>
      <c r="K15" s="141"/>
      <c r="L15" s="141"/>
      <c r="M15" s="141"/>
    </row>
    <row r="16" spans="1:15" ht="13.8" x14ac:dyDescent="0.25">
      <c r="A16" s="142" t="s">
        <v>146</v>
      </c>
      <c r="B16" s="142"/>
      <c r="C16" s="142"/>
      <c r="D16" s="142"/>
      <c r="E16" s="142"/>
      <c r="F16" s="63"/>
      <c r="G16" s="141" t="s">
        <v>137</v>
      </c>
      <c r="H16" s="141"/>
      <c r="I16" s="141"/>
      <c r="J16" s="141"/>
      <c r="K16" s="141"/>
      <c r="L16" s="141"/>
      <c r="M16" s="141"/>
    </row>
    <row r="17" spans="1:17" ht="15" customHeight="1" x14ac:dyDescent="0.25">
      <c r="A17" s="8" t="s">
        <v>147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148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149</v>
      </c>
      <c r="B19" s="125"/>
      <c r="C19" s="125"/>
      <c r="D19" s="125"/>
      <c r="E19" s="125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150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4" t="s">
        <v>141</v>
      </c>
      <c r="H21" s="144"/>
      <c r="I21" s="144"/>
      <c r="J21" s="144"/>
      <c r="K21" s="144"/>
      <c r="L21" s="144"/>
      <c r="M21" s="144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117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157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">
        <v>160</v>
      </c>
      <c r="F26" s="140"/>
      <c r="G26" s="14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112</v>
      </c>
      <c r="E30" s="101">
        <v>1000</v>
      </c>
      <c r="F30" s="110" t="s">
        <v>27</v>
      </c>
      <c r="G30" s="106">
        <v>23400</v>
      </c>
      <c r="H30" s="106">
        <v>21600</v>
      </c>
      <c r="I30" s="108">
        <v>0.25</v>
      </c>
      <c r="J30" s="13">
        <f t="shared" ref="J30" si="0">H30*I30</f>
        <v>5400</v>
      </c>
      <c r="K30" s="12">
        <v>0</v>
      </c>
      <c r="L30" s="12">
        <v>0</v>
      </c>
      <c r="M30" s="13">
        <f t="shared" ref="M30" si="1">J30</f>
        <v>5400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23400</v>
      </c>
      <c r="H31" s="64">
        <f>SUM(H30:H30)</f>
        <v>21600</v>
      </c>
      <c r="I31" s="102"/>
      <c r="J31" s="17">
        <f>SUM(J30:J30)</f>
        <v>5400</v>
      </c>
      <c r="K31" s="16"/>
      <c r="L31" s="16"/>
      <c r="M31" s="17">
        <f>SUM(M30:M30)</f>
        <v>5400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четыреста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151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24" sqref="B24:D24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05.09.2025г.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PLG-F-1 от  05.09.2025г.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23400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"Уралкомплект" 10412130 - т/п Оренбургский
460027, Оренбургская обл., г. Оренбург, ул. Донгузская, д. 62А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05.09.2025г.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30582DBA/309289AA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8" zoomScaleNormal="100" workbookViewId="0">
      <selection activeCell="I29" sqref="I2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 t="str">
        <f>+Инвойс!E26</f>
        <v>30582DBA/309289AA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05.09.2025г.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PLG-F-1 от  05.09.2025г.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3" t="str">
        <f>+CMR!F30</f>
        <v>Дыни свежие</v>
      </c>
      <c r="H18" s="163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23400</v>
      </c>
    </row>
    <row r="20" spans="2:10" ht="13.5" customHeight="1" x14ac:dyDescent="0.3">
      <c r="B20" s="83"/>
      <c r="E20" s="123"/>
      <c r="F20" s="118"/>
      <c r="G20" s="163"/>
      <c r="H20" s="163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3"/>
      <c r="H22" s="163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3"/>
      <c r="H24" s="163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3"/>
      <c r="H26" s="163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3"/>
      <c r="H28" s="163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3"/>
      <c r="H30" s="163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3"/>
      <c r="H32" s="163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3"/>
      <c r="H34" s="163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3"/>
      <c r="H36" s="163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3"/>
      <c r="H38" s="163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3"/>
      <c r="H40" s="163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3"/>
      <c r="H42" s="163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5"/>
      <c r="H44" s="165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1000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55" zoomScaleNormal="5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161</v>
      </c>
      <c r="C1" s="172"/>
      <c r="D1" s="172"/>
      <c r="E1" s="172"/>
      <c r="F1" s="153" t="str">
        <f>+Инвойс!F1</f>
        <v xml:space="preserve"> 05.09.2025г.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GR-POL-01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«POLARIUM»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3" t="str">
        <f>+Инвойс!A6</f>
        <v>Республика Узбекистан. Ташкентская область, Бекабадский район,</v>
      </c>
      <c r="B6" s="143"/>
      <c r="C6" s="143"/>
      <c r="D6" s="143"/>
      <c r="E6" s="143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3" t="str">
        <f>+Инвойс!A7</f>
        <v>махалля Зафар, Гулистан МФЙ, улица Мустакиллик, дом 1</v>
      </c>
      <c r="B7" s="143"/>
      <c r="C7" s="143"/>
      <c r="D7" s="143"/>
      <c r="E7" s="143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3" t="str">
        <f>+Инвойс!A8</f>
        <v>в АКБ «TURON BANK» МФО 00446</v>
      </c>
      <c r="B8" s="143"/>
      <c r="C8" s="143"/>
      <c r="D8" s="143"/>
      <c r="E8" s="143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3" t="str">
        <f>+Инвойс!A9</f>
        <v>в/с: 20208840907287520001 (доллар США)</v>
      </c>
      <c r="B9" s="143"/>
      <c r="C9" s="143"/>
      <c r="D9" s="143"/>
      <c r="E9" s="143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3" t="str">
        <f>+Инвойс!A10</f>
        <v>SWIFT: TURONUZ22</v>
      </c>
      <c r="B10" s="143"/>
      <c r="C10" s="143"/>
      <c r="D10" s="143"/>
      <c r="E10" s="143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3" t="str">
        <f>+Инвойс!A11</f>
        <v>ИНН: 312302455</v>
      </c>
      <c r="B11" s="143"/>
      <c r="C11" s="143"/>
      <c r="D11" s="143"/>
      <c r="E11" s="143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4"/>
      <c r="B12" s="144"/>
      <c r="C12" s="144"/>
      <c r="D12" s="144"/>
      <c r="E12" s="144"/>
      <c r="F12" s="7"/>
      <c r="G12" s="144"/>
      <c r="H12" s="144"/>
      <c r="I12" s="144"/>
      <c r="J12" s="144"/>
      <c r="K12" s="144"/>
      <c r="L12" s="144"/>
      <c r="M12" s="144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«POLARIUM»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3" t="str">
        <f>+Инвойс!A15</f>
        <v>Республика Узбекистан. Ташкентская область, Бекабадский район,</v>
      </c>
      <c r="B15" s="143"/>
      <c r="C15" s="143"/>
      <c r="D15" s="143"/>
      <c r="E15" s="143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3" t="str">
        <f>+Инвойс!A16</f>
        <v>махалля Зафар, Гулистан МФЙ, улица Мустакиллик, дом 1</v>
      </c>
      <c r="B16" s="143"/>
      <c r="C16" s="143"/>
      <c r="D16" s="143"/>
      <c r="E16" s="143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3" t="str">
        <f>+Инвойс!A17</f>
        <v>в АКБ «TURON BANK» МФО 00446</v>
      </c>
      <c r="B17" s="143"/>
      <c r="C17" s="143"/>
      <c r="D17" s="143"/>
      <c r="E17" s="143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3" t="str">
        <f>+Инвойс!A18</f>
        <v>в/с: 20208840907287520001 (доллар США)</v>
      </c>
      <c r="B18" s="143"/>
      <c r="C18" s="143"/>
      <c r="D18" s="143"/>
      <c r="E18" s="143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3" t="str">
        <f>+Инвойс!A19</f>
        <v>SWIFT: TURONUZ22</v>
      </c>
      <c r="B19" s="143"/>
      <c r="C19" s="143"/>
      <c r="D19" s="143"/>
      <c r="E19" s="143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3" t="str">
        <f>+Инвойс!A20</f>
        <v>ИНН: 312302455</v>
      </c>
      <c r="B20" s="143"/>
      <c r="C20" s="143"/>
      <c r="D20" s="143"/>
      <c r="E20" s="143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3"/>
      <c r="B21" s="143"/>
      <c r="C21" s="143"/>
      <c r="D21" s="143"/>
      <c r="E21" s="143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9" t="str">
        <f>+Инвойс!E26</f>
        <v>30582DBA/309289AA</v>
      </c>
      <c r="F26" s="140"/>
      <c r="G26" s="14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23400</v>
      </c>
      <c r="H30" s="106">
        <f>+Инвойс!H30</f>
        <v>21600</v>
      </c>
      <c r="I30" s="108">
        <f>+Инвойс!I30</f>
        <v>0.25</v>
      </c>
      <c r="J30" s="13">
        <f>+Инвойс!J30</f>
        <v>5400</v>
      </c>
      <c r="K30" s="12">
        <v>0</v>
      </c>
      <c r="L30" s="12">
        <v>0</v>
      </c>
      <c r="M30" s="13">
        <f>+Инвойс!M30</f>
        <v>5400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1000</v>
      </c>
      <c r="F31" s="15"/>
      <c r="G31" s="64">
        <f>SUM(G30:G30)</f>
        <v>23400</v>
      </c>
      <c r="H31" s="64">
        <f>SUM(H30:H30)</f>
        <v>21600</v>
      </c>
      <c r="I31" s="102"/>
      <c r="J31" s="17">
        <f>SUM(J30:J30)</f>
        <v>5400</v>
      </c>
      <c r="K31" s="16"/>
      <c r="L31" s="16"/>
      <c r="M31" s="17">
        <f>SUM(M30:M30)</f>
        <v>5400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Пять тысяч четыреста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1" t="s">
        <v>152</v>
      </c>
      <c r="B36" s="131"/>
      <c r="D36" s="18" t="str">
        <f>+Инвойс!D36</f>
        <v>Юнусов Х.Р</v>
      </c>
      <c r="E36" s="132"/>
      <c r="G36" s="129" t="s">
        <v>128</v>
      </c>
      <c r="H36" s="18" t="str">
        <f>Инвойс!G5</f>
        <v>ООО «ГРИН ВОРЛД»</v>
      </c>
      <c r="K36" s="133" t="s">
        <v>142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154</v>
      </c>
    </row>
    <row r="6" spans="1:10" x14ac:dyDescent="0.25">
      <c r="E6" s="18" t="s">
        <v>156</v>
      </c>
      <c r="J6" s="25" t="s">
        <v>130</v>
      </c>
    </row>
    <row r="7" spans="1:10" ht="52.8" x14ac:dyDescent="0.25">
      <c r="A7" s="126" t="s">
        <v>117</v>
      </c>
    </row>
    <row r="8" spans="1:10" x14ac:dyDescent="0.25">
      <c r="E8" s="18" t="s">
        <v>157</v>
      </c>
      <c r="J8" s="25" t="s">
        <v>131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157</v>
      </c>
      <c r="J10" s="25" t="s">
        <v>132</v>
      </c>
    </row>
    <row r="11" spans="1:10" ht="52.8" x14ac:dyDescent="0.25">
      <c r="A11" s="126" t="s">
        <v>153</v>
      </c>
    </row>
    <row r="12" spans="1:10" x14ac:dyDescent="0.25">
      <c r="E12" s="18" t="s">
        <v>158</v>
      </c>
      <c r="J12" s="25" t="s">
        <v>133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5400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четыреста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45905</v>
      </c>
      <c r="O3" s="178"/>
      <c r="P3">
        <f ca="1">DAY(N3)</f>
        <v>5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четыреста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5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четыреста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четыреста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четыреста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45905</v>
      </c>
    </row>
    <row r="13" spans="1:19" s="43" customFormat="1" x14ac:dyDescent="0.25">
      <c r="A13" s="49"/>
      <c r="D13" s="51"/>
      <c r="E13" s="52">
        <f>TRUNC(E2)</f>
        <v>5400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54</v>
      </c>
      <c r="B27" s="47">
        <f>TRUNC(RIGHT(A27))</f>
        <v>4</v>
      </c>
      <c r="C27" s="51">
        <f>B27</f>
        <v>4</v>
      </c>
      <c r="E27" s="55" t="str">
        <f>IF(B27=1,E43,IF(B27=2,G35,IF(B27=3,G36,IF(B27=4,G37,IF(B27=5,G38,IF(B27=6,G39,IF(B27=7,G40,IF(B27=8,G41,G42))))))))</f>
        <v xml:space="preserve">четыреста </v>
      </c>
    </row>
    <row r="28" spans="1:9" s="43" customFormat="1" x14ac:dyDescent="0.25">
      <c r="A28" s="54">
        <f>TRUNC(A29/10)</f>
        <v>540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5400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400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2025-09-05T12:44:25Z</cp:lastPrinted>
  <dcterms:created xsi:type="dcterms:W3CDTF">1996-10-14T23:33:28Z</dcterms:created>
  <dcterms:modified xsi:type="dcterms:W3CDTF">2025-09-05T12:44:32Z</dcterms:modified>
</cp:coreProperties>
</file>