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74E6816-78E2-42FB-94F7-D750F67792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<sst xmlns="http://schemas.openxmlformats.org/spreadsheetml/2006/main" count="209" uniqueCount="163">
  <si>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</si>
  <si>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</si>
  <si>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</si>
  <si>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</si>
  <si>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</si>
  <si>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</si>
  <si>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</si>
  <si>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</si>
  <si>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</si>
  <si>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</si>
  <si>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</si>
  <si>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</si>
  <si>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</si>
  <si>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</si>
  <si>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</si>
  <si>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</si>
  <si>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</si>
  <si>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</si>
  <si>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</si>
  <si>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</si>
  <si>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</si>
  <si>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</si>
  <si>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</si>
  <si>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</si>
  <si>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</si>
  <si>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</si>
  <si>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</si>
  <si>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</si>
  <si>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</si>
  <si>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</si>
  <si>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</si>
  <si>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</si>
  <si>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</si>
  <si>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</si>
  <si>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</si>
  <si>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</si>
  <si>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</si>
  <si>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</si>
  <si>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</si>
  <si>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</si>
  <si>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</si>
  <si>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</si>
  <si>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</si>
  <si>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</si>
  <si>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</si>
  <si>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</si>
  <si>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</si>
  <si>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</si>
  <si>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</si>
  <si>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</si>
  <si>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</si>
  <si>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</si>
  <si>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</si>
  <si>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</si>
  <si>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</si>
  <si>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</si>
  <si>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</si>
  <si>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</si>
  <si>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</si>
  <si>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</si>
  <si>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</si>
  <si>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</si>
  <si>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</si>
  <si>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</si>
  <si>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</si>
  <si>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</si>
  <si>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</si>
  <si>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</si>
  <si>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</si>
  <si>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</si>
  <si>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</si>
  <si>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</si>
  <si>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</si>
  <si>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</si>
  <si>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</si>
  <si>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</si>
  <si>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</si>
  <si>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</si>
  <si>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</si>
  <si>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</si>
  <si>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</si>
  <si>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</si>
  <si>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</si>
  <si>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</si>
  <si>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</si>
  <si>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</si>
  <si>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</si>
  <si>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</si>
  <si>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</si>
  <si>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</si>
  <si>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</si>
  <si>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</si>
  <si>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</si>
  <si>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</si>
  <si>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</si>
  <si>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</si>
  <si>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</si>
  <si>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</si>
  <si>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</si>
  <si>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</si>
  <si>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</si>
  <si>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</si>
  <si>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</si>
  <si>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</si>
  <si>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</si>
  <si>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</si>
  <si>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</si>
  <si>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</si>
  <si>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</si>
  <si>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</si>
  <si>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</si>
  <si>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</si>
  <si>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</si>
  <si>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</si>
  <si>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</si>
  <si>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</si>
  <si>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</si>
  <si>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</si>
  <si>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</si>
  <si>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</si>
  <si>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</si>
  <si>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</si>
  <si>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</si>
  <si>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</si>
  <si>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</si>
  <si>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</si>
  <si>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</si>
  <si>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</si>
  <si>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</si>
  <si>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</si>
  <si>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</si>
  <si>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</si>
  <si>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</si>
  <si>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</si>
  <si>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</si>
  <si>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</si>
  <si>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</si>
  <si>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</si>
  <si>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</si>
  <si>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</si>
  <si>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</si>
  <si>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</si>
  <si>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</si>
  <si>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</si>
  <si>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</si>
  <si>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</si>
  <si>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</si>
  <si>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</si>
  <si>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</si>
  <si>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</si>
  <si>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</si>
  <si>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</si>
  <si>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</si>
  <si>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</si>
  <si>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</si>
  <si>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</si>
  <si>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</si>
  <si>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</si>
  <si>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</si>
  <si>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ИНВОЙС № PLG-A-41 от </t>
  </si>
  <si>
    <t xml:space="preserve"> 31.08.2025г.</t>
  </si>
  <si>
    <t>40S931SA/405357BA</t>
  </si>
  <si>
    <t xml:space="preserve">СПЕЦИФИКАЦИЯ № PLG-A-41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</si>
</sst>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149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150</v>
      </c>
      <c r="B5" s="155"/>
      <c r="C5" s="155"/>
      <c r="D5" s="155"/>
      <c r="E5" s="155"/>
      <c r="F5" s="6"/>
      <c r="G5" s="148" t="s">
        <v>140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151</v>
      </c>
      <c r="B6" s="142"/>
      <c r="C6" s="142"/>
      <c r="D6" s="142"/>
      <c r="E6" s="142"/>
      <c r="F6" s="7"/>
      <c r="G6" s="141" t="s">
        <v>141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152</v>
      </c>
      <c r="B7" s="142"/>
      <c r="C7" s="142"/>
      <c r="D7" s="142"/>
      <c r="E7" s="142"/>
      <c r="F7" s="63"/>
      <c r="G7" s="141" t="s">
        <v>142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155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4" t="s">
        <v>146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150</v>
      </c>
      <c r="B14" s="155"/>
      <c r="C14" s="155"/>
      <c r="D14" s="155"/>
      <c r="E14" s="155"/>
      <c r="F14" s="6"/>
      <c r="G14" s="148" t="s">
        <v>140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151</v>
      </c>
      <c r="B15" s="142"/>
      <c r="C15" s="142"/>
      <c r="D15" s="142"/>
      <c r="E15" s="142"/>
      <c r="F15" s="7"/>
      <c r="G15" s="141" t="s">
        <v>141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152</v>
      </c>
      <c r="B16" s="142"/>
      <c r="C16" s="142"/>
      <c r="D16" s="142"/>
      <c r="E16" s="142"/>
      <c r="F16" s="63"/>
      <c r="G16" s="141" t="s">
        <v>142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155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4" t="s">
        <v>146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128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920</v>
      </c>
      <c r="F30" s="110" t="s">
        <v>27</v>
      </c>
      <c r="G30" s="106">
        <v>22500</v>
      </c>
      <c r="H30" s="106">
        <v>20844</v>
      </c>
      <c r="I30" s="108">
        <v>0.25</v>
      </c>
      <c r="J30" s="13">
        <f t="shared" ref="J30" si="0">H30*I30</f>
        <v>5211</v>
      </c>
      <c r="K30" s="12">
        <v>0</v>
      </c>
      <c r="L30" s="12">
        <v>0</v>
      </c>
      <c r="M30" s="13">
        <f t="shared" ref="M30" si="1">J30</f>
        <v>5211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920</v>
      </c>
      <c r="F31" s="15"/>
      <c r="G31" s="64">
        <f>SUM(G30:G30)</f>
        <v>22500</v>
      </c>
      <c r="H31" s="64">
        <f>SUM(H30:H30)</f>
        <v>20844</v>
      </c>
      <c r="I31" s="102"/>
      <c r="J31" s="17">
        <f>SUM(J30:J30)</f>
        <v>5211</v>
      </c>
      <c r="K31" s="16"/>
      <c r="L31" s="16"/>
      <c r="M31" s="17">
        <f>SUM(M30:M30)</f>
        <v>5211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двести одиннадцать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J46" sqref="J46:J4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PLG-A-41 от  31.08.2025г.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31.08.2025г.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40S931SA/405357BA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5" zoomScaleNormal="100" workbookViewId="0">
      <selection activeCell="I26" sqref="I26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40S931SA/405357BA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31.08.2025г.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PLG-A-41 от  31.08.2025г.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920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22500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920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53" t="str">
        <f>+Инвойс!F1</f>
        <v xml:space="preserve"> 31.08.2025г.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GR-POL-01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ООО «POLARIUM»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>Республика Узбекистан. Ташкентская область, Бекабадский район,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махалля Зафар, Гулистан МФЙ, улица Мустакиллик, дом 1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 «TURON BANK» МФО 00446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в/с: 20208840907287520001 (доллар США)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SWIFT: TURONUZ22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ИНН: 312302455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ООО «POLARIUM»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>Республика Узбекистан. Ташкентская область, Бекабадский район,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махалля Зафар, Гулистан МФЙ, улица Мустакиллик, дом 1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 «TURON BANK» МФО 00446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в/с: 20208840907287520001 (доллар США)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SWIFT: TURONUZ22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ИНН: 312302455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40S931SA/405357BA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8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920</v>
      </c>
      <c r="F30" s="116" t="str">
        <f>+Инвойс!F30</f>
        <v>кг</v>
      </c>
      <c r="G30" s="106">
        <f>+Инвойс!G30</f>
        <v>22500</v>
      </c>
      <c r="H30" s="106">
        <f>+Инвойс!H30</f>
        <v>20844</v>
      </c>
      <c r="I30" s="108">
        <f>+Инвойс!I30</f>
        <v>0.25</v>
      </c>
      <c r="J30" s="13">
        <f>+Инвойс!J30</f>
        <v>5211</v>
      </c>
      <c r="K30" s="12">
        <v>0</v>
      </c>
      <c r="L30" s="12">
        <v>0</v>
      </c>
      <c r="M30" s="13">
        <f>+Инвойс!M30</f>
        <v>5211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920</v>
      </c>
      <c r="F31" s="15"/>
      <c r="G31" s="64">
        <f>SUM(G30:G30)</f>
        <v>22500</v>
      </c>
      <c r="H31" s="64">
        <f>SUM(H30:H30)</f>
        <v>20844</v>
      </c>
      <c r="I31" s="102"/>
      <c r="J31" s="17">
        <f>SUM(J30:J30)</f>
        <v>5211</v>
      </c>
      <c r="K31" s="16"/>
      <c r="L31" s="16"/>
      <c r="M31" s="17">
        <f>SUM(M30:M30)</f>
        <v>5211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двести одиннадцать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Юнусов Х.Р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148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5211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одиннадцать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45900</v>
      </c>
      <c r="O3" s="178"/>
      <c r="P3">
        <f ca="1">DAY(N3)</f>
        <v>31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одиннадцать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31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одиннадцать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одиннадцать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одиннадцать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45900</v>
      </c>
    </row>
    <row r="13" spans="1:19" s="43" customFormat="1" x14ac:dyDescent="0.25">
      <c r="A13" s="49"/>
      <c r="D13" s="51"/>
      <c r="E13" s="52">
        <f>TRUNC(E2)</f>
        <v>5211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5211</v>
      </c>
      <c r="B29" s="47">
        <f>TRUNC(RIGHT(A29))</f>
        <v>1</v>
      </c>
      <c r="C29" s="51">
        <f>IF(B28=1,B29+10,IF(B29=0,0,B29))</f>
        <v>11</v>
      </c>
      <c r="D29" s="43" t="str">
        <f>IF(AND(C29&gt;9,C29&lt;16),IF(C29=10,D34,IF(C29=11,D35,IF(C29=12,D36,IF(C29=13,D37,IF(C29=14,D38,IF(C29=15,D39,)))))),"")</f>
        <v xml:space="preserve">одиннадцать </v>
      </c>
      <c r="E29" s="56" t="str">
        <f>IF(B29=1,A34,IF(B29=2,A35,IF(B29=3,A36,IF(B29=4,A37,IF(B29=5,A38,IF(B29=6,A39,IF(B29=7,A40,IF(B29=8,A41,A42))))))))</f>
        <v xml:space="preserve">один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211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2025-08-31T06:38:17Z</cp:lastPrinted>
  <dcterms:created xsi:type="dcterms:W3CDTF">1996-10-14T23:33:28Z</dcterms:created>
  <dcterms:modified xsi:type="dcterms:W3CDTF">2025-08-31T06:38:27Z</dcterms:modified>
</cp:coreProperties>
</file>