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M31" i="2" s="1"/>
  <c r="E30" i="2"/>
  <c r="J30" i="2" l="1"/>
  <c r="M30" i="2" s="1"/>
  <c r="G4" i="7"/>
  <c r="A4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<sst xmlns="http://schemas.openxmlformats.org/spreadsheetml/2006/main" count="212" uniqueCount="162">
  <si>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</si>
  <si>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</si>
  <si>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</si>
  <si>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</si>
  <si>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</si>
  <si>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</si>
  <si>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</si>
  <si>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</si>
  <si>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</si>
  <si>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</si>
  <si>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</si>
  <si>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</si>
  <si>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</si>
  <si>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</si>
  <si>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</si>
  <si>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</si>
  <si>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</si>
  <si>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</si>
  <si>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</si>
  <si>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</si>
  <si>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</si>
  <si>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</si>
  <si>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</si>
  <si>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</si>
  <si>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</si>
  <si>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</si>
  <si>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</si>
  <si>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</si>
  <si>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</si>
  <si>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</si>
  <si>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</si>
  <si>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</si>
  <si>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</si>
  <si>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</si>
  <si>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</si>
  <si>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</si>
  <si>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</si>
  <si>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</si>
  <si>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</si>
  <si>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</si>
  <si>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</si>
  <si>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</si>
  <si>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</si>
  <si>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</si>
  <si>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</si>
  <si>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</si>
  <si>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</si>
  <si>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</si>
  <si>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</si>
  <si>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</si>
  <si>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</si>
  <si>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</si>
  <si>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</si>
  <si>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</si>
  <si>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</si>
  <si>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</si>
  <si>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</si>
  <si>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</si>
  <si>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</si>
  <si>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</si>
  <si>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</si>
  <si>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</si>
  <si>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</si>
  <si>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</si>
  <si>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</si>
  <si>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</si>
  <si>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</si>
  <si>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</si>
  <si>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</si>
  <si>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</si>
  <si>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</si>
  <si>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</si>
  <si>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</si>
  <si>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</si>
  <si>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</si>
  <si>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</si>
  <si>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</si>
  <si>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</si>
  <si>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</si>
  <si>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</si>
  <si>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</si>
  <si>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</si>
  <si>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</si>
  <si>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</si>
  <si>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</si>
  <si>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</si>
  <si>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</si>
  <si>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</si>
  <si>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</si>
  <si>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</si>
  <si>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</si>
  <si>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</si>
  <si>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</si>
  <si>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</si>
  <si>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</si>
  <si>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</si>
  <si>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</si>
  <si>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</si>
  <si>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</si>
  <si>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</si>
  <si>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</si>
  <si>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</si>
  <si>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</si>
  <si>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</si>
  <si>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</si>
  <si>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</si>
  <si>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</si>
  <si>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</si>
  <si>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</si>
  <si>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</si>
  <si>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</si>
  <si>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</si>
  <si>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</si>
  <si>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</si>
  <si>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</si>
  <si>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</si>
  <si>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</si>
  <si>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</si>
  <si>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</si>
  <si>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</si>
  <si>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</si>
  <si>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</si>
  <si>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</si>
  <si>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</si>
  <si>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</si>
  <si>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</si>
  <si>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</si>
  <si>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</si>
  <si>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</si>
  <si>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</si>
  <si>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</si>
  <si>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</si>
  <si>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</si>
  <si>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</si>
  <si>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</si>
  <si>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</si>
  <si>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</si>
  <si>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</si>
  <si>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</si>
  <si>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</si>
  <si>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</si>
  <si>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</si>
  <si>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</si>
  <si>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</si>
  <si>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</si>
  <si>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</si>
  <si>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</si>
  <si>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</si>
  <si>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</si>
  <si>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</si>
  <si>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</si>
  <si>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</si>
  <si>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</si>
  <si>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</si>
  <si>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</si>
  <si>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</si>
  <si>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</si>
  <si>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</si>
  <si>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</si>
  <si>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EXG-F-62 от </t>
  </si>
  <si>
    <t xml:space="preserve">СПЕЦИФИКАЦИЯ № EXG-F-62 от </t>
  </si>
  <si>
    <t>75K252XA/758687AA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</si>
</sst>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37</xdr:row>
      <xdr:rowOff>57978</xdr:rowOff>
    </xdr:from>
    <xdr:to>
      <xdr:col>11</xdr:col>
      <xdr:colOff>123265</xdr:colOff>
      <xdr:row>50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37</xdr:row>
      <xdr:rowOff>56029</xdr:rowOff>
    </xdr:from>
    <xdr:to>
      <xdr:col>12</xdr:col>
      <xdr:colOff>381000</xdr:colOff>
      <xdr:row>39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159</v>
      </c>
      <c r="D1" s="154"/>
      <c r="E1" s="154"/>
      <c r="F1" s="153" t="s">
        <v>157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">
        <v>139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155</v>
      </c>
      <c r="B4" s="146"/>
      <c r="C4" s="146"/>
      <c r="D4" s="146"/>
      <c r="E4" s="146"/>
      <c r="G4" s="146" t="s">
        <v>156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140</v>
      </c>
      <c r="B5" s="155"/>
      <c r="C5" s="155"/>
      <c r="D5" s="155"/>
      <c r="E5" s="155"/>
      <c r="F5" s="6"/>
      <c r="G5" s="148" t="s">
        <v>131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141</v>
      </c>
      <c r="B6" s="142"/>
      <c r="C6" s="142"/>
      <c r="D6" s="142"/>
      <c r="E6" s="142"/>
      <c r="F6" s="7"/>
      <c r="G6" s="141" t="s">
        <v>132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142</v>
      </c>
      <c r="B7" s="142"/>
      <c r="C7" s="142"/>
      <c r="D7" s="142"/>
      <c r="E7" s="142"/>
      <c r="F7" s="63"/>
      <c r="G7" s="141" t="s">
        <v>133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143</v>
      </c>
      <c r="B8" s="8"/>
      <c r="C8" s="8"/>
      <c r="D8" s="8"/>
      <c r="E8" s="8"/>
      <c r="F8" s="63"/>
      <c r="G8" s="7" t="s">
        <v>134</v>
      </c>
      <c r="H8" s="23"/>
      <c r="I8" s="23"/>
      <c r="J8" s="23"/>
      <c r="K8" s="23"/>
      <c r="L8" s="23"/>
      <c r="M8" s="23"/>
    </row>
    <row r="9" spans="1:15" ht="15" x14ac:dyDescent="0.25">
      <c r="A9" s="8" t="s">
        <v>144</v>
      </c>
      <c r="B9" s="8"/>
      <c r="C9" s="8"/>
      <c r="D9" s="8"/>
      <c r="E9" s="8"/>
      <c r="F9" s="7"/>
      <c r="G9" s="7" t="s">
        <v>135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145</v>
      </c>
      <c r="B10" s="125"/>
      <c r="C10" s="125"/>
      <c r="D10" s="125"/>
      <c r="E10" s="125"/>
      <c r="F10" s="7"/>
      <c r="G10" s="7" t="s">
        <v>130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147</v>
      </c>
      <c r="B12" s="8"/>
      <c r="C12" s="8"/>
      <c r="D12" s="8"/>
      <c r="E12" s="8"/>
      <c r="F12" s="7"/>
      <c r="G12" s="144" t="s">
        <v>137</v>
      </c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">
        <v>140</v>
      </c>
      <c r="B14" s="155"/>
      <c r="C14" s="155"/>
      <c r="D14" s="155"/>
      <c r="E14" s="155"/>
      <c r="F14" s="6"/>
      <c r="G14" s="148" t="s">
        <v>131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132</v>
      </c>
      <c r="H15" s="141"/>
      <c r="I15" s="141"/>
      <c r="J15" s="141"/>
      <c r="K15" s="141"/>
      <c r="L15" s="141"/>
      <c r="M15" s="141"/>
    </row>
    <row r="16" spans="1:15" ht="15" hidden="1" x14ac:dyDescent="0.25">
      <c r="A16" s="142" t="s">
        <v>142</v>
      </c>
      <c r="B16" s="142"/>
      <c r="C16" s="142"/>
      <c r="D16" s="142"/>
      <c r="E16" s="142"/>
      <c r="F16" s="63"/>
      <c r="G16" s="141" t="s">
        <v>133</v>
      </c>
      <c r="H16" s="141"/>
      <c r="I16" s="141"/>
      <c r="J16" s="141"/>
      <c r="K16" s="141"/>
      <c r="L16" s="141"/>
      <c r="M16" s="141"/>
    </row>
    <row r="17" spans="1:17" ht="15" hidden="1" customHeight="1" x14ac:dyDescent="0.25">
      <c r="A17" s="8" t="s">
        <v>143</v>
      </c>
      <c r="B17" s="8"/>
      <c r="C17" s="8"/>
      <c r="D17" s="8"/>
      <c r="E17" s="8"/>
      <c r="F17" s="63"/>
      <c r="G17" s="7" t="s">
        <v>134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144</v>
      </c>
      <c r="B18" s="8"/>
      <c r="C18" s="8"/>
      <c r="D18" s="8"/>
      <c r="E18" s="8"/>
      <c r="F18" s="7"/>
      <c r="G18" s="7" t="s">
        <v>135</v>
      </c>
      <c r="H18" s="23"/>
      <c r="I18" s="23"/>
      <c r="J18" s="23"/>
      <c r="K18" s="23"/>
      <c r="L18" s="23"/>
      <c r="M18" s="23"/>
    </row>
    <row r="19" spans="1:17" ht="15" hidden="1" x14ac:dyDescent="0.25">
      <c r="A19" s="125" t="s">
        <v>145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146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147</v>
      </c>
      <c r="B21" s="8"/>
      <c r="C21" s="8"/>
      <c r="D21" s="8"/>
      <c r="E21" s="8"/>
      <c r="G21" s="144" t="s">
        <v>137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38" t="s">
        <v>150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20</v>
      </c>
      <c r="C24" s="18" t="s">
        <v>153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107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120</v>
      </c>
      <c r="C30" s="107" t="s">
        <v>119</v>
      </c>
      <c r="D30" s="109" t="s">
        <v>108</v>
      </c>
      <c r="E30" s="101">
        <f>1000+1570</f>
        <v>2570</v>
      </c>
      <c r="F30" s="110" t="s">
        <v>25</v>
      </c>
      <c r="G30" s="106">
        <v>20149</v>
      </c>
      <c r="H30" s="106">
        <v>18350</v>
      </c>
      <c r="I30" s="108">
        <v>1.2</v>
      </c>
      <c r="J30" s="13">
        <f t="shared" ref="J30:J31" si="0">H30*I30</f>
        <v>22020</v>
      </c>
      <c r="K30" s="12">
        <v>0</v>
      </c>
      <c r="L30" s="12">
        <v>0</v>
      </c>
      <c r="M30" s="13">
        <f t="shared" ref="M30:M31" si="1">J30</f>
        <v>22020</v>
      </c>
      <c r="O30" s="100"/>
      <c r="Q30" s="100"/>
    </row>
    <row r="31" spans="1:17" ht="30" x14ac:dyDescent="0.2">
      <c r="A31" s="127">
        <v>2</v>
      </c>
      <c r="B31" s="101" t="s">
        <v>120</v>
      </c>
      <c r="C31" s="107" t="s">
        <v>119</v>
      </c>
      <c r="D31" s="109" t="s">
        <v>109</v>
      </c>
      <c r="E31" s="101">
        <v>350</v>
      </c>
      <c r="F31" s="110" t="s">
        <v>25</v>
      </c>
      <c r="G31" s="106">
        <v>2800</v>
      </c>
      <c r="H31" s="106">
        <v>2310</v>
      </c>
      <c r="I31" s="108">
        <v>1.2</v>
      </c>
      <c r="J31" s="13">
        <f t="shared" si="0"/>
        <v>2772</v>
      </c>
      <c r="K31" s="12">
        <v>0</v>
      </c>
      <c r="L31" s="12">
        <v>0</v>
      </c>
      <c r="M31" s="13">
        <f t="shared" si="1"/>
        <v>2772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2920</v>
      </c>
      <c r="F32" s="15"/>
      <c r="G32" s="64">
        <f>SUM(G30:G31)</f>
        <v>22949</v>
      </c>
      <c r="H32" s="64">
        <f>SUM(H30:H31)</f>
        <v>20660</v>
      </c>
      <c r="I32" s="102"/>
      <c r="J32" s="17">
        <f>SUM(J30:J31)</f>
        <v>24792</v>
      </c>
      <c r="K32" s="16"/>
      <c r="L32" s="16"/>
      <c r="M32" s="17">
        <f>SUM(M30:M31)</f>
        <v>24792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четыре тысячи семьсот девяносто два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106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26</v>
      </c>
      <c r="B37" s="7"/>
      <c r="D37" s="25" t="s">
        <v>148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27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61" t="s">
        <v>158</v>
      </c>
      <c r="C13" s="162"/>
      <c r="D13" s="162"/>
      <c r="E13" s="162"/>
      <c r="F13" s="162"/>
      <c r="G13" s="162"/>
      <c r="H13" s="162"/>
      <c r="I13" s="162"/>
      <c r="J13" s="113"/>
      <c r="K13" s="113"/>
    </row>
    <row r="14" spans="1:11" ht="11.25" customHeight="1" x14ac:dyDescent="0.2">
      <c r="A14" s="70" t="s">
        <v>89</v>
      </c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20.2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90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EXG-F-62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104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2570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20149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350</v>
      </c>
      <c r="D31" s="103" t="str">
        <f>+Инвойс!D31</f>
        <v>Дер.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2800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75K252XA/758687AA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70" t="s">
        <v>94</v>
      </c>
      <c r="C2" s="17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71" t="str">
        <f>+Инвойс!E26</f>
        <v>75K252XA/758687AA</v>
      </c>
      <c r="C14" s="171"/>
      <c r="D14" s="171"/>
      <c r="E14" s="171"/>
      <c r="F14" s="171"/>
      <c r="G14" s="171"/>
      <c r="H14" s="172" t="s">
        <v>105</v>
      </c>
      <c r="I14" s="172"/>
      <c r="J14" s="88" t="str">
        <f>+Инвойс!F1</f>
        <v xml:space="preserve"> 10.09.2025г.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73" t="str">
        <f>+CMR!B24</f>
        <v>ИНВОЙС № EXG-F-62 от  10.09.2025г.</v>
      </c>
      <c r="I15" s="173"/>
      <c r="J15" s="173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7"/>
      <c r="F18" s="118">
        <f>+Инвойс!E30</f>
        <v>2570</v>
      </c>
      <c r="G18" s="165" t="str">
        <f>+CMR!F30</f>
        <v>Виноград свежий столовых сортов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3" t="str">
        <f>+Инвойс!C30</f>
        <v>0806101001</v>
      </c>
      <c r="H19" s="164"/>
      <c r="I19" s="122" t="s">
        <v>101</v>
      </c>
      <c r="J19" s="120">
        <f>+Инвойс!G30</f>
        <v>20149</v>
      </c>
    </row>
    <row r="20" spans="2:10" ht="13.5" customHeight="1" x14ac:dyDescent="0.25">
      <c r="B20" s="83"/>
      <c r="E20" s="123"/>
      <c r="F20" s="118">
        <f>+Инвойс!E31</f>
        <v>350</v>
      </c>
      <c r="G20" s="165" t="str">
        <f>+CMR!F31</f>
        <v>Виноград свежий столовых сортов</v>
      </c>
      <c r="H20" s="165"/>
      <c r="I20" s="119"/>
      <c r="J20" s="120"/>
    </row>
    <row r="21" spans="2:10" ht="13.5" customHeight="1" x14ac:dyDescent="0.25">
      <c r="B21" s="83" t="s">
        <v>102</v>
      </c>
      <c r="E21" s="123"/>
      <c r="F21" s="121" t="str">
        <f>+Инвойс!D31</f>
        <v>Дер. ящик</v>
      </c>
      <c r="G21" s="163" t="str">
        <f>+Инвойс!C31</f>
        <v>0806101001</v>
      </c>
      <c r="H21" s="164"/>
      <c r="I21" s="122" t="s">
        <v>101</v>
      </c>
      <c r="J21" s="120">
        <f>+Инвойс!G31</f>
        <v>2800</v>
      </c>
    </row>
    <row r="22" spans="2:10" ht="12.75" customHeight="1" x14ac:dyDescent="0.25">
      <c r="B22" s="83"/>
      <c r="E22" s="123"/>
      <c r="F22" s="118"/>
      <c r="G22" s="165"/>
      <c r="H22" s="165"/>
      <c r="I22" s="119"/>
      <c r="J22" s="120"/>
    </row>
    <row r="23" spans="2:10" ht="14.25" customHeight="1" x14ac:dyDescent="0.25">
      <c r="B23" s="83"/>
      <c r="E23" s="123"/>
      <c r="F23" s="121"/>
      <c r="G23" s="163"/>
      <c r="H23" s="164"/>
      <c r="I23" s="122"/>
      <c r="J23" s="120"/>
    </row>
    <row r="24" spans="2:10" ht="12.75" customHeight="1" x14ac:dyDescent="0.25">
      <c r="B24" s="87"/>
      <c r="E24" s="123"/>
      <c r="F24" s="118"/>
      <c r="G24" s="165"/>
      <c r="H24" s="165"/>
      <c r="I24" s="119"/>
      <c r="J24" s="120"/>
    </row>
    <row r="25" spans="2:10" ht="12.75" customHeight="1" x14ac:dyDescent="0.25">
      <c r="B25" s="87"/>
      <c r="E25" s="123"/>
      <c r="F25" s="121"/>
      <c r="G25" s="163"/>
      <c r="H25" s="164"/>
      <c r="I25" s="122"/>
      <c r="J25" s="120"/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2920</v>
      </c>
      <c r="E47" s="169"/>
    </row>
    <row r="48" spans="2:10" ht="17.25" customHeight="1" x14ac:dyDescent="0.25">
      <c r="B48" s="166" t="s">
        <v>103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160</v>
      </c>
      <c r="C1" s="174"/>
      <c r="D1" s="174"/>
      <c r="E1" s="174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tr">
        <f>+Инвойс!A4</f>
        <v xml:space="preserve">Продавец/Грузоотправитель:  </v>
      </c>
      <c r="B4" s="146"/>
      <c r="C4" s="146"/>
      <c r="D4" s="146"/>
      <c r="E4" s="146"/>
      <c r="G4" s="146" t="str">
        <f>+Инвойс!G4</f>
        <v xml:space="preserve">Покупатель/Грузополучатель: 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5" t="str">
        <f>+Инвойс!G6</f>
        <v xml:space="preserve">454106, ЧЕЛЯБИНСКАЯ ОБЛАСТЬ, Г ЧЕЛЯБИНСК, </v>
      </c>
      <c r="H6" s="175"/>
      <c r="I6" s="175"/>
      <c r="J6" s="175"/>
      <c r="K6" s="175"/>
      <c r="L6" s="175"/>
      <c r="M6" s="175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5" t="str">
        <f>+Инвойс!G7</f>
        <v>УЛ ОСТРОВСКОГО, Д. 36, КВ. 176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5" t="str">
        <f>+Инвойс!G8</f>
        <v>ИНН/ КПП 7448223299 / 744801001</v>
      </c>
      <c r="H8" s="175"/>
      <c r="I8" s="175"/>
      <c r="J8" s="175"/>
      <c r="K8" s="175"/>
      <c r="L8" s="175"/>
      <c r="M8" s="175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5" t="str">
        <f>+Инвойс!G9</f>
        <v>р/с 40702810000000024357</v>
      </c>
      <c r="H9" s="175"/>
      <c r="I9" s="175"/>
      <c r="J9" s="175"/>
      <c r="K9" s="175"/>
      <c r="L9" s="175"/>
      <c r="M9" s="175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5" t="str">
        <f>+Инвойс!G10</f>
        <v>Корр. счет: 30101810445250000234</v>
      </c>
      <c r="H10" s="175"/>
      <c r="I10" s="175"/>
      <c r="J10" s="175"/>
      <c r="K10" s="175"/>
      <c r="L10" s="175"/>
      <c r="M10" s="175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5" t="str">
        <f>+Инвойс!G11</f>
        <v>Азия-Инвест Банк (АО) г. Москва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5" t="str">
        <f>+Инвойс!G15</f>
        <v xml:space="preserve">454106, ЧЕЛЯБИНСКАЯ ОБЛАСТЬ, Г ЧЕЛЯБИНСК, </v>
      </c>
      <c r="H15" s="175"/>
      <c r="I15" s="175"/>
      <c r="J15" s="175"/>
      <c r="K15" s="175"/>
      <c r="L15" s="175"/>
      <c r="M15" s="175"/>
    </row>
    <row r="16" spans="1:15" ht="15" hidden="1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5" t="str">
        <f>+Инвойс!G16</f>
        <v>УЛ ОСТРОВСКОГО, Д. 36, КВ. 176</v>
      </c>
      <c r="H16" s="175"/>
      <c r="I16" s="175"/>
      <c r="J16" s="175"/>
      <c r="K16" s="175"/>
      <c r="L16" s="175"/>
      <c r="M16" s="175"/>
    </row>
    <row r="17" spans="1:17" ht="15" hidden="1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5" t="str">
        <f>+Инвойс!G17</f>
        <v>ИНН/ КПП 7448223299 / 744801001</v>
      </c>
      <c r="H17" s="175"/>
      <c r="I17" s="175"/>
      <c r="J17" s="175"/>
      <c r="K17" s="175"/>
      <c r="L17" s="175"/>
      <c r="M17" s="175"/>
    </row>
    <row r="18" spans="1:17" ht="15" hidden="1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5" t="str">
        <f>+Инвойс!G18</f>
        <v>р/с 40702810000000024357</v>
      </c>
      <c r="H18" s="175"/>
      <c r="I18" s="175"/>
      <c r="J18" s="175"/>
      <c r="K18" s="175"/>
      <c r="L18" s="175"/>
      <c r="M18" s="175"/>
    </row>
    <row r="19" spans="1:17" ht="15" hidden="1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5" t="str">
        <f>+Инвойс!G19</f>
        <v>Корр. счет: 30101810445250000234</v>
      </c>
      <c r="H19" s="175"/>
      <c r="I19" s="175"/>
      <c r="J19" s="175"/>
      <c r="K19" s="175"/>
      <c r="L19" s="175"/>
      <c r="M19" s="175"/>
    </row>
    <row r="20" spans="1:17" ht="15" hidden="1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5" t="str">
        <f>+Инвойс!G20</f>
        <v>Азия-Инвест Банк (АО) г. Москва</v>
      </c>
      <c r="H20" s="175"/>
      <c r="I20" s="175"/>
      <c r="J20" s="175"/>
      <c r="K20" s="175"/>
      <c r="L20" s="175"/>
      <c r="M20" s="175"/>
    </row>
    <row r="21" spans="1:17" ht="15" hidden="1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85</v>
      </c>
      <c r="B23" s="68"/>
      <c r="C23" s="176" t="s">
        <v>112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tr">
        <f>+Инвойс!E26</f>
        <v>75K252XA/758687AA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2570</v>
      </c>
      <c r="F30" s="116" t="str">
        <f>+Инвойс!F30</f>
        <v>кг</v>
      </c>
      <c r="G30" s="106">
        <f>+Инвойс!G30</f>
        <v>20149</v>
      </c>
      <c r="H30" s="106">
        <f>+Инвойс!H30</f>
        <v>18350</v>
      </c>
      <c r="I30" s="108">
        <f>+Инвойс!I30</f>
        <v>1.2</v>
      </c>
      <c r="J30" s="13">
        <f>+Инвойс!J30</f>
        <v>22020</v>
      </c>
      <c r="K30" s="12">
        <v>0</v>
      </c>
      <c r="L30" s="12">
        <v>0</v>
      </c>
      <c r="M30" s="13">
        <f>+Инвойс!M30</f>
        <v>22020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Дер. ящик</v>
      </c>
      <c r="E31" s="101">
        <f>+Инвойс!E31</f>
        <v>350</v>
      </c>
      <c r="F31" s="116" t="str">
        <f>+Инвойс!F31</f>
        <v>кг</v>
      </c>
      <c r="G31" s="106">
        <f>+Инвойс!G31</f>
        <v>2800</v>
      </c>
      <c r="H31" s="106">
        <f>+Инвойс!H31</f>
        <v>2310</v>
      </c>
      <c r="I31" s="108">
        <f>+Инвойс!I31</f>
        <v>1.2</v>
      </c>
      <c r="J31" s="13">
        <f>+Инвойс!J31</f>
        <v>2772</v>
      </c>
      <c r="K31" s="12">
        <v>0</v>
      </c>
      <c r="L31" s="12">
        <v>0</v>
      </c>
      <c r="M31" s="13">
        <f>+Инвойс!M31</f>
        <v>2772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2920</v>
      </c>
      <c r="F32" s="15"/>
      <c r="G32" s="64">
        <f>SUM(G30:G31)</f>
        <v>22949</v>
      </c>
      <c r="H32" s="64">
        <f>SUM(H30:H31)</f>
        <v>20660</v>
      </c>
      <c r="I32" s="102"/>
      <c r="J32" s="17">
        <f>SUM(J30:J31)</f>
        <v>24792</v>
      </c>
      <c r="K32" s="16"/>
      <c r="L32" s="16"/>
      <c r="M32" s="17">
        <f>SUM(M30:M31)</f>
        <v>24792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четыре тысячи семьсот девяносто два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149</v>
      </c>
      <c r="B37" s="131"/>
      <c r="D37" s="18" t="str">
        <f>+Инвойс!D37</f>
        <v>АБДИЛАКИМОВ А.А</v>
      </c>
      <c r="E37" s="132"/>
      <c r="G37" s="129" t="s">
        <v>125</v>
      </c>
      <c r="H37" s="18" t="str">
        <f>Инвойс!G5</f>
        <v>ООО «ГРИН ВОРЛД»</v>
      </c>
      <c r="K37" s="133" t="s">
        <v>138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113</v>
      </c>
    </row>
    <row r="3" spans="1:10" ht="51" x14ac:dyDescent="0.2">
      <c r="A3" s="130" t="s">
        <v>124</v>
      </c>
    </row>
    <row r="5" spans="1:10" ht="89.25" x14ac:dyDescent="0.2">
      <c r="A5" s="126" t="s">
        <v>151</v>
      </c>
    </row>
    <row r="6" spans="1:10" x14ac:dyDescent="0.2">
      <c r="E6" s="18" t="s">
        <v>152</v>
      </c>
      <c r="J6" s="25" t="s">
        <v>126</v>
      </c>
    </row>
    <row r="7" spans="1:10" ht="51" x14ac:dyDescent="0.2">
      <c r="A7" s="126" t="s">
        <v>114</v>
      </c>
    </row>
    <row r="8" spans="1:10" x14ac:dyDescent="0.2">
      <c r="E8" s="18" t="s">
        <v>153</v>
      </c>
      <c r="J8" s="25" t="s">
        <v>127</v>
      </c>
    </row>
    <row r="9" spans="1:10" ht="51" x14ac:dyDescent="0.2">
      <c r="A9" s="126" t="s">
        <v>115</v>
      </c>
    </row>
    <row r="10" spans="1:10" x14ac:dyDescent="0.2">
      <c r="A10" s="126"/>
      <c r="E10" s="18" t="s">
        <v>153</v>
      </c>
      <c r="J10" s="25" t="s">
        <v>128</v>
      </c>
    </row>
    <row r="11" spans="1:10" ht="51" x14ac:dyDescent="0.2">
      <c r="A11" s="126" t="s">
        <v>150</v>
      </c>
    </row>
    <row r="12" spans="1:10" x14ac:dyDescent="0.2">
      <c r="E12" s="18" t="s">
        <v>154</v>
      </c>
      <c r="J12" s="25" t="s">
        <v>129</v>
      </c>
    </row>
    <row r="13" spans="1:10" ht="51" x14ac:dyDescent="0.2">
      <c r="A13" s="126" t="s">
        <v>116</v>
      </c>
    </row>
    <row r="15" spans="1:10" ht="38.25" x14ac:dyDescent="0.2">
      <c r="A15" s="126" t="s">
        <v>117</v>
      </c>
    </row>
    <row r="17" spans="1:1" ht="38.25" x14ac:dyDescent="0.2">
      <c r="A17" s="126" t="s">
        <v>118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9" t="s">
        <v>30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75" x14ac:dyDescent="0.25">
      <c r="E2" s="27">
        <f>Инвойс!M32</f>
        <v>24792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Двадцать четыре тысячи семьсот девяносто два доллара США,00 центов.</v>
      </c>
      <c r="E3" s="31"/>
      <c r="H3" s="32"/>
      <c r="J3" s="32"/>
      <c r="K3" s="32"/>
      <c r="L3" s="32"/>
      <c r="M3" s="33" t="s">
        <v>32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Двадцать четыре тысячи семьсот девяносто два доллара США,00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двадцать четыре тысячи семьсот девяносто два доллара США,00 центов.</v>
      </c>
    </row>
    <row r="6" spans="1:19" s="36" customFormat="1" x14ac:dyDescent="0.2">
      <c r="A6" s="38" t="s">
        <v>35</v>
      </c>
      <c r="B6" s="36" t="str">
        <f>CONCATENATE(A8,A9,A10,A11,A12,B8,B9,C9)</f>
        <v>двадцать четыре тысячи семьсот девяносто два доллара США,00 центов. (в т.ч. НДС - 357,79)</v>
      </c>
      <c r="C6"/>
      <c r="D6"/>
      <c r="E6"/>
      <c r="H6" s="39"/>
    </row>
    <row r="7" spans="1:19" x14ac:dyDescent="0.2">
      <c r="D7" s="33"/>
      <c r="H7" s="182" t="s">
        <v>36</v>
      </c>
      <c r="I7" s="182"/>
      <c r="J7" s="18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семьсот девяносто два доллара США,</v>
      </c>
      <c r="D11" s="47"/>
      <c r="E11" s="48"/>
      <c r="H11" s="182"/>
      <c r="I11" s="182"/>
      <c r="J11" s="18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24792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247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">
      <c r="A28" s="54">
        <f>TRUNC(A29/10)</f>
        <v>2479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24792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3" t="s">
        <v>79</v>
      </c>
      <c r="B44" s="183"/>
      <c r="C44" s="183"/>
      <c r="D44" s="183"/>
      <c r="E44" s="183"/>
      <c r="F44" s="183"/>
      <c r="G44" s="183"/>
      <c r="H44" s="183"/>
      <c r="I44" s="183"/>
      <c r="J44" s="178" t="s">
        <v>80</v>
      </c>
      <c r="K44" s="178"/>
    </row>
    <row r="45" spans="1:11" s="43" customFormat="1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">
      <c r="B46" s="61"/>
      <c r="C46" s="61"/>
      <c r="G46" s="177" t="s">
        <v>81</v>
      </c>
      <c r="H46" s="177"/>
      <c r="I46" s="177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8" t="s">
        <v>83</v>
      </c>
      <c r="B100" s="178"/>
      <c r="C100" s="178"/>
      <c r="D100" s="178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2025-09-10T18:18:49Z</cp:lastPrinted>
  <dcterms:created xsi:type="dcterms:W3CDTF">1996-10-14T23:33:28Z</dcterms:created>
  <dcterms:modified xsi:type="dcterms:W3CDTF">2025-09-10T18:18:52Z</dcterms:modified>
</cp:coreProperties>
</file>