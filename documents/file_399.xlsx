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490E18C2-D6FB-4D86-AFFF-05B06D8E9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A37" i="7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<sst xmlns="http://schemas.openxmlformats.org/spreadsheetml/2006/main" count="208" uniqueCount="171">
  <si>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</si>
  <si>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</si>
  <si>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</si>
  <si>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</si>
  <si>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</si>
  <si>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</si>
  <si>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</si>
  <si>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</si>
  <si>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</si>
  <si>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</si>
  <si>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</si>
  <si>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</si>
  <si>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</si>
  <si>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</si>
  <si>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</si>
  <si>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</si>
  <si>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</si>
  <si>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</si>
  <si>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</si>
  <si>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</si>
  <si>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</si>
  <si>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</si>
  <si>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</si>
  <si>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</si>
  <si>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</si>
  <si>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</si>
  <si>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</si>
  <si>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</si>
  <si>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</si>
  <si>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</si>
  <si>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</si>
  <si>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</si>
  <si>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</si>
  <si>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</si>
  <si>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</si>
  <si>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</si>
  <si>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</si>
  <si>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</si>
  <si>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</si>
  <si>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</si>
  <si>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</si>
  <si>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</si>
  <si>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</si>
  <si>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</si>
  <si>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</si>
  <si>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</si>
  <si>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</si>
  <si>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</si>
  <si>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</si>
  <si>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</si>
  <si>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</si>
  <si>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</si>
  <si>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</si>
  <si>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</si>
  <si>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</si>
  <si>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</si>
  <si>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</si>
  <si>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</si>
  <si>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</si>
  <si>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</si>
  <si>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</si>
  <si>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</si>
  <si>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</si>
  <si>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</si>
  <si>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</si>
  <si>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</si>
  <si>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</si>
  <si>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</si>
  <si>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</si>
  <si>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</si>
  <si>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</si>
  <si>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</si>
  <si>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</si>
  <si>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</si>
  <si>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</si>
  <si>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</si>
  <si>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</si>
  <si>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</si>
  <si>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</si>
  <si>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</si>
  <si>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</si>
  <si>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</si>
  <si>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</si>
  <si>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</si>
  <si>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</si>
  <si>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</si>
  <si>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</si>
  <si>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</si>
  <si>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</si>
  <si>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</si>
  <si>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</si>
  <si>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</si>
  <si>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</si>
  <si>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</si>
  <si>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</si>
  <si>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</si>
  <si>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</si>
  <si>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</si>
  <si>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</si>
  <si>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</si>
  <si>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</si>
  <si>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</si>
  <si>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</si>
  <si>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</si>
  <si>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</si>
  <si>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</si>
  <si>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</si>
  <si>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</si>
  <si>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</si>
  <si>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</si>
  <si>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</si>
  <si>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</si>
  <si>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</si>
  <si>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</si>
  <si>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</si>
  <si>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</si>
  <si>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</si>
  <si>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</si>
  <si>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</si>
  <si>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</si>
  <si>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</si>
  <si>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</si>
  <si>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</si>
  <si>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</si>
  <si>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</si>
  <si>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</si>
  <si>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</si>
  <si>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</si>
  <si>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</si>
  <si>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</si>
  <si>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</si>
  <si>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</si>
  <si>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</si>
  <si>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</si>
  <si>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</si>
  <si>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</si>
  <si>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</si>
  <si>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</si>
  <si>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</si>
  <si>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</si>
  <si>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</si>
  <si>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</si>
  <si>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</si>
  <si>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</si>
  <si>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</si>
  <si>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</si>
  <si>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</si>
  <si>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</si>
  <si>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</si>
  <si>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</si>
  <si>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</si>
  <si>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</si>
  <si>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</si>
  <si>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</si>
  <si>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По поручению</t>
  </si>
  <si>
    <t xml:space="preserve">Директор:  </t>
  </si>
  <si>
    <t>Трунтаев Д.В.</t>
  </si>
  <si>
    <t>к контракту № EX2708 от 27.08.2025 года</t>
  </si>
  <si>
    <t>ООО “MAROQAND MEVA-SABZAVOT”</t>
  </si>
  <si>
    <t>Республика Узбекистан, Самаркандская область,</t>
  </si>
  <si>
    <t>Джамбайский район, село Хитойбола.</t>
  </si>
  <si>
    <t>ИНН: 304970319</t>
  </si>
  <si>
    <t>р/с: 2020 8840 0007 8502 3005 (доллар США)</t>
  </si>
  <si>
    <t>в АО «KDB Bank Uzbekistan»</t>
  </si>
  <si>
    <t>МФО 00842 СВИФТ: KODBUZ22</t>
  </si>
  <si>
    <t>Турсунов И.Ж</t>
  </si>
  <si>
    <t xml:space="preserve">ИНВОЙС № MVS-N-6 от </t>
  </si>
  <si>
    <t xml:space="preserve"> 03.09.2025г.</t>
  </si>
  <si>
    <t xml:space="preserve">СПЕЦИФИКАЦИЯ № MVS-N-6 от </t>
  </si>
  <si>
    <t>75A409KA/757363AA</t>
  </si>
  <si>
    <t>FCA-Ташкент, Республика Узбекистан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</si>
</sst>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5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22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1156814</xdr:colOff>
      <xdr:row>37</xdr:row>
      <xdr:rowOff>147081</xdr:rowOff>
    </xdr:from>
    <xdr:to>
      <xdr:col>3</xdr:col>
      <xdr:colOff>696879</xdr:colOff>
      <xdr:row>52</xdr:row>
      <xdr:rowOff>122716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D988D2-E408-4880-BF46-C3700AA8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199571">
          <a:off x="1460102" y="20541057"/>
          <a:ext cx="2463341" cy="2352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37</xdr:row>
      <xdr:rowOff>112060</xdr:rowOff>
    </xdr:from>
    <xdr:to>
      <xdr:col>12</xdr:col>
      <xdr:colOff>243163</xdr:colOff>
      <xdr:row>51</xdr:row>
      <xdr:rowOff>112059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D7031E-5E83-A292-9C23-8EBEBE0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118" y="19330148"/>
          <a:ext cx="2573986" cy="2330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691212</xdr:colOff>
      <xdr:row>38</xdr:row>
      <xdr:rowOff>53133</xdr:rowOff>
    </xdr:from>
    <xdr:to>
      <xdr:col>3</xdr:col>
      <xdr:colOff>163009</xdr:colOff>
      <xdr:row>52</xdr:row>
      <xdr:rowOff>156658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9EBC637-0AA9-4271-8307-1BA1DC50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941991">
          <a:off x="974063" y="19609496"/>
          <a:ext cx="2471168" cy="230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6" t="s">
        <v>166</v>
      </c>
      <c r="D1" s="156"/>
      <c r="E1" s="156"/>
      <c r="F1" s="155" t="s">
        <v>167</v>
      </c>
      <c r="G1" s="155"/>
      <c r="H1" s="15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8" t="s">
        <v>157</v>
      </c>
      <c r="D2" s="158"/>
      <c r="E2" s="158"/>
      <c r="F2" s="158"/>
      <c r="G2" s="158"/>
      <c r="H2" s="158"/>
      <c r="I2" s="15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8" t="s">
        <v>19</v>
      </c>
      <c r="B4" s="148"/>
      <c r="C4" s="148"/>
      <c r="D4" s="148"/>
      <c r="E4" s="148"/>
      <c r="G4" s="148" t="s">
        <v>20</v>
      </c>
      <c r="H4" s="148"/>
      <c r="I4" s="148"/>
      <c r="J4" s="148"/>
      <c r="K4" s="148"/>
      <c r="L4" s="148"/>
      <c r="M4" s="148"/>
    </row>
    <row r="5" spans="1:15" ht="14.25" customHeight="1" x14ac:dyDescent="0.25">
      <c r="A5" s="157" t="s">
        <v>158</v>
      </c>
      <c r="B5" s="157"/>
      <c r="C5" s="157"/>
      <c r="D5" s="157"/>
      <c r="E5" s="157"/>
      <c r="F5" s="6"/>
      <c r="G5" s="150" t="s">
        <v>139</v>
      </c>
      <c r="H5" s="150"/>
      <c r="I5" s="150"/>
      <c r="J5" s="150"/>
      <c r="K5" s="150"/>
      <c r="L5" s="150"/>
      <c r="M5" s="150"/>
    </row>
    <row r="6" spans="1:15" ht="13.8" x14ac:dyDescent="0.25">
      <c r="A6" s="145" t="s">
        <v>159</v>
      </c>
      <c r="B6" s="144"/>
      <c r="C6" s="144"/>
      <c r="D6" s="144"/>
      <c r="E6" s="144"/>
      <c r="F6" s="7"/>
      <c r="G6" s="143" t="s">
        <v>140</v>
      </c>
      <c r="H6" s="143"/>
      <c r="I6" s="143"/>
      <c r="J6" s="143"/>
      <c r="K6" s="143"/>
      <c r="L6" s="143"/>
      <c r="M6" s="143"/>
      <c r="N6" s="4"/>
    </row>
    <row r="7" spans="1:15" ht="13.8" x14ac:dyDescent="0.25">
      <c r="A7" s="144" t="s">
        <v>160</v>
      </c>
      <c r="B7" s="144"/>
      <c r="C7" s="144"/>
      <c r="D7" s="144"/>
      <c r="E7" s="144"/>
      <c r="F7" s="63"/>
      <c r="G7" s="143" t="s">
        <v>141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163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164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6"/>
      <c r="H12" s="146"/>
      <c r="I12" s="146"/>
      <c r="J12" s="146"/>
      <c r="K12" s="146"/>
      <c r="L12" s="146"/>
      <c r="M12" s="146"/>
    </row>
    <row r="13" spans="1:15" ht="24" customHeight="1" x14ac:dyDescent="0.35">
      <c r="A13" s="148" t="s">
        <v>31</v>
      </c>
      <c r="B13" s="148"/>
      <c r="C13" s="148"/>
      <c r="D13" s="148"/>
      <c r="E13" s="148"/>
      <c r="G13" s="148" t="s">
        <v>21</v>
      </c>
      <c r="H13" s="149"/>
      <c r="I13" s="149"/>
      <c r="J13" s="149"/>
      <c r="K13" s="149"/>
      <c r="L13" s="149"/>
      <c r="M13" s="149"/>
    </row>
    <row r="14" spans="1:15" ht="14.25" customHeight="1" x14ac:dyDescent="0.25">
      <c r="A14" s="157" t="s">
        <v>158</v>
      </c>
      <c r="B14" s="157"/>
      <c r="C14" s="157"/>
      <c r="D14" s="157"/>
      <c r="E14" s="157"/>
      <c r="F14" s="6"/>
      <c r="G14" s="150" t="s">
        <v>146</v>
      </c>
      <c r="H14" s="150"/>
      <c r="I14" s="150"/>
      <c r="J14" s="150"/>
      <c r="K14" s="150"/>
      <c r="L14" s="150"/>
      <c r="M14" s="150"/>
    </row>
    <row r="15" spans="1:15" ht="13.95" customHeight="1" x14ac:dyDescent="0.25">
      <c r="A15" s="145" t="s">
        <v>159</v>
      </c>
      <c r="B15" s="144"/>
      <c r="C15" s="144"/>
      <c r="D15" s="144"/>
      <c r="E15" s="144"/>
      <c r="F15" s="7"/>
      <c r="G15" s="143" t="s">
        <v>147</v>
      </c>
      <c r="H15" s="144"/>
      <c r="I15" s="144"/>
      <c r="J15" s="144"/>
      <c r="K15" s="144"/>
      <c r="L15" s="144"/>
      <c r="M15" s="144"/>
    </row>
    <row r="16" spans="1:15" ht="13.8" x14ac:dyDescent="0.25">
      <c r="A16" s="144" t="s">
        <v>160</v>
      </c>
      <c r="B16" s="144"/>
      <c r="C16" s="144"/>
      <c r="D16" s="144"/>
      <c r="E16" s="144"/>
      <c r="F16" s="63"/>
      <c r="G16" s="143" t="s">
        <v>148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149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162</v>
      </c>
      <c r="B18" s="8"/>
      <c r="C18" s="8"/>
      <c r="D18" s="8"/>
      <c r="E18" s="8"/>
      <c r="F18" s="7"/>
      <c r="G18" s="8" t="s">
        <v>150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163</v>
      </c>
      <c r="B19" s="125"/>
      <c r="C19" s="125"/>
      <c r="D19" s="125"/>
      <c r="E19" s="125"/>
      <c r="F19" s="7"/>
      <c r="G19" s="7" t="s">
        <v>151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164</v>
      </c>
      <c r="B20" s="8"/>
      <c r="C20" s="8"/>
      <c r="D20" s="8"/>
      <c r="E20" s="8"/>
      <c r="F20" s="7"/>
      <c r="G20" s="7" t="s">
        <v>152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146"/>
      <c r="H21" s="146"/>
      <c r="I21" s="146"/>
      <c r="J21" s="146"/>
      <c r="K21" s="146"/>
      <c r="L21" s="146"/>
      <c r="M21" s="146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3" t="s">
        <v>128</v>
      </c>
      <c r="D23" s="183"/>
      <c r="E23" s="183"/>
      <c r="F23" s="183"/>
      <c r="G23" s="183"/>
      <c r="H23" s="183"/>
      <c r="I23" s="183"/>
      <c r="J23" s="183"/>
      <c r="K23" s="183"/>
      <c r="L23" s="183"/>
      <c r="M23" s="183"/>
    </row>
    <row r="24" spans="1:17" ht="15.6" x14ac:dyDescent="0.3">
      <c r="A24" s="20" t="s">
        <v>22</v>
      </c>
      <c r="C24" s="184" t="s">
        <v>170</v>
      </c>
      <c r="D24" s="184"/>
      <c r="E24" s="184"/>
      <c r="F24" s="184"/>
      <c r="G24" s="18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">
        <v>169</v>
      </c>
      <c r="F26" s="142"/>
      <c r="G26" s="142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27.6" x14ac:dyDescent="0.25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2500</v>
      </c>
      <c r="F30" s="110" t="s">
        <v>27</v>
      </c>
      <c r="G30" s="106">
        <v>22700</v>
      </c>
      <c r="H30" s="106">
        <v>20950</v>
      </c>
      <c r="I30" s="108">
        <v>1</v>
      </c>
      <c r="J30" s="13">
        <f t="shared" ref="J30" si="0">H30*I30</f>
        <v>20950</v>
      </c>
      <c r="K30" s="12">
        <v>0</v>
      </c>
      <c r="L30" s="12">
        <v>0</v>
      </c>
      <c r="M30" s="13">
        <f t="shared" ref="M30" si="1">J30</f>
        <v>20950</v>
      </c>
      <c r="O30" s="100"/>
      <c r="Q30" s="100"/>
    </row>
    <row r="31" spans="1:17" ht="13.8" x14ac:dyDescent="0.25">
      <c r="A31" s="153" t="s">
        <v>0</v>
      </c>
      <c r="B31" s="154"/>
      <c r="C31" s="14"/>
      <c r="D31" s="15"/>
      <c r="E31" s="64">
        <f>SUM(E30:E30)</f>
        <v>2500</v>
      </c>
      <c r="F31" s="15"/>
      <c r="G31" s="64">
        <f>SUM(G30:G30)</f>
        <v>22700</v>
      </c>
      <c r="H31" s="64">
        <f>SUM(H30:H30)</f>
        <v>20950</v>
      </c>
      <c r="I31" s="102"/>
      <c r="J31" s="17">
        <f>SUM(J30:J30)</f>
        <v>20950</v>
      </c>
      <c r="K31" s="16"/>
      <c r="L31" s="16"/>
      <c r="M31" s="17">
        <f>SUM(M30:M30)</f>
        <v>20950</v>
      </c>
      <c r="P31" s="66"/>
    </row>
    <row r="32" spans="1:17" ht="13.8" x14ac:dyDescent="0.3">
      <c r="A32" s="2" t="s">
        <v>17</v>
      </c>
      <c r="B32" s="3"/>
      <c r="C32" s="11"/>
      <c r="D32" s="11"/>
      <c r="E32" s="151" t="str">
        <f>Лист1!B3</f>
        <v>Двадцать тысяч девятьсот пятьдесят долларов США, 00 центов.</v>
      </c>
      <c r="F32" s="152"/>
      <c r="G32" s="152"/>
      <c r="H32" s="152"/>
      <c r="I32" s="152"/>
      <c r="J32" s="152"/>
      <c r="K32" s="152"/>
      <c r="L32" s="152"/>
      <c r="M32" s="152"/>
    </row>
    <row r="33" spans="1:14" ht="20.25" customHeight="1" x14ac:dyDescent="0.25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</row>
    <row r="34" spans="1:14" ht="25.5" customHeight="1" x14ac:dyDescent="0.25">
      <c r="A34" s="147" t="s">
        <v>109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26"/>
    </row>
    <row r="36" spans="1:14" ht="13.8" x14ac:dyDescent="0.25">
      <c r="A36" s="7" t="s">
        <v>28</v>
      </c>
      <c r="B36" s="7"/>
      <c r="D36" s="25" t="s">
        <v>165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8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C24:G24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“MAROQAND MEVA-SABZAVOT”</v>
      </c>
    </row>
    <row r="3" spans="1:11" ht="11.25" customHeight="1" x14ac:dyDescent="0.2">
      <c r="B3" s="70" t="str">
        <f>+Инвойс!A6</f>
        <v>Республика Узбекистан, Самаркандская область,</v>
      </c>
    </row>
    <row r="4" spans="1:11" ht="11.25" customHeight="1" x14ac:dyDescent="0.2">
      <c r="B4" s="70" t="str">
        <f>+Инвойс!A7</f>
        <v>Джамбайский район, село Хитойбола.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134" t="s">
        <v>154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9" t="str">
        <f>+CONCATENATE(Инвойс!C1,Инвойс!F1)</f>
        <v>ИНВОЙС № MVS-N-6 от  03.09.2025г.</v>
      </c>
      <c r="C24" s="159"/>
      <c r="D24" s="159"/>
      <c r="E24" s="73"/>
      <c r="F24" s="73"/>
      <c r="G24" s="73"/>
      <c r="H24" s="73"/>
      <c r="I24" s="73"/>
    </row>
    <row r="25" spans="1:9" x14ac:dyDescent="0.2">
      <c r="B25" s="160" t="s">
        <v>106</v>
      </c>
      <c r="C25" s="160"/>
      <c r="D25" s="16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2500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1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61"/>
      <c r="D45" s="161"/>
    </row>
    <row r="46" spans="1:9" ht="11.25" customHeight="1" x14ac:dyDescent="0.2">
      <c r="B46" s="161"/>
      <c r="C46" s="161"/>
      <c r="D46" s="16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2" t="str">
        <f>+C22</f>
        <v xml:space="preserve"> 03.09.2025г.</v>
      </c>
      <c r="E49" s="162"/>
      <c r="F49" s="16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75A409KA/757363AA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70" t="s">
        <v>96</v>
      </c>
      <c r="C2" s="17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1" t="str">
        <f>+Инвойс!E26</f>
        <v>75A409KA/757363AA</v>
      </c>
      <c r="C14" s="171"/>
      <c r="D14" s="171"/>
      <c r="E14" s="171"/>
      <c r="F14" s="171"/>
      <c r="G14" s="171"/>
      <c r="H14" s="172" t="s">
        <v>107</v>
      </c>
      <c r="I14" s="172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3" t="str">
        <f>+CMR!B24</f>
        <v>ИНВОЙС № MVS-N-6 от  03.09.2025г.</v>
      </c>
      <c r="I15" s="173"/>
      <c r="J15" s="17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2500</v>
      </c>
      <c r="G18" s="165" t="str">
        <f>+CMR!F30</f>
        <v>Виноград свежий столовых сортов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3" t="str">
        <f>+Инвойс!C30</f>
        <v>0806101001</v>
      </c>
      <c r="H19" s="164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3"/>
      <c r="H21" s="164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63"/>
      <c r="H23" s="164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63"/>
      <c r="H25" s="164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63"/>
      <c r="H27" s="164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63"/>
      <c r="H29" s="164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63"/>
      <c r="H31" s="164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63"/>
      <c r="H33" s="164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63"/>
      <c r="H35" s="164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63"/>
      <c r="H37" s="164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63"/>
      <c r="H41" s="164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63"/>
      <c r="H43" s="164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2500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168</v>
      </c>
      <c r="C1" s="174"/>
      <c r="D1" s="174"/>
      <c r="E1" s="174"/>
      <c r="F1" s="155" t="str">
        <f>+Инвойс!F1</f>
        <v xml:space="preserve"> 03.09.2025г.</v>
      </c>
      <c r="G1" s="155"/>
      <c r="H1" s="15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8" t="str">
        <f>+Инвойс!C2</f>
        <v>к контракту № EX2708 от 27.08.2025 года</v>
      </c>
      <c r="D2" s="158"/>
      <c r="E2" s="158"/>
      <c r="F2" s="158"/>
      <c r="G2" s="158"/>
      <c r="H2" s="158"/>
      <c r="I2" s="15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8" t="s">
        <v>19</v>
      </c>
      <c r="B4" s="148"/>
      <c r="C4" s="148"/>
      <c r="D4" s="148"/>
      <c r="E4" s="148"/>
      <c r="G4" s="148" t="s">
        <v>20</v>
      </c>
      <c r="H4" s="148"/>
      <c r="I4" s="148"/>
      <c r="J4" s="148"/>
      <c r="K4" s="148"/>
      <c r="L4" s="148"/>
      <c r="M4" s="148"/>
    </row>
    <row r="5" spans="1:15" ht="14.25" customHeight="1" x14ac:dyDescent="0.25">
      <c r="A5" s="157" t="str">
        <f>+Инвойс!A5</f>
        <v>ООО “MAROQAND MEVA-SABZAVOT”</v>
      </c>
      <c r="B5" s="157"/>
      <c r="C5" s="157"/>
      <c r="D5" s="157"/>
      <c r="E5" s="157"/>
      <c r="F5" s="6"/>
      <c r="G5" s="150" t="str">
        <f>+Инвойс!G5</f>
        <v>ООО «Аспект»</v>
      </c>
      <c r="H5" s="150"/>
      <c r="I5" s="150"/>
      <c r="J5" s="150"/>
      <c r="K5" s="150"/>
      <c r="L5" s="150"/>
      <c r="M5" s="150"/>
    </row>
    <row r="6" spans="1:15" ht="13.8" x14ac:dyDescent="0.25">
      <c r="A6" s="145" t="str">
        <f>+Инвойс!A6</f>
        <v>Республика Узбекистан, Самаркандская область,</v>
      </c>
      <c r="B6" s="145"/>
      <c r="C6" s="145"/>
      <c r="D6" s="145"/>
      <c r="E6" s="145"/>
      <c r="F6" s="7"/>
      <c r="G6" s="175" t="str">
        <f>+Инвойс!G6</f>
        <v xml:space="preserve">107497, Россия, г. Москва, вн.тер.г. муниципальный </v>
      </c>
      <c r="H6" s="175"/>
      <c r="I6" s="175"/>
      <c r="J6" s="175"/>
      <c r="K6" s="175"/>
      <c r="L6" s="175"/>
      <c r="M6" s="175"/>
      <c r="N6" s="4"/>
    </row>
    <row r="7" spans="1:15" ht="13.8" x14ac:dyDescent="0.25">
      <c r="A7" s="145" t="str">
        <f>+Инвойс!A7</f>
        <v>Джамбайский район, село Хитойбола.</v>
      </c>
      <c r="B7" s="145"/>
      <c r="C7" s="145"/>
      <c r="D7" s="145"/>
      <c r="E7" s="145"/>
      <c r="F7" s="63"/>
      <c r="G7" s="175" t="str">
        <f>+Инвойс!G7</f>
        <v xml:space="preserve">округ Гольяново, 2-й Иртышский пр-в, д. 4Б, стр. 3 </v>
      </c>
      <c r="H7" s="175"/>
      <c r="I7" s="175"/>
      <c r="J7" s="175"/>
      <c r="K7" s="175"/>
      <c r="L7" s="175"/>
      <c r="M7" s="175"/>
    </row>
    <row r="8" spans="1:15" ht="15" customHeight="1" x14ac:dyDescent="0.25">
      <c r="A8" s="145" t="str">
        <f>+Инвойс!A8</f>
        <v>ИНН: 304970319</v>
      </c>
      <c r="B8" s="145"/>
      <c r="C8" s="145"/>
      <c r="D8" s="145"/>
      <c r="E8" s="145"/>
      <c r="F8" s="63"/>
      <c r="G8" s="175" t="str">
        <f>+Инвойс!G8</f>
        <v>ИНН/ КПП 9718239835  / 771801001</v>
      </c>
      <c r="H8" s="175"/>
      <c r="I8" s="175"/>
      <c r="J8" s="175"/>
      <c r="K8" s="175"/>
      <c r="L8" s="175"/>
      <c r="M8" s="175"/>
    </row>
    <row r="9" spans="1:15" ht="13.8" x14ac:dyDescent="0.25">
      <c r="A9" s="145" t="str">
        <f>+Инвойс!A9</f>
        <v>р/с: 2020 8840 0007 8502 3005 (доллар США)</v>
      </c>
      <c r="B9" s="145"/>
      <c r="C9" s="145"/>
      <c r="D9" s="145"/>
      <c r="E9" s="145"/>
      <c r="F9" s="7"/>
      <c r="G9" s="175" t="str">
        <f>+Инвойс!G9</f>
        <v xml:space="preserve">Валютный счет доллары  40702840100000005715 </v>
      </c>
      <c r="H9" s="175"/>
      <c r="I9" s="175"/>
      <c r="J9" s="175"/>
      <c r="K9" s="175"/>
      <c r="L9" s="175"/>
      <c r="M9" s="175"/>
      <c r="O9" s="7"/>
    </row>
    <row r="10" spans="1:15" ht="13.8" x14ac:dyDescent="0.25">
      <c r="A10" s="145" t="str">
        <f>+Инвойс!A10</f>
        <v>в АО «KDB Bank Uzbekistan»</v>
      </c>
      <c r="B10" s="145"/>
      <c r="C10" s="145"/>
      <c r="D10" s="145"/>
      <c r="E10" s="145"/>
      <c r="F10" s="7"/>
      <c r="G10" s="175" t="str">
        <f>+Инвойс!G10</f>
        <v>КБ "Максима"(ООО), г. Москва РФ</v>
      </c>
      <c r="H10" s="175"/>
      <c r="I10" s="175"/>
      <c r="J10" s="175"/>
      <c r="K10" s="175"/>
      <c r="L10" s="175"/>
      <c r="M10" s="175"/>
    </row>
    <row r="11" spans="1:15" ht="13.8" x14ac:dyDescent="0.25">
      <c r="A11" s="145" t="str">
        <f>+Инвойс!A11</f>
        <v>МФО 00842 СВИФТ: KODBUZ22</v>
      </c>
      <c r="B11" s="145"/>
      <c r="C11" s="145"/>
      <c r="D11" s="145"/>
      <c r="E11" s="145"/>
      <c r="F11" s="7"/>
      <c r="G11" s="175" t="str">
        <f>+Инвойс!G11</f>
        <v>(SWIFT code: MAXMRUM1XXX)</v>
      </c>
      <c r="H11" s="175"/>
      <c r="I11" s="175"/>
      <c r="J11" s="175"/>
      <c r="K11" s="175"/>
      <c r="L11" s="175"/>
      <c r="M11" s="175"/>
    </row>
    <row r="12" spans="1:15" ht="36" customHeight="1" x14ac:dyDescent="0.25">
      <c r="A12" s="146"/>
      <c r="B12" s="146"/>
      <c r="C12" s="146"/>
      <c r="D12" s="146"/>
      <c r="E12" s="146"/>
      <c r="F12" s="7"/>
      <c r="G12" s="146"/>
      <c r="H12" s="146"/>
      <c r="I12" s="146"/>
      <c r="J12" s="146"/>
      <c r="K12" s="146"/>
      <c r="L12" s="146"/>
      <c r="M12" s="146"/>
    </row>
    <row r="13" spans="1:15" ht="24" customHeight="1" x14ac:dyDescent="0.35">
      <c r="A13" s="148" t="s">
        <v>31</v>
      </c>
      <c r="B13" s="148"/>
      <c r="C13" s="148"/>
      <c r="D13" s="148"/>
      <c r="E13" s="148"/>
      <c r="G13" s="148" t="s">
        <v>21</v>
      </c>
      <c r="H13" s="149"/>
      <c r="I13" s="149"/>
      <c r="J13" s="149"/>
      <c r="K13" s="149"/>
      <c r="L13" s="149"/>
      <c r="M13" s="149"/>
    </row>
    <row r="14" spans="1:15" ht="14.25" customHeight="1" x14ac:dyDescent="0.25">
      <c r="A14" s="157" t="str">
        <f>+Инвойс!A14</f>
        <v>ООО “MAROQAND MEVA-SABZAVOT”</v>
      </c>
      <c r="B14" s="157"/>
      <c r="C14" s="157"/>
      <c r="D14" s="157"/>
      <c r="E14" s="157"/>
      <c r="F14" s="6"/>
      <c r="G14" s="150" t="str">
        <f>+Инвойс!G14</f>
        <v>OOO «Западные ворота»</v>
      </c>
      <c r="H14" s="150"/>
      <c r="I14" s="150"/>
      <c r="J14" s="150"/>
      <c r="K14" s="150"/>
      <c r="L14" s="150"/>
      <c r="M14" s="150"/>
    </row>
    <row r="15" spans="1:15" ht="13.95" customHeight="1" x14ac:dyDescent="0.25">
      <c r="A15" s="145" t="str">
        <f>+Инвойс!A15</f>
        <v>Республика Узбекистан, Самаркандская область,</v>
      </c>
      <c r="B15" s="145"/>
      <c r="C15" s="145"/>
      <c r="D15" s="145"/>
      <c r="E15" s="145"/>
      <c r="F15" s="7"/>
      <c r="G15" s="175" t="str">
        <f>+Инвойс!G15</f>
        <v>108811, г. Москва, вн.тер.г. муниципальный округ</v>
      </c>
      <c r="H15" s="175"/>
      <c r="I15" s="175"/>
      <c r="J15" s="175"/>
      <c r="K15" s="175"/>
      <c r="L15" s="175"/>
      <c r="M15" s="175"/>
    </row>
    <row r="16" spans="1:15" ht="13.8" x14ac:dyDescent="0.25">
      <c r="A16" s="145" t="str">
        <f>+Инвойс!A16</f>
        <v>Джамбайский район, село Хитойбола.</v>
      </c>
      <c r="B16" s="145"/>
      <c r="C16" s="145"/>
      <c r="D16" s="145"/>
      <c r="E16" s="145"/>
      <c r="F16" s="63"/>
      <c r="G16" s="175" t="str">
        <f>+Инвойс!G16</f>
        <v>Солнцево, Киевское шоссе, 23-й км, д.8, стр.1</v>
      </c>
      <c r="H16" s="175"/>
      <c r="I16" s="175"/>
      <c r="J16" s="175"/>
      <c r="K16" s="175"/>
      <c r="L16" s="175"/>
      <c r="M16" s="175"/>
    </row>
    <row r="17" spans="1:17" ht="15" customHeight="1" x14ac:dyDescent="0.25">
      <c r="A17" s="145" t="str">
        <f>+Инвойс!A17</f>
        <v>ИНН: 304970319</v>
      </c>
      <c r="B17" s="145"/>
      <c r="C17" s="145"/>
      <c r="D17" s="145"/>
      <c r="E17" s="145"/>
      <c r="F17" s="63"/>
      <c r="G17" s="175" t="str">
        <f>+Инвойс!G17</f>
        <v xml:space="preserve">р/с USD 40702810501400013450 </v>
      </c>
      <c r="H17" s="175"/>
      <c r="I17" s="175"/>
      <c r="J17" s="175"/>
      <c r="K17" s="175"/>
      <c r="L17" s="175"/>
      <c r="M17" s="175"/>
    </row>
    <row r="18" spans="1:17" ht="13.8" x14ac:dyDescent="0.25">
      <c r="A18" s="145" t="str">
        <f>+Инвойс!A18</f>
        <v>р/с: 2020 8840 0007 8502 3005 (доллар США)</v>
      </c>
      <c r="B18" s="145"/>
      <c r="C18" s="145"/>
      <c r="D18" s="145"/>
      <c r="E18" s="145"/>
      <c r="F18" s="7"/>
      <c r="G18" s="175" t="str">
        <f>+Инвойс!G18</f>
        <v>Банк: Филиал АО «АЛЬФА-БАНК»</v>
      </c>
      <c r="H18" s="175"/>
      <c r="I18" s="175"/>
      <c r="J18" s="175"/>
      <c r="K18" s="175"/>
      <c r="L18" s="175"/>
      <c r="M18" s="175"/>
    </row>
    <row r="19" spans="1:17" ht="13.8" x14ac:dyDescent="0.25">
      <c r="A19" s="145" t="str">
        <f>+Инвойс!A19</f>
        <v>в АО «KDB Bank Uzbekistan»</v>
      </c>
      <c r="B19" s="145"/>
      <c r="C19" s="145"/>
      <c r="D19" s="145"/>
      <c r="E19" s="145"/>
      <c r="F19" s="7"/>
      <c r="G19" s="175" t="str">
        <f>+Инвойс!G19</f>
        <v>к/с:  30101810200000000593</v>
      </c>
      <c r="H19" s="175"/>
      <c r="I19" s="175"/>
      <c r="J19" s="175"/>
      <c r="K19" s="175"/>
      <c r="L19" s="175"/>
      <c r="M19" s="175"/>
    </row>
    <row r="20" spans="1:17" ht="13.8" x14ac:dyDescent="0.25">
      <c r="A20" s="145" t="str">
        <f>+Инвойс!A20</f>
        <v>МФО 00842 СВИФТ: KODBUZ22</v>
      </c>
      <c r="B20" s="145"/>
      <c r="C20" s="145"/>
      <c r="D20" s="145"/>
      <c r="E20" s="145"/>
      <c r="F20" s="7"/>
      <c r="G20" s="175" t="str">
        <f>+Инвойс!G20</f>
        <v>ИНН/КПП 5004025693/775101001 ОГРН 1135004001802</v>
      </c>
      <c r="H20" s="175"/>
      <c r="I20" s="175"/>
      <c r="J20" s="175"/>
      <c r="K20" s="175"/>
      <c r="L20" s="175"/>
      <c r="M20" s="175"/>
    </row>
    <row r="21" spans="1:17" ht="13.8" x14ac:dyDescent="0.25">
      <c r="A21" s="145"/>
      <c r="B21" s="145"/>
      <c r="C21" s="145"/>
      <c r="D21" s="145"/>
      <c r="E21" s="145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40" t="s">
        <v>115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6" x14ac:dyDescent="0.3">
      <c r="A24" s="20" t="s">
        <v>22</v>
      </c>
      <c r="C24" s="18" t="str">
        <f>+Инвойс!C24</f>
        <v>FCA-Ташкент,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tr">
        <f>+Инвойс!E26</f>
        <v>75A409KA/757363AA</v>
      </c>
      <c r="F26" s="142"/>
      <c r="G26" s="142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13.8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2500</v>
      </c>
      <c r="F30" s="116" t="str">
        <f>+Инвойс!F30</f>
        <v>кг</v>
      </c>
      <c r="G30" s="106">
        <f>+Инвойс!G30</f>
        <v>22700</v>
      </c>
      <c r="H30" s="106">
        <f>+Инвойс!H30</f>
        <v>20950</v>
      </c>
      <c r="I30" s="108">
        <f>+Инвойс!I30</f>
        <v>1</v>
      </c>
      <c r="J30" s="13">
        <f>+Инвойс!J30</f>
        <v>20950</v>
      </c>
      <c r="K30" s="12">
        <v>0</v>
      </c>
      <c r="L30" s="12">
        <v>0</v>
      </c>
      <c r="M30" s="13">
        <f>+Инвойс!M30</f>
        <v>20950</v>
      </c>
      <c r="O30" s="100"/>
      <c r="Q30" s="100"/>
    </row>
    <row r="31" spans="1:17" ht="13.8" x14ac:dyDescent="0.25">
      <c r="A31" s="153" t="s">
        <v>0</v>
      </c>
      <c r="B31" s="154"/>
      <c r="C31" s="14"/>
      <c r="D31" s="15"/>
      <c r="E31" s="64">
        <f>SUM(E30:E30)</f>
        <v>2500</v>
      </c>
      <c r="F31" s="15"/>
      <c r="G31" s="64">
        <f>SUM(G30:G30)</f>
        <v>22700</v>
      </c>
      <c r="H31" s="64">
        <f>SUM(H30:H30)</f>
        <v>20950</v>
      </c>
      <c r="I31" s="102"/>
      <c r="J31" s="17">
        <f>SUM(J30:J30)</f>
        <v>20950</v>
      </c>
      <c r="K31" s="16"/>
      <c r="L31" s="16"/>
      <c r="M31" s="17">
        <f>SUM(M30:M30)</f>
        <v>20950</v>
      </c>
      <c r="P31" s="66"/>
    </row>
    <row r="32" spans="1:17" ht="13.8" x14ac:dyDescent="0.3">
      <c r="A32" s="2" t="s">
        <v>17</v>
      </c>
      <c r="B32" s="3"/>
      <c r="C32" s="11"/>
      <c r="D32" s="11"/>
      <c r="E32" s="151" t="str">
        <f>Лист1!B3</f>
        <v>Двадцать тысяч девятьсот пятьдесят долларов США, 00 центов.</v>
      </c>
      <c r="F32" s="152"/>
      <c r="G32" s="152"/>
      <c r="H32" s="152"/>
      <c r="I32" s="152"/>
      <c r="J32" s="152"/>
      <c r="K32" s="152"/>
      <c r="L32" s="152"/>
      <c r="M32" s="152"/>
    </row>
    <row r="33" spans="1:14" ht="20.25" customHeight="1" x14ac:dyDescent="0.25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</row>
    <row r="34" spans="1:14" ht="25.5" customHeight="1" x14ac:dyDescent="0.25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26"/>
    </row>
    <row r="36" spans="1:14" s="18" customFormat="1" ht="15.6" x14ac:dyDescent="0.3">
      <c r="A36" s="131" t="s">
        <v>155</v>
      </c>
      <c r="B36" s="131"/>
      <c r="D36" s="18" t="str">
        <f>+Инвойс!D36</f>
        <v>Турсунов И.Ж</v>
      </c>
      <c r="E36" s="132"/>
      <c r="G36" s="129" t="s">
        <v>130</v>
      </c>
      <c r="H36" s="18" t="str">
        <f>Инвойс!G5</f>
        <v>ООО «Аспект»</v>
      </c>
      <c r="K36" s="133" t="s">
        <v>156</v>
      </c>
    </row>
    <row r="37" spans="1:14" s="18" customFormat="1" ht="13.8" x14ac:dyDescent="0.25">
      <c r="A37" s="131" t="str">
        <f>+Инвойс!A5</f>
        <v>ООО “MAROQAND MEVA-SABZAVOT”</v>
      </c>
      <c r="B37" s="135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153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6" x14ac:dyDescent="0.3">
      <c r="E2" s="27">
        <f>Инвойс!M31</f>
        <v>20950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девятьсот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45903</v>
      </c>
      <c r="O3" s="179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девятьсот пятьдесят долларов США, 00 центов. (в т.ч. НДС - 357,79)</v>
      </c>
      <c r="H4" s="32"/>
      <c r="I4" s="32"/>
      <c r="J4" s="32"/>
      <c r="K4" s="180" t="str">
        <f ca="1">CONCATENATE(" «  ",P3,"  »  ",Q3,"  ",R3," г.")</f>
        <v xml:space="preserve"> «  3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девятьсот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девятьсот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1" t="s">
        <v>38</v>
      </c>
      <c r="I7" s="181"/>
      <c r="J7" s="181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1"/>
      <c r="I8" s="181"/>
      <c r="J8" s="181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1"/>
      <c r="I9" s="181"/>
      <c r="J9" s="181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1"/>
      <c r="I10" s="181"/>
      <c r="J10" s="181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пятьдесят долларов США, </v>
      </c>
      <c r="D11" s="47"/>
      <c r="E11" s="48"/>
      <c r="H11" s="181"/>
      <c r="I11" s="181"/>
      <c r="J11" s="181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20950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2095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20950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5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5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7" t="s">
        <v>85</v>
      </c>
      <c r="B100" s="177"/>
      <c r="C100" s="177"/>
      <c r="D100" s="177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2025-09-03T18:28:07Z</cp:lastPrinted>
  <dcterms:created xsi:type="dcterms:W3CDTF">1996-10-14T23:33:28Z</dcterms:created>
  <dcterms:modified xsi:type="dcterms:W3CDTF">2025-09-03T18:28:15Z</dcterms:modified>
</cp:coreProperties>
</file>