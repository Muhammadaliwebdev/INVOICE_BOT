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448819-F6D6-4D22-B091-FCA6E93CA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<sst xmlns="http://schemas.openxmlformats.org/spreadsheetml/2006/main" count="211" uniqueCount="164">
  <si>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</si>
  <si>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</si>
  <si>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</si>
  <si>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</si>
  <si>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</si>
  <si>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</si>
  <si>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</si>
  <si>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</si>
  <si>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</si>
  <si>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</si>
  <si>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</si>
  <si>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</si>
  <si>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</si>
  <si>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</si>
  <si>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</si>
  <si>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</si>
  <si>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</si>
  <si>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</si>
  <si>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</si>
  <si>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</si>
  <si>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</si>
  <si>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</si>
  <si>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</si>
  <si>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</si>
  <si>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</si>
  <si>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</si>
  <si>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</si>
  <si>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</si>
  <si>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</si>
  <si>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</si>
  <si>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</si>
  <si>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</si>
  <si>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</si>
  <si>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</si>
  <si>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</si>
  <si>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</si>
  <si>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</si>
  <si>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</si>
  <si>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</si>
  <si>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</si>
  <si>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</si>
  <si>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</si>
  <si>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</si>
  <si>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</si>
  <si>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</si>
  <si>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</si>
  <si>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</si>
  <si>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</si>
  <si>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</si>
  <si>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</si>
  <si>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</si>
  <si>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</si>
  <si>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</si>
  <si>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</si>
  <si>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</si>
  <si>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</si>
  <si>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</si>
  <si>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</si>
  <si>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</si>
  <si>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</si>
  <si>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</si>
  <si>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</si>
  <si>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</si>
  <si>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</si>
  <si>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</si>
  <si>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</si>
  <si>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</si>
  <si>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</si>
  <si>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</si>
  <si>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</si>
  <si>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</si>
  <si>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</si>
  <si>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</si>
  <si>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</si>
  <si>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</si>
  <si>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</si>
  <si>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</si>
  <si>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</si>
  <si>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</si>
  <si>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</si>
  <si>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</si>
  <si>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</si>
  <si>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</si>
  <si>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</si>
  <si>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</si>
  <si>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</si>
  <si>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</si>
  <si>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</si>
  <si>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</si>
  <si>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</si>
  <si>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</si>
  <si>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</si>
  <si>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</si>
  <si>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</si>
  <si>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</si>
  <si>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</si>
  <si>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</si>
  <si>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</si>
  <si>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</si>
  <si>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</si>
  <si>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</si>
  <si>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</si>
  <si>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</si>
  <si>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</si>
  <si>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</si>
  <si>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</si>
  <si>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</si>
  <si>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</si>
  <si>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</si>
  <si>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</si>
  <si>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</si>
  <si>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Мешки</t>
  </si>
  <si>
    <t>Морковь свежая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</si>
  <si>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</si>
  <si>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</si>
  <si>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</si>
  <si>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</si>
  <si>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</si>
  <si>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</si>
  <si>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</si>
  <si>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</si>
  <si>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</si>
  <si>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</si>
  <si>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</si>
  <si>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0706100002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</si>
  <si>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</si>
  <si>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</si>
  <si>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</si>
  <si>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</si>
  <si>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</si>
  <si>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</si>
  <si>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</si>
  <si>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</si>
  <si>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</si>
  <si>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</si>
  <si>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</si>
  <si>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</si>
  <si>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</si>
  <si>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</si>
  <si>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</si>
  <si>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</si>
  <si>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</si>
  <si>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</si>
  <si>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</si>
  <si>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</si>
  <si>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</si>
  <si>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</si>
  <si>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</si>
  <si>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</si>
  <si>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</si>
  <si>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</si>
  <si>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</si>
  <si>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</si>
  <si>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</si>
  <si>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</si>
  <si>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</si>
  <si>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</si>
  <si>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</si>
  <si>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</si>
  <si>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</si>
  <si>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UFG-M-20 от </t>
  </si>
  <si>
    <t xml:space="preserve"> 28.08.2025г.</t>
  </si>
  <si>
    <t>30333DAA/300788BA</t>
  </si>
  <si>
    <t xml:space="preserve">СПЕЦИФИКАЦИЯ № UFG-M-20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</si>
</sst>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5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v>1</v>
      </c>
      <c r="B30" s="101" t="s">
        <v>112</v>
      </c>
      <c r="C30" s="107" t="s">
        <v>124</v>
      </c>
      <c r="D30" s="116" t="s">
        <v>111</v>
      </c>
      <c r="E30" s="101">
        <v>635</v>
      </c>
      <c r="F30" s="109" t="s">
        <v>27</v>
      </c>
      <c r="G30" s="106">
        <v>22600</v>
      </c>
      <c r="H30" s="106">
        <v>22594</v>
      </c>
      <c r="I30" s="108">
        <v>0.3</v>
      </c>
      <c r="J30" s="13">
        <f t="shared" ref="J30" si="0">H30*I30</f>
        <v>6778.2</v>
      </c>
      <c r="K30" s="12">
        <v>0</v>
      </c>
      <c r="L30" s="12">
        <v>0</v>
      </c>
      <c r="M30" s="13">
        <f t="shared" ref="M30" si="1">J30</f>
        <v>6778.2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635</v>
      </c>
      <c r="F31" s="15"/>
      <c r="G31" s="64">
        <f>SUM(G30:G30)</f>
        <v>22600</v>
      </c>
      <c r="H31" s="64">
        <f>SUM(H30:H30)</f>
        <v>22594</v>
      </c>
      <c r="I31" s="102"/>
      <c r="J31" s="17">
        <f>SUM(J30:J30)</f>
        <v>6778.2</v>
      </c>
      <c r="K31" s="16"/>
      <c r="L31" s="16"/>
      <c r="M31" s="17">
        <f>SUM(M30:M30)</f>
        <v>6778.2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Шесть тысяч семьсот семьдесят восемь долларов США, 20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UFG-M-20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635</v>
      </c>
      <c r="D30" s="103" t="str">
        <f>+Инвойс!D30</f>
        <v>Мешки</v>
      </c>
      <c r="E30" s="103"/>
      <c r="F30" s="103" t="str">
        <f>+Инвойс!B30</f>
        <v>Морковь свежая</v>
      </c>
      <c r="G30" s="104" t="str">
        <f>+Инвойс!C30</f>
        <v>0706100002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30333DAA/300788BA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30333DAA/300788BA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UFG-M-20 от  28.08.2025г.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635</v>
      </c>
      <c r="G18" s="163" t="str">
        <f>+CMR!F30</f>
        <v>Морковь свежая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Мешки</v>
      </c>
      <c r="G19" s="161" t="str">
        <f>+Инвойс!C30</f>
        <v>0706100002</v>
      </c>
      <c r="H19" s="162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635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4" zoomScale="85" zoomScaleNormal="85" workbookViewId="0">
      <selection activeCell="B35" sqref="B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3" t="str">
        <f>+Инвойс!F1</f>
        <v xml:space="preserve"> 28.08.2025г.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30333DAA/300788BA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f>+Инвойс!A30</f>
        <v>1</v>
      </c>
      <c r="B30" s="101" t="str">
        <f>+Инвойс!B30</f>
        <v>Морковь свежая</v>
      </c>
      <c r="C30" s="107" t="str">
        <f>+Инвойс!C30</f>
        <v>0706100002</v>
      </c>
      <c r="D30" s="114" t="str">
        <f>+Инвойс!D30</f>
        <v>Мешки</v>
      </c>
      <c r="E30" s="101">
        <f>+Инвойс!E30</f>
        <v>635</v>
      </c>
      <c r="F30" s="115" t="str">
        <f>+Инвойс!F30</f>
        <v>кг</v>
      </c>
      <c r="G30" s="106">
        <f>+Инвойс!G30</f>
        <v>22600</v>
      </c>
      <c r="H30" s="106">
        <f>+Инвойс!H30</f>
        <v>22594</v>
      </c>
      <c r="I30" s="108">
        <f>+Инвойс!I30</f>
        <v>0.3</v>
      </c>
      <c r="J30" s="13">
        <f>+Инвойс!J30</f>
        <v>6778.2</v>
      </c>
      <c r="K30" s="12">
        <v>0</v>
      </c>
      <c r="L30" s="12">
        <v>0</v>
      </c>
      <c r="M30" s="13">
        <f>+Инвойс!M30</f>
        <v>6778.2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635</v>
      </c>
      <c r="F31" s="15"/>
      <c r="G31" s="64">
        <f>SUM(G30:G30)</f>
        <v>22600</v>
      </c>
      <c r="H31" s="64">
        <f>SUM(H30:H30)</f>
        <v>22594</v>
      </c>
      <c r="I31" s="102"/>
      <c r="J31" s="17">
        <f>SUM(J30:J30)</f>
        <v>6778.2</v>
      </c>
      <c r="K31" s="16"/>
      <c r="L31" s="16"/>
      <c r="M31" s="17">
        <f>SUM(M30:M30)</f>
        <v>6778.2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Шесть тысяч семьсот семьдесят восемь долларов США, 20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117</v>
      </c>
    </row>
    <row r="3" spans="1:10" ht="52.8" x14ac:dyDescent="0.25">
      <c r="A3" s="130" t="s">
        <v>128</v>
      </c>
    </row>
    <row r="5" spans="1:10" ht="39.6" x14ac:dyDescent="0.25">
      <c r="A5" s="126" t="s">
        <v>118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119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120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121</v>
      </c>
    </row>
    <row r="15" spans="1:10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6778.2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Шесть тысяч семьсот семьдесят восемь долларов США, 20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Шесть тысяч семьсот семьдесят восемь долларов США, 20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шесть тысяч семьсот семьдесят восемь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шесть тысяч семьсот семьдесят восемь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ш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шесть тысяч </v>
      </c>
      <c r="D10" s="47"/>
      <c r="E10" s="48"/>
      <c r="F10" s="41" t="str">
        <f>PROPER(F9)</f>
        <v>Ш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семьдесят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6778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6</v>
      </c>
      <c r="B25" s="47">
        <f>TRUNC(RIGHT(A25))</f>
        <v>6</v>
      </c>
      <c r="C25" s="51">
        <f>IF(B24=1,B25+10,IF(B25=0,0,B25))</f>
        <v>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67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677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6778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778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2025-08-28T09:08:05Z</cp:lastPrinted>
  <dcterms:created xsi:type="dcterms:W3CDTF">1996-10-14T23:33:28Z</dcterms:created>
  <dcterms:modified xsi:type="dcterms:W3CDTF">2025-08-28T09:30:44Z</dcterms:modified>
</cp:coreProperties>
</file>