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29AF0C5-15FE-4559-B80F-6F17C1AAC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<sst xmlns="http://schemas.openxmlformats.org/spreadsheetml/2006/main" count="209" uniqueCount="163">
  <si>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</si>
  <si>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</si>
  <si>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</si>
  <si>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</si>
  <si>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</si>
  <si>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</si>
  <si>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</si>
  <si>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</si>
  <si>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</si>
  <si>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</si>
  <si>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</si>
  <si>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</si>
  <si>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</si>
  <si>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</si>
  <si>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</si>
  <si>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</si>
  <si>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</si>
  <si>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</si>
  <si>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</si>
  <si>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</si>
  <si>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</si>
  <si>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</si>
  <si>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</si>
  <si>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</si>
  <si>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</si>
  <si>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</si>
  <si>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</si>
  <si>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</si>
  <si>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</si>
  <si>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</si>
  <si>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</si>
  <si>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</si>
  <si>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</si>
  <si>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</si>
  <si>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</si>
  <si>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</si>
  <si>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</si>
  <si>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</si>
  <si>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</si>
  <si>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</si>
  <si>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</si>
  <si>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</si>
  <si>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</si>
  <si>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</si>
  <si>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</si>
  <si>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</si>
  <si>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</si>
  <si>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</si>
  <si>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</si>
  <si>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</si>
  <si>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</si>
  <si>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</si>
  <si>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</si>
  <si>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</si>
  <si>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</si>
  <si>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</si>
  <si>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</si>
  <si>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</si>
  <si>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</si>
  <si>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</si>
  <si>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</si>
  <si>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</si>
  <si>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</si>
  <si>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</si>
  <si>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</si>
  <si>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</si>
  <si>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</si>
  <si>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</si>
  <si>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</si>
  <si>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</si>
  <si>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</si>
  <si>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</si>
  <si>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</si>
  <si>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</si>
  <si>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</si>
  <si>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</si>
  <si>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</si>
  <si>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</si>
  <si>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</si>
  <si>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</si>
  <si>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</si>
  <si>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</si>
  <si>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</si>
  <si>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</si>
  <si>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</si>
  <si>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</si>
  <si>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</si>
  <si>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</si>
  <si>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</si>
  <si>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</si>
  <si>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</si>
  <si>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</si>
  <si>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</si>
  <si>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</si>
  <si>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</si>
  <si>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</si>
  <si>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</si>
  <si>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</si>
  <si>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</si>
  <si>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</si>
  <si>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</si>
  <si>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</si>
  <si>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</si>
  <si>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</si>
  <si>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</si>
  <si>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</si>
  <si>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</si>
  <si>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</si>
  <si>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</si>
  <si>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</si>
  <si>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</si>
  <si>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</si>
  <si>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</si>
  <si>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</si>
  <si>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</si>
  <si>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</si>
  <si>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</si>
  <si>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</si>
  <si>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</si>
  <si>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</si>
  <si>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</si>
  <si>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</si>
  <si>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</si>
  <si>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</si>
  <si>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</si>
  <si>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</si>
  <si>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</si>
  <si>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</si>
  <si>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</si>
  <si>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</si>
  <si>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</si>
  <si>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</si>
  <si>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</si>
  <si>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</si>
  <si>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</si>
  <si>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</si>
  <si>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</si>
  <si>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</si>
  <si>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</si>
  <si>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</si>
  <si>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</si>
  <si>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</si>
  <si>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</si>
  <si>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</si>
  <si>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</si>
  <si>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</si>
  <si>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</si>
  <si>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</si>
  <si>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</si>
  <si>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</si>
  <si>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</si>
  <si>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</si>
  <si>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</si>
  <si>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</si>
  <si>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</si>
  <si>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</si>
  <si>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</si>
  <si>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</si>
  <si>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</si>
  <si>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</si>
  <si>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GWG-M-6 от </t>
  </si>
  <si>
    <t>10H570SA/104025BA</t>
  </si>
  <si>
    <t xml:space="preserve">СПЕЦИФИКАЦИЯ № GWG-M-6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</si>
</sst>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160</v>
      </c>
      <c r="D1" s="153"/>
      <c r="E1" s="153"/>
      <c r="F1" s="152" t="s">
        <v>158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147</v>
      </c>
      <c r="B5" s="154"/>
      <c r="C5" s="154"/>
      <c r="D5" s="154"/>
      <c r="E5" s="154"/>
      <c r="F5" s="6"/>
      <c r="G5" s="147" t="s">
        <v>129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149</v>
      </c>
      <c r="B6" s="125"/>
      <c r="C6" s="125"/>
      <c r="D6" s="125"/>
      <c r="E6" s="125"/>
      <c r="F6" s="7"/>
      <c r="G6" s="142" t="s">
        <v>130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150</v>
      </c>
      <c r="B7" s="125"/>
      <c r="C7" s="125"/>
      <c r="D7" s="125"/>
      <c r="E7" s="125"/>
      <c r="F7" s="63"/>
      <c r="G7" s="142" t="s">
        <v>131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147</v>
      </c>
      <c r="B14" s="154"/>
      <c r="C14" s="154"/>
      <c r="D14" s="154"/>
      <c r="E14" s="154"/>
      <c r="F14" s="6"/>
      <c r="G14" s="147" t="s">
        <v>129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149</v>
      </c>
      <c r="B15" s="125"/>
      <c r="C15" s="125"/>
      <c r="D15" s="125"/>
      <c r="E15" s="125"/>
      <c r="F15" s="7"/>
      <c r="G15" s="142" t="s">
        <v>130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150</v>
      </c>
      <c r="B16" s="125"/>
      <c r="C16" s="125"/>
      <c r="D16" s="125"/>
      <c r="E16" s="125"/>
      <c r="F16" s="63"/>
      <c r="G16" s="142" t="s">
        <v>131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115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141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112</v>
      </c>
      <c r="E30" s="101">
        <v>920</v>
      </c>
      <c r="F30" s="110" t="s">
        <v>27</v>
      </c>
      <c r="G30" s="106">
        <v>23000</v>
      </c>
      <c r="H30" s="106">
        <v>21344</v>
      </c>
      <c r="I30" s="108">
        <v>0.25</v>
      </c>
      <c r="J30" s="13">
        <f t="shared" ref="J30" si="0">H30*I30</f>
        <v>5336</v>
      </c>
      <c r="K30" s="12">
        <v>0</v>
      </c>
      <c r="L30" s="12">
        <v>0</v>
      </c>
      <c r="M30" s="13">
        <f t="shared" ref="M30" si="1">J30</f>
        <v>5336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тридцать шесть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GWG-M-6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10H570SA/104025BA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K38" sqref="K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10H570SA/104025BA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GWG-M-6 от  04.09.2025г.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920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B32" sqref="B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04.09.2025г.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3" t="str">
        <f>+Инвойс!A6</f>
        <v xml:space="preserve">Республика Узбекистан, Джизакская область, 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3" t="str">
        <f>+Инвойс!A7</f>
        <v>Зарбдарский район, Ровот МФЙ, ул. Лойихада дом 1/1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Р/с N 2020 8840 8055 4748 4001 USD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3" t="str">
        <f>+Инвойс!A9</f>
        <v>в «ТУРОНБАНК» АКБ Головной офис (Ташкент)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3" t="str">
        <f>+Инвойс!A10</f>
        <v>МФО: 00446, SWIFT: TUROUZ22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3" t="str">
        <f>+Инвойс!A11</f>
        <v>ИНН: 309713324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3" t="str">
        <f>+Инвойс!A15</f>
        <v xml:space="preserve">Республика Узбекистан, Джизакская область, 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3" t="str">
        <f>+Инвойс!A16</f>
        <v>Зарбдарский район, Ровот МФЙ, ул. Лойихада дом 1/1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Р/с N 2020 8840 8055 4748 4001 USD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3" t="str">
        <f>+Инвойс!A18</f>
        <v>в «ТУРОНБАНК» АКБ Головной офис (Ташкент)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3" t="str">
        <f>+Инвойс!A19</f>
        <v>МФО: 00446, SWIFT: TUROUZ22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3" t="str">
        <f>+Инвойс!A20</f>
        <v>ИНН: 309713324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39" t="s">
        <v>113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10H570SA/104025BA</v>
      </c>
      <c r="F26" s="141"/>
      <c r="G26" s="141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9.4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23000</v>
      </c>
      <c r="H30" s="106">
        <f>+Инвойс!H30</f>
        <v>21344</v>
      </c>
      <c r="I30" s="108">
        <f>+Инвойс!I30</f>
        <v>0.25</v>
      </c>
      <c r="J30" s="13">
        <f>+Инвойс!J30</f>
        <v>5336</v>
      </c>
      <c r="K30" s="12">
        <v>0</v>
      </c>
      <c r="L30" s="12">
        <v>0</v>
      </c>
      <c r="M30" s="13">
        <f>+Инвойс!M30</f>
        <v>5336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тридцать шесть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156</v>
      </c>
      <c r="B36" s="132"/>
      <c r="D36" s="18" t="str">
        <f>+Инвойс!D36</f>
        <v>Тиловбеков Б.Э.</v>
      </c>
      <c r="E36" s="133"/>
      <c r="G36" s="130" t="s">
        <v>127</v>
      </c>
      <c r="H36" s="18" t="str">
        <f>Инвойс!G5</f>
        <v>ООО «ГРИН ВОРЛД»</v>
      </c>
      <c r="K36" s="134" t="s">
        <v>137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125</v>
      </c>
    </row>
    <row r="5" spans="1:10" ht="92.4" x14ac:dyDescent="0.25">
      <c r="A5" s="127" t="s">
        <v>159</v>
      </c>
    </row>
    <row r="6" spans="1:10" x14ac:dyDescent="0.25">
      <c r="E6" s="18" t="s">
        <v>126</v>
      </c>
      <c r="J6" s="25" t="s">
        <v>140</v>
      </c>
    </row>
    <row r="7" spans="1:10" ht="52.8" x14ac:dyDescent="0.25">
      <c r="A7" s="127" t="s">
        <v>115</v>
      </c>
    </row>
    <row r="8" spans="1:10" x14ac:dyDescent="0.25">
      <c r="E8" s="18" t="s">
        <v>141</v>
      </c>
      <c r="J8" s="25" t="s">
        <v>142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143</v>
      </c>
      <c r="J10" s="25" t="s">
        <v>144</v>
      </c>
    </row>
    <row r="11" spans="1:10" ht="52.8" x14ac:dyDescent="0.25">
      <c r="A11" s="127" t="s">
        <v>157</v>
      </c>
    </row>
    <row r="12" spans="1:10" x14ac:dyDescent="0.25">
      <c r="E12" s="18" t="s">
        <v>145</v>
      </c>
      <c r="J12" s="25" t="s">
        <v>146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45904</v>
      </c>
      <c r="O3" s="177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тридцать шесть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4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тридцать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5336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5336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2025-09-04T14:51:12Z</cp:lastPrinted>
  <dcterms:created xsi:type="dcterms:W3CDTF">1996-10-14T23:33:28Z</dcterms:created>
  <dcterms:modified xsi:type="dcterms:W3CDTF">2025-09-04T14:52:55Z</dcterms:modified>
</cp:coreProperties>
</file>