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53B775E-92C8-4F9D-A222-0AC4F2875E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<sst xmlns="http://schemas.openxmlformats.org/spreadsheetml/2006/main" count="201" uniqueCount="163">
  <si>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</si>
  <si>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</si>
  <si>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</si>
  <si>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</si>
  <si>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</si>
  <si>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</si>
  <si>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</si>
  <si>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</si>
  <si>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</si>
  <si>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</si>
  <si>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</si>
  <si>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</si>
  <si>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</si>
  <si>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</si>
  <si>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</si>
  <si>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</si>
  <si>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</si>
  <si>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</si>
  <si>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</si>
  <si>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</si>
  <si>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</si>
  <si>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</si>
  <si>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</si>
  <si>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</si>
  <si>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</si>
  <si>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</si>
  <si>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</si>
  <si>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</si>
  <si>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</si>
  <si>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</si>
  <si>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</si>
  <si>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</si>
  <si>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</si>
  <si>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</si>
  <si>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</si>
  <si>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</si>
  <si>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</si>
  <si>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</si>
  <si>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</si>
  <si>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</si>
  <si>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</si>
  <si>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</si>
  <si>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</si>
  <si>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</si>
  <si>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</si>
  <si>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</si>
  <si>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</si>
  <si>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</si>
  <si>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</si>
  <si>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</si>
  <si>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</si>
  <si>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</si>
  <si>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</si>
  <si>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</si>
  <si>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</si>
  <si>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</si>
  <si>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</si>
  <si>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</si>
  <si>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</si>
  <si>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</si>
  <si>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</si>
  <si>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</si>
  <si>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</si>
  <si>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</si>
  <si>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</si>
  <si>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</si>
  <si>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</si>
  <si>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</si>
  <si>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</si>
  <si>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</si>
  <si>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</si>
  <si>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</si>
  <si>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</si>
  <si>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</si>
  <si>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</si>
  <si>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</si>
  <si>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</si>
  <si>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</si>
  <si>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</si>
  <si>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</si>
  <si>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</si>
  <si>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</si>
  <si>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</si>
  <si>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</si>
  <si>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</si>
  <si>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</si>
  <si>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</si>
  <si>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</si>
  <si>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</si>
  <si>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</si>
  <si>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</si>
  <si>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</si>
  <si>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</si>
  <si>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</si>
  <si>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</si>
  <si>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</si>
  <si>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</si>
  <si>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</si>
  <si>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</si>
  <si>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</si>
  <si>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</si>
  <si>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</si>
  <si>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</si>
  <si>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</si>
  <si>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</si>
  <si>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</si>
  <si>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</si>
  <si>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</si>
  <si>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</si>
  <si>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</si>
  <si>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</si>
  <si>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</si>
  <si>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</si>
  <si>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</si>
  <si>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</si>
  <si>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</si>
  <si>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</si>
  <si>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</si>
  <si>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</si>
  <si>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</si>
  <si>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</si>
  <si>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</si>
  <si>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</si>
  <si>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</si>
  <si>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</si>
  <si>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</si>
  <si>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</si>
  <si>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</si>
  <si>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</si>
  <si>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</si>
  <si>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</si>
  <si>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</si>
  <si>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</si>
  <si>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</si>
  <si>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</si>
  <si>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</si>
  <si>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</si>
  <si>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</si>
  <si>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</si>
  <si>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</si>
  <si>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</si>
  <si>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</si>
  <si>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</si>
  <si>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</si>
  <si>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</si>
  <si>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</si>
  <si>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</si>
  <si>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</si>
  <si>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</si>
  <si>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</si>
  <si>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</si>
  <si>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</si>
  <si>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</si>
  <si>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</si>
  <si>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</si>
  <si>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</si>
  <si>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</si>
  <si>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</si>
  <si>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BEZ-O-16 от </t>
  </si>
  <si>
    <t xml:space="preserve"> 13.08.2025г.</t>
  </si>
  <si>
    <t>01581DMA/018647BA</t>
  </si>
  <si>
    <t>DAP - с Амандык , Республика Казахстан</t>
  </si>
  <si>
    <t xml:space="preserve">СПЕЦИФИКАЦИЯ № BEZ-O-16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</si>
</sst>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0" t="s">
        <v>158</v>
      </c>
      <c r="D1" s="150"/>
      <c r="E1" s="150"/>
      <c r="F1" s="149" t="s">
        <v>159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117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">
        <v>160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965</v>
      </c>
      <c r="F30" s="110" t="s">
        <v>27</v>
      </c>
      <c r="G30" s="106">
        <v>22500</v>
      </c>
      <c r="H30" s="106">
        <v>20765</v>
      </c>
      <c r="I30" s="108">
        <v>0.2</v>
      </c>
      <c r="J30" s="13">
        <f t="shared" ref="J30" si="0">H30*I30</f>
        <v>4153</v>
      </c>
      <c r="K30" s="12">
        <v>0</v>
      </c>
      <c r="L30" s="12">
        <v>0</v>
      </c>
      <c r="M30" s="13">
        <f t="shared" ref="M30" si="1">J30</f>
        <v>4153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965</v>
      </c>
      <c r="F31" s="15"/>
      <c r="G31" s="64">
        <f>SUM(G30:G30)</f>
        <v>22500</v>
      </c>
      <c r="H31" s="64">
        <f>SUM(H30:H30)</f>
        <v>20765</v>
      </c>
      <c r="I31" s="102"/>
      <c r="J31" s="17">
        <f>SUM(J30:J30)</f>
        <v>4153</v>
      </c>
      <c r="K31" s="16"/>
      <c r="L31" s="16"/>
      <c r="M31" s="17">
        <f>SUM(M30:M30)</f>
        <v>4153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пятьдесят три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BEZ-O-16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965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01581DMA/018647BA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5" t="s">
        <v>96</v>
      </c>
      <c r="C2" s="165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6" t="str">
        <f>+Инвойс!E26</f>
        <v>01581DMA/018647BA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BEZ-O-16 от  13.08.2025г.</v>
      </c>
      <c r="I15" s="168"/>
      <c r="J15" s="168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965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25">
      <c r="B20" s="83"/>
      <c r="E20" s="123"/>
      <c r="F20" s="118"/>
      <c r="G20" s="160"/>
      <c r="H20" s="160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0"/>
      <c r="H22" s="160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0"/>
      <c r="H24" s="160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0"/>
      <c r="H26" s="160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0"/>
      <c r="H28" s="160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0"/>
      <c r="H30" s="160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0"/>
      <c r="H32" s="160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0"/>
      <c r="H34" s="160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0"/>
      <c r="H36" s="160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0"/>
      <c r="H38" s="160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0"/>
      <c r="H42" s="160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2"/>
      <c r="H44" s="162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3">
        <f>+F18+F20+F22+F24+F26+F28+F30+F32+F34+F36+F38+F40+F42</f>
        <v>965</v>
      </c>
      <c r="E47" s="164"/>
    </row>
    <row r="48" spans="2:10" ht="17.25" customHeight="1" x14ac:dyDescent="0.25">
      <c r="B48" s="161" t="s">
        <v>105</v>
      </c>
      <c r="C48" s="161"/>
      <c r="D48" s="161"/>
      <c r="E48" s="161"/>
    </row>
    <row r="49" spans="2:5" ht="21.75" customHeight="1" x14ac:dyDescent="0.25">
      <c r="B49" s="161"/>
      <c r="C49" s="161"/>
      <c r="D49" s="161"/>
      <c r="E49" s="161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9" t="s">
        <v>162</v>
      </c>
      <c r="C1" s="169"/>
      <c r="D1" s="169"/>
      <c r="E1" s="169"/>
      <c r="F1" s="149" t="str">
        <f>+Инвойс!F1</f>
        <v xml:space="preserve"> 13.08.2025г.</v>
      </c>
      <c r="G1" s="149"/>
      <c r="H1" s="149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2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36" t="s">
        <v>116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7" t="str">
        <f>+Инвойс!E26</f>
        <v>01581DMA/018647BA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2.25" x14ac:dyDescent="0.2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965</v>
      </c>
      <c r="F30" s="116" t="str">
        <f>+Инвойс!F30</f>
        <v>кг</v>
      </c>
      <c r="G30" s="106">
        <f>+Инвойс!G30</f>
        <v>22500</v>
      </c>
      <c r="H30" s="106">
        <f>+Инвойс!H30</f>
        <v>20765</v>
      </c>
      <c r="I30" s="108">
        <f>+Инвойс!I30</f>
        <v>0.2</v>
      </c>
      <c r="J30" s="13">
        <f>+Инвойс!J30</f>
        <v>4153</v>
      </c>
      <c r="K30" s="12">
        <v>0</v>
      </c>
      <c r="L30" s="12">
        <v>0</v>
      </c>
      <c r="M30" s="13">
        <f>+Инвойс!M30</f>
        <v>4153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965</v>
      </c>
      <c r="F31" s="15"/>
      <c r="G31" s="64">
        <f>SUM(G30:G30)</f>
        <v>22500</v>
      </c>
      <c r="H31" s="64">
        <f>SUM(H30:H30)</f>
        <v>20765</v>
      </c>
      <c r="I31" s="102"/>
      <c r="J31" s="17">
        <f>SUM(J30:J30)</f>
        <v>4153</v>
      </c>
      <c r="K31" s="16"/>
      <c r="L31" s="16"/>
      <c r="M31" s="17">
        <f>SUM(M30:M30)</f>
        <v>4153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Четыре тысячи сто пятьдесят три доллара США,00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4153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пятьдесят три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45882</v>
      </c>
      <c r="O3" s="175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сто пятьдесят три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13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пятьдесят три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пятьдесят три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сто пятьдесят три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4153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4153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153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2025-08-13T05:41:17Z</cp:lastPrinted>
  <dcterms:created xsi:type="dcterms:W3CDTF">1996-10-14T23:33:28Z</dcterms:created>
  <dcterms:modified xsi:type="dcterms:W3CDTF">2025-08-13T05:41:22Z</dcterms:modified>
</cp:coreProperties>
</file>