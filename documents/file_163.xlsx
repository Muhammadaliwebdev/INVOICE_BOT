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670A8BA-9BF3-4D93-870D-03E38DB759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state="hidden" r:id="rId4"/>
    <sheet name="Лист2" sheetId="6" r:id="rId5"/>
    <sheet name="Лист1" sheetId="3" r:id="rId6"/>
  </sheets>
  <calcPr calcId="191029"/>
</workbook>
</file>

<file path=xl/calcChain.xml><?xml version="1.0" encoding="utf-8"?>
<calcChain xmlns="http://schemas.openxmlformats.org/spreadsheetml/2006/main">
  <c r="C2" i="7" l="1"/>
  <c r="F1" i="7" l="1"/>
  <c r="A69" i="7"/>
  <c r="A14" i="7"/>
  <c r="D69" i="7"/>
  <c r="G20" i="7" l="1"/>
  <c r="G19" i="7"/>
  <c r="G18" i="7"/>
  <c r="G17" i="7"/>
  <c r="G16" i="7"/>
  <c r="G15" i="7"/>
  <c r="G14" i="7"/>
  <c r="G10" i="7"/>
  <c r="G9" i="7"/>
  <c r="G8" i="7"/>
  <c r="G7" i="7"/>
  <c r="G6" i="7"/>
  <c r="G5" i="7"/>
  <c r="A15" i="7"/>
  <c r="A16" i="7"/>
  <c r="A17" i="7"/>
  <c r="A18" i="7"/>
  <c r="A19" i="7"/>
  <c r="A20" i="7"/>
  <c r="A6" i="7"/>
  <c r="A7" i="7"/>
  <c r="A8" i="7"/>
  <c r="A9" i="7"/>
  <c r="A10" i="7"/>
  <c r="A11" i="7"/>
  <c r="A5" i="7"/>
  <c r="H33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A31" i="7"/>
  <c r="B31" i="7"/>
  <c r="D31" i="7"/>
  <c r="E31" i="7"/>
  <c r="G31" i="7"/>
  <c r="H31" i="7"/>
  <c r="I31" i="7"/>
  <c r="A32" i="7"/>
  <c r="B32" i="7"/>
  <c r="D32" i="7"/>
  <c r="E32" i="7"/>
  <c r="G32" i="7"/>
  <c r="H32" i="7"/>
  <c r="I32" i="7"/>
  <c r="A33" i="7"/>
  <c r="B33" i="7"/>
  <c r="D33" i="7"/>
  <c r="E33" i="7"/>
  <c r="I33" i="7"/>
  <c r="A34" i="7"/>
  <c r="B34" i="7"/>
  <c r="D34" i="7"/>
  <c r="E34" i="7"/>
  <c r="G34" i="7"/>
  <c r="H34" i="7"/>
  <c r="I34" i="7"/>
  <c r="A35" i="7"/>
  <c r="B35" i="7"/>
  <c r="D35" i="7"/>
  <c r="E35" i="7"/>
  <c r="G35" i="7"/>
  <c r="H35" i="7"/>
  <c r="I35" i="7"/>
  <c r="A36" i="7"/>
  <c r="B36" i="7"/>
  <c r="D36" i="7"/>
  <c r="E36" i="7"/>
  <c r="G36" i="7"/>
  <c r="H36" i="7"/>
  <c r="I36" i="7"/>
  <c r="A37" i="7"/>
  <c r="B37" i="7"/>
  <c r="D37" i="7"/>
  <c r="E37" i="7"/>
  <c r="G37" i="7"/>
  <c r="H37" i="7"/>
  <c r="I37" i="7"/>
  <c r="A38" i="7"/>
  <c r="B38" i="7"/>
  <c r="D38" i="7"/>
  <c r="E38" i="7"/>
  <c r="G38" i="7"/>
  <c r="H38" i="7"/>
  <c r="I38" i="7"/>
  <c r="A39" i="7"/>
  <c r="B39" i="7"/>
  <c r="D39" i="7"/>
  <c r="E39" i="7"/>
  <c r="G39" i="7"/>
  <c r="H39" i="7"/>
  <c r="I39" i="7"/>
  <c r="A40" i="7"/>
  <c r="B40" i="7"/>
  <c r="D40" i="7"/>
  <c r="E40" i="7"/>
  <c r="G40" i="7"/>
  <c r="H40" i="7"/>
  <c r="I40" i="7"/>
  <c r="A41" i="7"/>
  <c r="B41" i="7"/>
  <c r="D41" i="7"/>
  <c r="E41" i="7"/>
  <c r="G41" i="7"/>
  <c r="H41" i="7"/>
  <c r="I41" i="7"/>
  <c r="A42" i="7"/>
  <c r="B42" i="7"/>
  <c r="D42" i="7"/>
  <c r="E42" i="7"/>
  <c r="G42" i="7"/>
  <c r="H42" i="7"/>
  <c r="I42" i="7"/>
  <c r="A43" i="7"/>
  <c r="B43" i="7"/>
  <c r="D43" i="7"/>
  <c r="E43" i="7"/>
  <c r="G43" i="7"/>
  <c r="H43" i="7"/>
  <c r="I43" i="7"/>
  <c r="A44" i="7"/>
  <c r="B44" i="7"/>
  <c r="D44" i="7"/>
  <c r="E44" i="7"/>
  <c r="G44" i="7"/>
  <c r="H44" i="7"/>
  <c r="I44" i="7"/>
  <c r="A45" i="7"/>
  <c r="B45" i="7"/>
  <c r="D45" i="7"/>
  <c r="E45" i="7"/>
  <c r="G45" i="7"/>
  <c r="H45" i="7"/>
  <c r="I45" i="7"/>
  <c r="A46" i="7"/>
  <c r="B46" i="7"/>
  <c r="D46" i="7"/>
  <c r="E46" i="7"/>
  <c r="G46" i="7"/>
  <c r="H46" i="7"/>
  <c r="I46" i="7"/>
  <c r="A47" i="7"/>
  <c r="B47" i="7"/>
  <c r="D47" i="7"/>
  <c r="E47" i="7"/>
  <c r="G47" i="7"/>
  <c r="H47" i="7"/>
  <c r="I47" i="7"/>
  <c r="A48" i="7"/>
  <c r="B48" i="7"/>
  <c r="D48" i="7"/>
  <c r="E48" i="7"/>
  <c r="G48" i="7"/>
  <c r="H48" i="7"/>
  <c r="I48" i="7"/>
  <c r="A49" i="7"/>
  <c r="B49" i="7"/>
  <c r="D49" i="7"/>
  <c r="E49" i="7"/>
  <c r="G49" i="7"/>
  <c r="H49" i="7"/>
  <c r="I49" i="7"/>
  <c r="A50" i="7"/>
  <c r="B50" i="7"/>
  <c r="D50" i="7"/>
  <c r="E50" i="7"/>
  <c r="G50" i="7"/>
  <c r="H50" i="7"/>
  <c r="I50" i="7"/>
  <c r="A51" i="7"/>
  <c r="B51" i="7"/>
  <c r="D51" i="7"/>
  <c r="E51" i="7"/>
  <c r="G51" i="7"/>
  <c r="H51" i="7"/>
  <c r="I51" i="7"/>
  <c r="A52" i="7"/>
  <c r="B52" i="7"/>
  <c r="D52" i="7"/>
  <c r="E52" i="7"/>
  <c r="G52" i="7"/>
  <c r="H52" i="7"/>
  <c r="I52" i="7"/>
  <c r="A53" i="7"/>
  <c r="B53" i="7"/>
  <c r="D53" i="7"/>
  <c r="E53" i="7"/>
  <c r="G53" i="7"/>
  <c r="H53" i="7"/>
  <c r="I53" i="7"/>
  <c r="A54" i="7"/>
  <c r="B54" i="7"/>
  <c r="D54" i="7"/>
  <c r="E54" i="7"/>
  <c r="G54" i="7"/>
  <c r="H54" i="7"/>
  <c r="I54" i="7"/>
  <c r="A55" i="7"/>
  <c r="B55" i="7"/>
  <c r="D55" i="7"/>
  <c r="E55" i="7"/>
  <c r="G55" i="7"/>
  <c r="H55" i="7"/>
  <c r="I55" i="7"/>
  <c r="A56" i="7"/>
  <c r="B56" i="7"/>
  <c r="D56" i="7"/>
  <c r="E56" i="7"/>
  <c r="G56" i="7"/>
  <c r="H56" i="7"/>
  <c r="I56" i="7"/>
  <c r="A57" i="7"/>
  <c r="B57" i="7"/>
  <c r="D57" i="7"/>
  <c r="E57" i="7"/>
  <c r="G57" i="7"/>
  <c r="H57" i="7"/>
  <c r="I57" i="7"/>
  <c r="A58" i="7"/>
  <c r="B58" i="7"/>
  <c r="D58" i="7"/>
  <c r="E58" i="7"/>
  <c r="G58" i="7"/>
  <c r="H58" i="7"/>
  <c r="I58" i="7"/>
  <c r="A59" i="7"/>
  <c r="B59" i="7"/>
  <c r="D59" i="7"/>
  <c r="E59" i="7"/>
  <c r="G59" i="7"/>
  <c r="H59" i="7"/>
  <c r="I59" i="7"/>
  <c r="A60" i="7"/>
  <c r="B60" i="7"/>
  <c r="D60" i="7"/>
  <c r="E60" i="7"/>
  <c r="G60" i="7"/>
  <c r="H60" i="7"/>
  <c r="I60" i="7"/>
  <c r="A61" i="7"/>
  <c r="B61" i="7"/>
  <c r="D61" i="7"/>
  <c r="E61" i="7"/>
  <c r="G61" i="7"/>
  <c r="H61" i="7"/>
  <c r="I61" i="7"/>
  <c r="A62" i="7"/>
  <c r="B62" i="7"/>
  <c r="D62" i="7"/>
  <c r="E62" i="7"/>
  <c r="G62" i="7"/>
  <c r="H62" i="7"/>
  <c r="I62" i="7"/>
  <c r="A63" i="7"/>
  <c r="B63" i="7"/>
  <c r="D63" i="7"/>
  <c r="E63" i="7"/>
  <c r="G63" i="7"/>
  <c r="H63" i="7"/>
  <c r="I63" i="7"/>
  <c r="I30" i="7"/>
  <c r="H30" i="7"/>
  <c r="G30" i="7"/>
  <c r="E30" i="7"/>
  <c r="D30" i="7"/>
  <c r="B30" i="7"/>
  <c r="A30" i="7"/>
  <c r="E26" i="7"/>
  <c r="C24" i="7"/>
  <c r="G33" i="7" l="1"/>
  <c r="G64" i="7" s="1"/>
  <c r="E64" i="7"/>
  <c r="H64" i="7" l="1"/>
  <c r="M55" i="7" l="1"/>
  <c r="J55" i="7"/>
  <c r="M54" i="7"/>
  <c r="J54" i="7"/>
  <c r="M58" i="7"/>
  <c r="J58" i="7"/>
  <c r="M57" i="7"/>
  <c r="J57" i="7"/>
  <c r="M59" i="7"/>
  <c r="J59" i="7"/>
  <c r="M62" i="7"/>
  <c r="J62" i="7"/>
  <c r="M50" i="7"/>
  <c r="J50" i="7"/>
  <c r="M52" i="7"/>
  <c r="J52" i="7"/>
  <c r="M60" i="7"/>
  <c r="J60" i="7"/>
  <c r="M56" i="7"/>
  <c r="J56" i="7"/>
  <c r="M51" i="7"/>
  <c r="J51" i="7"/>
  <c r="M53" i="7"/>
  <c r="J53" i="7"/>
  <c r="M61" i="7"/>
  <c r="J61" i="7"/>
  <c r="M45" i="7" l="1"/>
  <c r="J45" i="7"/>
  <c r="M47" i="7"/>
  <c r="J47" i="7"/>
  <c r="M46" i="7"/>
  <c r="J46" i="7"/>
  <c r="M48" i="7"/>
  <c r="J48" i="7"/>
  <c r="M49" i="7"/>
  <c r="J49" i="7"/>
  <c r="E31" i="2"/>
  <c r="M40" i="7" l="1"/>
  <c r="J40" i="7"/>
  <c r="M41" i="7"/>
  <c r="J41" i="7"/>
  <c r="M42" i="7"/>
  <c r="J42" i="7"/>
  <c r="M43" i="7"/>
  <c r="J43" i="7"/>
  <c r="M63" i="7"/>
  <c r="J63" i="7"/>
  <c r="M38" i="7"/>
  <c r="J38" i="7"/>
  <c r="M39" i="7"/>
  <c r="J39" i="7"/>
  <c r="M44" i="7"/>
  <c r="J44" i="7"/>
  <c r="G31" i="2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6" i="7"/>
  <c r="J32" i="7"/>
  <c r="J30" i="2"/>
  <c r="M34" i="7" l="1"/>
  <c r="J34" i="7"/>
  <c r="M30" i="2"/>
  <c r="M30" i="7" s="1"/>
  <c r="J30" i="7"/>
  <c r="M35" i="7"/>
  <c r="J35" i="7"/>
  <c r="M31" i="7"/>
  <c r="J31" i="7"/>
  <c r="M37" i="7"/>
  <c r="J37" i="7"/>
  <c r="M33" i="7"/>
  <c r="J33" i="7"/>
  <c r="M36" i="7"/>
  <c r="J31" i="2"/>
  <c r="M32" i="7"/>
  <c r="S3" i="3"/>
  <c r="S4" i="3"/>
  <c r="P3" i="3"/>
  <c r="R3" i="3"/>
  <c r="Q3" i="3" l="1"/>
  <c r="K4" i="3" s="1"/>
  <c r="J64" i="7"/>
  <c r="M64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6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<sst xmlns="http://schemas.openxmlformats.org/spreadsheetml/2006/main" count="231" uniqueCount="153">
  <si>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</si>
  <si>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</si>
  <si>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</si>
  <si>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</si>
  <si>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</si>
  <si>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</si>
  <si>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</si>
  <si>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</si>
  <si>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</si>
  <si>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</si>
  <si>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</si>
  <si>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</si>
  <si>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</si>
  <si>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</si>
  <si>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</si>
  <si>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</si>
  <si>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</si>
  <si>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</si>
  <si>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</si>
  <si>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</si>
  <si>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</si>
  <si>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</si>
  <si>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</si>
  <si>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</si>
  <si>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</si>
  <si>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</si>
  <si>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</si>
  <si>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</si>
  <si>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</si>
  <si>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</si>
  <si>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</si>
  <si>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</si>
  <si>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</si>
  <si>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</si>
  <si>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</si>
  <si>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</si>
  <si>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</si>
  <si>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</si>
  <si>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</si>
  <si>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</si>
  <si>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</si>
  <si>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</si>
  <si>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</si>
  <si>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</si>
  <si>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</si>
  <si>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</si>
  <si>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</si>
  <si>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</si>
  <si>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</si>
  <si>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</si>
  <si>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</si>
  <si>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</si>
  <si>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</si>
  <si>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</si>
  <si>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</si>
  <si>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</si>
  <si>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</si>
  <si>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</si>
  <si>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</si>
  <si>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</si>
  <si>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</si>
  <si>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</si>
  <si>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</si>
  <si>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</si>
  <si>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</si>
  <si>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</si>
  <si>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</si>
  <si>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</si>
  <si>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</si>
  <si>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</si>
  <si>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</si>
  <si>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</si>
  <si>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</si>
  <si>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</si>
  <si>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</si>
  <si>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</si>
  <si>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</si>
  <si>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</si>
  <si>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</si>
  <si>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</si>
  <si>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</si>
  <si>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</si>
  <si>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</si>
  <si>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</si>
  <si>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</si>
  <si>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</si>
  <si>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</si>
  <si>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</si>
  <si>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</si>
  <si>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</si>
  <si>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</si>
  <si>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</si>
  <si>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</si>
  <si>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</si>
  <si>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</si>
  <si>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</si>
  <si>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</si>
  <si>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</si>
  <si>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</si>
  <si>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</si>
  <si>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</si>
  <si>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</si>
  <si>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</si>
  <si>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</si>
  <si>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</si>
  <si>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</si>
  <si>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</si>
  <si>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</si>
  <si>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</si>
  <si>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</si>
  <si>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</si>
  <si>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</si>
  <si>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</si>
  <si>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</si>
  <si>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</si>
  <si>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</si>
  <si>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</si>
  <si>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</si>
  <si>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</si>
  <si>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</si>
  <si>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</si>
  <si>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</si>
  <si>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</si>
  <si>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</si>
  <si>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 xml:space="preserve">Директор:  </t>
  </si>
  <si>
    <t>Директор:  ООО ТД «РЕСУРС»</t>
  </si>
  <si>
    <t>Касимов Д. Д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</si>
  <si>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</si>
  <si>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</si>
  <si>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</si>
  <si>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</si>
  <si>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t xml:space="preserve">в “Узсаноаткурилиш” Банк операционный </t>
  </si>
  <si>
    <t>МФО 00440</t>
  </si>
  <si>
    <t>ИНН: 308822933</t>
  </si>
  <si>
    <t xml:space="preserve">СПЕЦИФИКАЦИЯ № BEZ-F- от </t>
  </si>
  <si>
    <t>Сапаров И. Е</t>
  </si>
  <si>
    <t>к контракту № 2025.07-25-01 от 25.07.2025 года</t>
  </si>
  <si>
    <r>
      <t xml:space="preserve">Р/с N </t>
    </r>
    <r>
      <rPr>
        <sz val="11"/>
        <color indexed="8"/>
        <rFont val="Times New Roman"/>
        <family val="1"/>
        <charset val="204"/>
      </rPr>
      <t>20208000605433267001   (USD)</t>
    </r>
  </si>
  <si>
    <t>ООО «Аспект»</t>
  </si>
  <si>
    <t xml:space="preserve">107497, Россия, г. Москва, вн.тер.г. муниципальный округ </t>
  </si>
  <si>
    <t xml:space="preserve">Гольяново, 2-й Иртышский пр-в, д. 4Б, стр. 3 </t>
  </si>
  <si>
    <t>Банк: КБ "Максима"(ООО), г. Москва РФ</t>
  </si>
  <si>
    <t>ИНН   9718239835   КПП   771801001</t>
  </si>
  <si>
    <t xml:space="preserve">Корр.счет: 40702840100000005715   </t>
  </si>
  <si>
    <t>(SWIFT code: MAXMRUM1XXX)</t>
  </si>
  <si>
    <t>Виноград свежий столовых сортов</t>
  </si>
  <si>
    <t>0806101001</t>
  </si>
  <si>
    <t>FCA - г. Ташкент (ИНКОТЕРМС-2010)</t>
  </si>
  <si>
    <t xml:space="preserve">ИНВОЙС № BEA-10 от </t>
  </si>
  <si>
    <t>75159HBA/756172AA</t>
  </si>
  <si>
    <t>Пласт. ящик</t>
  </si>
  <si>
    <t>11.08.2025г.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</si>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</sst>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8"/>
      <name val="Arial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7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1098177</xdr:colOff>
      <xdr:row>36</xdr:row>
      <xdr:rowOff>156882</xdr:rowOff>
    </xdr:from>
    <xdr:to>
      <xdr:col>3</xdr:col>
      <xdr:colOff>596153</xdr:colOff>
      <xdr:row>46</xdr:row>
      <xdr:rowOff>122143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C4F73E67-611C-CEBF-4F38-38083AB38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5" y="9446558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398517</xdr:colOff>
      <xdr:row>68</xdr:row>
      <xdr:rowOff>189869</xdr:rowOff>
    </xdr:from>
    <xdr:to>
      <xdr:col>12</xdr:col>
      <xdr:colOff>636912</xdr:colOff>
      <xdr:row>84</xdr:row>
      <xdr:rowOff>124214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68C721A-DF92-6146-03CC-73B8599F6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113577">
          <a:off x="5900605" y="19430369"/>
          <a:ext cx="2625248" cy="265737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257735</xdr:colOff>
      <xdr:row>70</xdr:row>
      <xdr:rowOff>78441</xdr:rowOff>
    </xdr:from>
    <xdr:to>
      <xdr:col>7</xdr:col>
      <xdr:colOff>443417</xdr:colOff>
      <xdr:row>75</xdr:row>
      <xdr:rowOff>49830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647C1AD-8EFA-B0B7-B410-A1F34B16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19711147"/>
          <a:ext cx="1183005" cy="8902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280147</xdr:colOff>
      <xdr:row>69</xdr:row>
      <xdr:rowOff>145676</xdr:rowOff>
    </xdr:from>
    <xdr:to>
      <xdr:col>3</xdr:col>
      <xdr:colOff>0</xdr:colOff>
      <xdr:row>82</xdr:row>
      <xdr:rowOff>67898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E5147CEE-EE03-43D8-A819-EB41EEC6F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147" y="14937441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8" t="s">
        <v>148</v>
      </c>
      <c r="D1" s="148"/>
      <c r="E1" s="148"/>
      <c r="F1" s="147" t="s">
        <v>151</v>
      </c>
      <c r="G1" s="147"/>
      <c r="H1" s="14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1" t="s">
        <v>136</v>
      </c>
      <c r="D2" s="151"/>
      <c r="E2" s="151"/>
      <c r="F2" s="151"/>
      <c r="G2" s="151"/>
      <c r="H2" s="151"/>
      <c r="I2" s="15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0" t="s">
        <v>19</v>
      </c>
      <c r="B4" s="140"/>
      <c r="C4" s="140"/>
      <c r="D4" s="140"/>
      <c r="E4" s="140"/>
      <c r="G4" s="140" t="s">
        <v>20</v>
      </c>
      <c r="H4" s="140"/>
      <c r="I4" s="140"/>
      <c r="J4" s="140"/>
      <c r="K4" s="140"/>
      <c r="L4" s="140"/>
      <c r="M4" s="140"/>
    </row>
    <row r="5" spans="1:15" ht="14.25" customHeight="1" x14ac:dyDescent="0.25">
      <c r="A5" s="149" t="s">
        <v>128</v>
      </c>
      <c r="B5" s="149"/>
      <c r="C5" s="149"/>
      <c r="D5" s="149"/>
      <c r="E5" s="149"/>
      <c r="F5" s="6"/>
      <c r="G5" s="142" t="s">
        <v>138</v>
      </c>
      <c r="H5" s="142"/>
      <c r="I5" s="142"/>
      <c r="J5" s="142"/>
      <c r="K5" s="142"/>
      <c r="L5" s="142"/>
      <c r="M5" s="142"/>
    </row>
    <row r="6" spans="1:15" ht="13.8" x14ac:dyDescent="0.25">
      <c r="A6" s="125" t="s">
        <v>129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130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137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131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132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133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0"/>
      <c r="H12" s="150"/>
      <c r="I12" s="150"/>
      <c r="J12" s="150"/>
      <c r="K12" s="150"/>
      <c r="L12" s="150"/>
      <c r="M12" s="150"/>
    </row>
    <row r="13" spans="1:15" ht="24" customHeight="1" x14ac:dyDescent="0.35">
      <c r="A13" s="140" t="s">
        <v>31</v>
      </c>
      <c r="B13" s="140"/>
      <c r="C13" s="140"/>
      <c r="D13" s="140"/>
      <c r="E13" s="140"/>
      <c r="G13" s="140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49" t="s">
        <v>128</v>
      </c>
      <c r="B14" s="149"/>
      <c r="C14" s="149"/>
      <c r="D14" s="149"/>
      <c r="E14" s="149"/>
      <c r="F14" s="6"/>
      <c r="G14" s="142" t="s">
        <v>138</v>
      </c>
      <c r="H14" s="142"/>
      <c r="I14" s="142"/>
      <c r="J14" s="142"/>
      <c r="K14" s="142"/>
      <c r="L14" s="142"/>
      <c r="M14" s="142"/>
    </row>
    <row r="15" spans="1:15" ht="13.95" customHeight="1" x14ac:dyDescent="0.25">
      <c r="A15" s="125" t="s">
        <v>129</v>
      </c>
      <c r="B15" s="125"/>
      <c r="C15" s="125"/>
      <c r="D15" s="125"/>
      <c r="E15" s="125"/>
      <c r="F15" s="7"/>
      <c r="G15" s="138" t="s">
        <v>139</v>
      </c>
      <c r="H15" s="138"/>
      <c r="I15" s="138"/>
      <c r="J15" s="138"/>
      <c r="K15" s="138"/>
      <c r="L15" s="138"/>
      <c r="M15" s="138"/>
    </row>
    <row r="16" spans="1:15" ht="13.8" x14ac:dyDescent="0.25">
      <c r="A16" s="125" t="s">
        <v>130</v>
      </c>
      <c r="B16" s="125"/>
      <c r="C16" s="125"/>
      <c r="D16" s="125"/>
      <c r="E16" s="125"/>
      <c r="F16" s="63"/>
      <c r="G16" s="138" t="s">
        <v>140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137</v>
      </c>
      <c r="B17" s="8"/>
      <c r="C17" s="8"/>
      <c r="D17" s="8"/>
      <c r="E17" s="8"/>
      <c r="F17" s="63"/>
      <c r="G17" s="7" t="s">
        <v>141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131</v>
      </c>
      <c r="B18" s="8"/>
      <c r="C18" s="8"/>
      <c r="D18" s="8"/>
      <c r="E18" s="8"/>
      <c r="F18" s="7"/>
      <c r="G18" s="7" t="s">
        <v>142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132</v>
      </c>
      <c r="B19" s="125"/>
      <c r="C19" s="125"/>
      <c r="D19" s="125"/>
      <c r="E19" s="125"/>
      <c r="F19" s="7"/>
      <c r="G19" s="7" t="s">
        <v>143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133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/>
      <c r="C22" s="65"/>
      <c r="F22" s="1"/>
    </row>
    <row r="23" spans="1:17" ht="26.25" customHeight="1" x14ac:dyDescent="0.25">
      <c r="A23" s="69" t="s">
        <v>87</v>
      </c>
      <c r="B23" s="68"/>
      <c r="C23" s="135" t="s">
        <v>127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147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">
        <v>149</v>
      </c>
      <c r="F26" s="137"/>
      <c r="G26" s="137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1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1" t="s">
        <v>12</v>
      </c>
      <c r="H29" s="111" t="s">
        <v>13</v>
      </c>
      <c r="I29" s="132"/>
      <c r="J29" s="112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7">
        <v>1</v>
      </c>
      <c r="B30" s="101" t="s">
        <v>145</v>
      </c>
      <c r="C30" s="107" t="s">
        <v>146</v>
      </c>
      <c r="D30" s="109" t="s">
        <v>150</v>
      </c>
      <c r="E30" s="101">
        <v>2300</v>
      </c>
      <c r="F30" s="110" t="s">
        <v>27</v>
      </c>
      <c r="G30" s="106">
        <v>22650</v>
      </c>
      <c r="H30" s="106">
        <v>21040</v>
      </c>
      <c r="I30" s="108">
        <v>1.5</v>
      </c>
      <c r="J30" s="13">
        <f t="shared" ref="J30" si="0">H30*I30</f>
        <v>31560</v>
      </c>
      <c r="K30" s="12">
        <v>0</v>
      </c>
      <c r="L30" s="12">
        <v>0</v>
      </c>
      <c r="M30" s="13">
        <f t="shared" ref="M30" si="1">J30</f>
        <v>31560</v>
      </c>
      <c r="O30" s="100"/>
      <c r="Q30" s="100"/>
    </row>
    <row r="31" spans="1:17" ht="13.8" x14ac:dyDescent="0.25">
      <c r="A31" s="145" t="s">
        <v>0</v>
      </c>
      <c r="B31" s="146"/>
      <c r="C31" s="14"/>
      <c r="D31" s="15"/>
      <c r="E31" s="64">
        <f>SUM(E30:E30)</f>
        <v>2300</v>
      </c>
      <c r="F31" s="15"/>
      <c r="G31" s="64">
        <f>SUM(G30:G30)</f>
        <v>22650</v>
      </c>
      <c r="H31" s="64">
        <f>SUM(H30:H30)</f>
        <v>21040</v>
      </c>
      <c r="I31" s="102"/>
      <c r="J31" s="17">
        <f>SUM(J30:J30)</f>
        <v>31560</v>
      </c>
      <c r="K31" s="16"/>
      <c r="L31" s="16"/>
      <c r="M31" s="17">
        <f>SUM(M30:M30)</f>
        <v>31560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Тридцать одна тысяча пятьсот шестьдесят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152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135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8" zoomScale="115" zoomScaleNormal="115" workbookViewId="0">
      <selection activeCell="K39" sqref="K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«Аспект»</v>
      </c>
    </row>
    <row r="8" spans="1:11" x14ac:dyDescent="0.2">
      <c r="B8" s="70" t="str">
        <f>+Инвойс!G15</f>
        <v xml:space="preserve">107497, Россия, г. Москва, вн.тер.г. муниципальный округ </v>
      </c>
    </row>
    <row r="9" spans="1:11" ht="12.75" customHeight="1" x14ac:dyDescent="0.2">
      <c r="B9" s="70" t="str">
        <f>+Инвойс!G16</f>
        <v xml:space="preserve">Гольяново, 2-й Иртышский пр-в, д. 4Б, стр. 3 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88</v>
      </c>
      <c r="B13" s="113" t="s">
        <v>109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89</v>
      </c>
      <c r="B14" s="70" t="s">
        <v>107</v>
      </c>
    </row>
    <row r="15" spans="1:11" ht="7.5" hidden="1" customHeight="1" x14ac:dyDescent="0.2"/>
    <row r="16" spans="1:11" ht="12" customHeight="1" x14ac:dyDescent="0.2">
      <c r="B16" s="70" t="s">
        <v>104</v>
      </c>
    </row>
    <row r="17" spans="1:9" ht="25.5" customHeight="1" x14ac:dyDescent="0.2"/>
    <row r="18" spans="1:9" ht="13.5" customHeight="1" x14ac:dyDescent="0.2">
      <c r="A18" s="70" t="s">
        <v>90</v>
      </c>
      <c r="B18" s="70" t="s">
        <v>110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91</v>
      </c>
      <c r="C22" s="70" t="str">
        <f>+Инвойс!F1</f>
        <v>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2" t="str">
        <f>+CONCATENATE(Инвойс!C1,Инвойс!F1)</f>
        <v>ИНВОЙС № BEA-10 от 11.08.2025г.</v>
      </c>
      <c r="C24" s="152"/>
      <c r="D24" s="152"/>
      <c r="E24" s="73"/>
      <c r="F24" s="73"/>
      <c r="G24" s="73"/>
      <c r="H24" s="73"/>
      <c r="I24" s="73"/>
    </row>
    <row r="25" spans="1:9" x14ac:dyDescent="0.2">
      <c r="B25" s="153" t="s">
        <v>105</v>
      </c>
      <c r="C25" s="153"/>
      <c r="D25" s="153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2300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9" hidden="1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9" hidden="1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9" hidden="1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9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92</v>
      </c>
      <c r="B45" s="154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4"/>
      <c r="D45" s="154"/>
    </row>
    <row r="46" spans="1:9" ht="11.25" customHeight="1" x14ac:dyDescent="0.2">
      <c r="B46" s="154"/>
      <c r="C46" s="154"/>
      <c r="D46" s="154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111</v>
      </c>
      <c r="D49" s="155" t="str">
        <f>+C22</f>
        <v>11.08.2025г.</v>
      </c>
      <c r="E49" s="155"/>
      <c r="F49" s="155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93</v>
      </c>
      <c r="C57" s="80" t="str">
        <f>+Инвойс!E26</f>
        <v>75159HBA/756172AA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5" zoomScaleNormal="100" workbookViewId="0">
      <selection activeCell="L24" sqref="L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94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95</v>
      </c>
      <c r="F7" s="84"/>
      <c r="G7" s="85" t="s">
        <v>96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97</v>
      </c>
    </row>
    <row r="14" spans="2:11" ht="21" customHeight="1" x14ac:dyDescent="0.4">
      <c r="B14" s="164" t="str">
        <f>+Инвойс!E26</f>
        <v>75159HBA/756172AA</v>
      </c>
      <c r="C14" s="164"/>
      <c r="D14" s="164"/>
      <c r="E14" s="164"/>
      <c r="F14" s="164"/>
      <c r="G14" s="164"/>
      <c r="H14" s="165" t="s">
        <v>106</v>
      </c>
      <c r="I14" s="165"/>
      <c r="J14" s="88" t="str">
        <f>+Инвойс!F1</f>
        <v>11.08.2025г.</v>
      </c>
      <c r="K14" s="89"/>
    </row>
    <row r="15" spans="2:11" ht="21" x14ac:dyDescent="0.4">
      <c r="B15" s="82" t="s">
        <v>98</v>
      </c>
      <c r="C15" s="90"/>
      <c r="D15" s="90"/>
      <c r="E15" s="90"/>
      <c r="F15" s="90"/>
      <c r="G15" s="89" t="s">
        <v>99</v>
      </c>
      <c r="H15" s="166" t="str">
        <f>+CMR!B24</f>
        <v>ИНВОЙС № BEA-10 от 11.08.2025г.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100</v>
      </c>
    </row>
    <row r="18" spans="2:10" ht="13.5" customHeight="1" x14ac:dyDescent="0.3">
      <c r="B18" s="91"/>
      <c r="E18" s="117"/>
      <c r="F18" s="118">
        <f>+Инвойс!E30</f>
        <v>2300</v>
      </c>
      <c r="G18" s="158" t="str">
        <f>+CMR!F30</f>
        <v>Виноград свежий столовых сортов</v>
      </c>
      <c r="H18" s="158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56" t="str">
        <f>+Инвойс!C30</f>
        <v>0806101001</v>
      </c>
      <c r="H19" s="157"/>
      <c r="I19" s="122" t="s">
        <v>101</v>
      </c>
      <c r="J19" s="120">
        <f>+Инвойс!G30</f>
        <v>22650</v>
      </c>
    </row>
    <row r="20" spans="2:10" ht="13.5" customHeight="1" x14ac:dyDescent="0.3">
      <c r="B20" s="83"/>
      <c r="E20" s="123"/>
      <c r="F20" s="118"/>
      <c r="G20" s="158"/>
      <c r="H20" s="158"/>
      <c r="I20" s="119"/>
      <c r="J20" s="120"/>
    </row>
    <row r="21" spans="2:10" ht="13.5" customHeight="1" x14ac:dyDescent="0.3">
      <c r="B21" s="83" t="s">
        <v>102</v>
      </c>
      <c r="E21" s="123"/>
      <c r="F21" s="121"/>
      <c r="G21" s="156"/>
      <c r="H21" s="157"/>
      <c r="I21" s="122"/>
      <c r="J21" s="120"/>
    </row>
    <row r="22" spans="2:10" ht="12.75" customHeight="1" x14ac:dyDescent="0.3">
      <c r="B22" s="83"/>
      <c r="E22" s="123"/>
      <c r="F22" s="118"/>
      <c r="G22" s="158"/>
      <c r="H22" s="158"/>
      <c r="I22" s="119"/>
      <c r="J22" s="120"/>
    </row>
    <row r="23" spans="2:10" ht="14.25" customHeight="1" x14ac:dyDescent="0.3">
      <c r="B23" s="83"/>
      <c r="E23" s="123"/>
      <c r="F23" s="121"/>
      <c r="G23" s="156"/>
      <c r="H23" s="157"/>
      <c r="I23" s="122"/>
      <c r="J23" s="120"/>
    </row>
    <row r="24" spans="2:10" ht="12.75" customHeight="1" x14ac:dyDescent="0.3">
      <c r="B24" s="87"/>
      <c r="E24" s="123"/>
      <c r="F24" s="118"/>
      <c r="G24" s="158"/>
      <c r="H24" s="158"/>
      <c r="I24" s="119"/>
      <c r="J24" s="120"/>
    </row>
    <row r="25" spans="2:10" ht="12.75" customHeight="1" x14ac:dyDescent="0.3">
      <c r="B25" s="87"/>
      <c r="E25" s="123"/>
      <c r="F25" s="121"/>
      <c r="G25" s="156"/>
      <c r="H25" s="157"/>
      <c r="I25" s="122"/>
      <c r="J25" s="120"/>
    </row>
    <row r="26" spans="2:10" ht="12" customHeight="1" x14ac:dyDescent="0.3">
      <c r="B26" s="87"/>
      <c r="E26" s="123"/>
      <c r="F26" s="118"/>
      <c r="G26" s="158"/>
      <c r="H26" s="158"/>
      <c r="I26" s="119"/>
      <c r="J26" s="120"/>
    </row>
    <row r="27" spans="2:10" ht="14.25" customHeight="1" x14ac:dyDescent="0.3">
      <c r="B27" s="87"/>
      <c r="E27" s="123"/>
      <c r="F27" s="121"/>
      <c r="G27" s="156"/>
      <c r="H27" s="157"/>
      <c r="I27" s="122"/>
      <c r="J27" s="120"/>
    </row>
    <row r="28" spans="2:10" ht="12.75" customHeight="1" x14ac:dyDescent="0.3">
      <c r="B28" s="87"/>
      <c r="E28" s="123"/>
      <c r="F28" s="118"/>
      <c r="G28" s="158"/>
      <c r="H28" s="158"/>
      <c r="I28" s="119"/>
      <c r="J28" s="120"/>
    </row>
    <row r="29" spans="2:10" ht="12.75" customHeight="1" x14ac:dyDescent="0.3">
      <c r="B29" s="87"/>
      <c r="E29" s="123"/>
      <c r="F29" s="121"/>
      <c r="G29" s="156"/>
      <c r="H29" s="157"/>
      <c r="I29" s="122"/>
      <c r="J29" s="120"/>
    </row>
    <row r="30" spans="2:10" ht="12.75" customHeight="1" x14ac:dyDescent="0.3">
      <c r="B30" s="87"/>
      <c r="E30" s="123"/>
      <c r="F30" s="118"/>
      <c r="G30" s="158"/>
      <c r="H30" s="158"/>
      <c r="I30" s="119"/>
      <c r="J30" s="120"/>
    </row>
    <row r="31" spans="2:10" ht="13.5" customHeight="1" x14ac:dyDescent="0.3">
      <c r="B31" s="87"/>
      <c r="E31" s="123"/>
      <c r="F31" s="121"/>
      <c r="G31" s="156"/>
      <c r="H31" s="157"/>
      <c r="I31" s="122"/>
      <c r="J31" s="120"/>
    </row>
    <row r="32" spans="2:10" ht="13.5" customHeight="1" x14ac:dyDescent="0.3">
      <c r="B32" s="87"/>
      <c r="E32" s="123"/>
      <c r="F32" s="118"/>
      <c r="G32" s="158"/>
      <c r="H32" s="158"/>
      <c r="I32" s="119"/>
      <c r="J32" s="120"/>
    </row>
    <row r="33" spans="2:10" ht="13.5" customHeight="1" x14ac:dyDescent="0.3">
      <c r="B33" s="87"/>
      <c r="E33" s="123"/>
      <c r="F33" s="121"/>
      <c r="G33" s="156"/>
      <c r="H33" s="157"/>
      <c r="I33" s="122"/>
      <c r="J33" s="120"/>
    </row>
    <row r="34" spans="2:10" ht="13.5" customHeight="1" x14ac:dyDescent="0.3">
      <c r="B34" s="87"/>
      <c r="E34" s="123"/>
      <c r="F34" s="118"/>
      <c r="G34" s="158"/>
      <c r="H34" s="158"/>
      <c r="I34" s="119"/>
      <c r="J34" s="120"/>
    </row>
    <row r="35" spans="2:10" ht="12.75" customHeight="1" x14ac:dyDescent="0.3">
      <c r="B35" s="87"/>
      <c r="E35" s="123"/>
      <c r="F35" s="121"/>
      <c r="G35" s="156"/>
      <c r="H35" s="157"/>
      <c r="I35" s="122"/>
      <c r="J35" s="120"/>
    </row>
    <row r="36" spans="2:10" x14ac:dyDescent="0.3">
      <c r="B36" s="87"/>
      <c r="E36" s="123"/>
      <c r="F36" s="118"/>
      <c r="G36" s="158"/>
      <c r="H36" s="158"/>
      <c r="I36" s="119"/>
      <c r="J36" s="120"/>
    </row>
    <row r="37" spans="2:10" ht="13.5" customHeight="1" x14ac:dyDescent="0.3">
      <c r="B37" s="87"/>
      <c r="E37" s="123"/>
      <c r="F37" s="121"/>
      <c r="G37" s="156"/>
      <c r="H37" s="157"/>
      <c r="I37" s="122"/>
      <c r="J37" s="120"/>
    </row>
    <row r="38" spans="2:10" x14ac:dyDescent="0.3">
      <c r="B38" s="87"/>
      <c r="E38" s="123"/>
      <c r="F38" s="118"/>
      <c r="G38" s="158"/>
      <c r="H38" s="158"/>
      <c r="I38" s="119"/>
      <c r="J38" s="120"/>
    </row>
    <row r="39" spans="2:10" ht="13.5" customHeight="1" x14ac:dyDescent="0.3">
      <c r="B39" s="87"/>
      <c r="E39" s="123"/>
      <c r="F39" s="121"/>
      <c r="G39" s="156"/>
      <c r="H39" s="157"/>
      <c r="I39" s="122"/>
      <c r="J39" s="120"/>
    </row>
    <row r="40" spans="2:10" ht="14.25" hidden="1" customHeight="1" x14ac:dyDescent="0.3">
      <c r="B40" s="87"/>
      <c r="E40" s="123"/>
      <c r="F40" s="118"/>
      <c r="G40" s="158"/>
      <c r="H40" s="158"/>
      <c r="I40" s="119"/>
      <c r="J40" s="120"/>
    </row>
    <row r="41" spans="2:10" ht="14.25" hidden="1" customHeight="1" x14ac:dyDescent="0.3">
      <c r="B41" s="87"/>
      <c r="E41" s="123"/>
      <c r="F41" s="121"/>
      <c r="G41" s="156"/>
      <c r="H41" s="157"/>
      <c r="I41" s="122"/>
      <c r="J41" s="120"/>
    </row>
    <row r="42" spans="2:10" hidden="1" x14ac:dyDescent="0.3">
      <c r="B42" s="87"/>
      <c r="E42" s="123"/>
      <c r="F42" s="118"/>
      <c r="G42" s="158"/>
      <c r="H42" s="158"/>
      <c r="I42" s="119"/>
      <c r="J42" s="120"/>
    </row>
    <row r="43" spans="2:10" x14ac:dyDescent="0.3">
      <c r="B43" s="87"/>
      <c r="E43" s="123"/>
      <c r="F43" s="121"/>
      <c r="G43" s="156"/>
      <c r="H43" s="157"/>
      <c r="I43" s="122"/>
      <c r="J43" s="120"/>
    </row>
    <row r="44" spans="2:10" ht="9" customHeight="1" x14ac:dyDescent="0.3">
      <c r="B44" s="87"/>
      <c r="E44" s="95"/>
      <c r="F44" s="92"/>
      <c r="G44" s="160"/>
      <c r="H44" s="160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1">
        <f>+F18+F20+F22+F24+F26+F28+F30+F32+F34+F36+F38+F40+F42</f>
        <v>2300</v>
      </c>
      <c r="E47" s="162"/>
    </row>
    <row r="48" spans="2:10" ht="17.25" customHeight="1" x14ac:dyDescent="0.3">
      <c r="B48" s="159" t="s">
        <v>103</v>
      </c>
      <c r="C48" s="159"/>
      <c r="D48" s="159"/>
      <c r="E48" s="159"/>
    </row>
    <row r="49" spans="2:5" ht="21.75" customHeight="1" x14ac:dyDescent="0.3">
      <c r="B49" s="159"/>
      <c r="C49" s="159"/>
      <c r="D49" s="159"/>
      <c r="E49" s="159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75"/>
  <sheetViews>
    <sheetView zoomScale="85" zoomScaleNormal="85" workbookViewId="0">
      <selection activeCell="B1" sqref="B1:E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48" t="s">
        <v>134</v>
      </c>
      <c r="C1" s="148"/>
      <c r="D1" s="148"/>
      <c r="E1" s="148"/>
      <c r="F1" s="147" t="str">
        <f>+Инвойс!F1</f>
        <v>11.08.2025г.</v>
      </c>
      <c r="G1" s="147"/>
      <c r="H1" s="14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1" t="str">
        <f>+Инвойс!C2</f>
        <v>к контракту № 2025.07-25-01 от 25.07.2025 года</v>
      </c>
      <c r="D2" s="151"/>
      <c r="E2" s="151"/>
      <c r="F2" s="151"/>
      <c r="G2" s="151"/>
      <c r="H2" s="151"/>
      <c r="I2" s="15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0" t="s">
        <v>19</v>
      </c>
      <c r="B4" s="140"/>
      <c r="C4" s="140"/>
      <c r="D4" s="140"/>
      <c r="E4" s="140"/>
      <c r="G4" s="140" t="s">
        <v>20</v>
      </c>
      <c r="H4" s="140"/>
      <c r="I4" s="140"/>
      <c r="J4" s="140"/>
      <c r="K4" s="140"/>
      <c r="L4" s="140"/>
      <c r="M4" s="140"/>
    </row>
    <row r="5" spans="1:15" ht="14.25" customHeight="1" x14ac:dyDescent="0.25">
      <c r="A5" s="149" t="str">
        <f>+Инвойс!A5</f>
        <v>OOO “BMB EXIM”</v>
      </c>
      <c r="B5" s="149"/>
      <c r="C5" s="149"/>
      <c r="D5" s="149"/>
      <c r="E5" s="149"/>
      <c r="F5" s="6"/>
      <c r="G5" s="142" t="str">
        <f>+Инвойс!G5</f>
        <v>ООО «Аспект»</v>
      </c>
      <c r="H5" s="142"/>
      <c r="I5" s="142"/>
      <c r="J5" s="142"/>
      <c r="K5" s="142"/>
      <c r="L5" s="142"/>
      <c r="M5" s="142"/>
    </row>
    <row r="6" spans="1:15" ht="13.8" x14ac:dyDescent="0.25">
      <c r="A6" s="167" t="str">
        <f>+Инвойс!A6</f>
        <v>Республика Узбекистан, Джизакская область,</v>
      </c>
      <c r="B6" s="167"/>
      <c r="C6" s="167"/>
      <c r="D6" s="167"/>
      <c r="E6" s="167"/>
      <c r="F6" s="7"/>
      <c r="G6" s="138" t="str">
        <f>+Инвойс!G6</f>
        <v xml:space="preserve">107497, Россия, г. Москва, вн.тер.г. муниципальный округ 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67" t="str">
        <f>+Инвойс!A7</f>
        <v>Шароф Рашидовский район, Токчилик МФЙ, ул Мустакиллик дом 92а</v>
      </c>
      <c r="B7" s="167"/>
      <c r="C7" s="167"/>
      <c r="D7" s="167"/>
      <c r="E7" s="167"/>
      <c r="F7" s="63"/>
      <c r="G7" s="138" t="str">
        <f>+Инвойс!G7</f>
        <v xml:space="preserve">Гольяново, 2-й Иртышский пр-в, д. 4Б, стр. 3 </v>
      </c>
      <c r="H7" s="138"/>
      <c r="I7" s="138"/>
      <c r="J7" s="138"/>
      <c r="K7" s="138"/>
      <c r="L7" s="138"/>
      <c r="M7" s="138"/>
    </row>
    <row r="8" spans="1:15" ht="15" customHeight="1" x14ac:dyDescent="0.25">
      <c r="A8" s="167" t="str">
        <f>+Инвойс!A8</f>
        <v>Р/с N 20208000605433267001   (USD)</v>
      </c>
      <c r="B8" s="167"/>
      <c r="C8" s="167"/>
      <c r="D8" s="167"/>
      <c r="E8" s="167"/>
      <c r="F8" s="63"/>
      <c r="G8" s="138" t="str">
        <f>+Инвойс!G8</f>
        <v>Банк: КБ "Максима"(ООО), г. Москва РФ</v>
      </c>
      <c r="H8" s="138"/>
      <c r="I8" s="138"/>
      <c r="J8" s="138"/>
      <c r="K8" s="138"/>
      <c r="L8" s="138"/>
      <c r="M8" s="138"/>
    </row>
    <row r="9" spans="1:15" ht="13.8" x14ac:dyDescent="0.25">
      <c r="A9" s="167" t="str">
        <f>+Инвойс!A9</f>
        <v xml:space="preserve">в “Узсаноаткурилиш” Банк операционный </v>
      </c>
      <c r="B9" s="167"/>
      <c r="C9" s="167"/>
      <c r="D9" s="167"/>
      <c r="E9" s="167"/>
      <c r="F9" s="7"/>
      <c r="G9" s="138" t="str">
        <f>+Инвойс!G9</f>
        <v>ИНН   9718239835   КПП   771801001</v>
      </c>
      <c r="H9" s="138"/>
      <c r="I9" s="138"/>
      <c r="J9" s="138"/>
      <c r="K9" s="138"/>
      <c r="L9" s="138"/>
      <c r="M9" s="138"/>
      <c r="O9" s="7"/>
    </row>
    <row r="10" spans="1:15" ht="13.8" x14ac:dyDescent="0.25">
      <c r="A10" s="167" t="str">
        <f>+Инвойс!A10</f>
        <v>МФО 00440</v>
      </c>
      <c r="B10" s="167"/>
      <c r="C10" s="167"/>
      <c r="D10" s="167"/>
      <c r="E10" s="167"/>
      <c r="F10" s="7"/>
      <c r="G10" s="138" t="str">
        <f>+Инвойс!G10</f>
        <v xml:space="preserve">Корр.счет: 40702840100000005715   </v>
      </c>
      <c r="H10" s="138"/>
      <c r="I10" s="138"/>
      <c r="J10" s="138"/>
      <c r="K10" s="138"/>
      <c r="L10" s="138"/>
      <c r="M10" s="138"/>
    </row>
    <row r="11" spans="1:15" ht="13.8" x14ac:dyDescent="0.25">
      <c r="A11" s="167" t="str">
        <f>+Инвойс!A11</f>
        <v>ИНН: 308822933</v>
      </c>
      <c r="B11" s="167"/>
      <c r="C11" s="167"/>
      <c r="D11" s="167"/>
      <c r="E11" s="167"/>
      <c r="F11" s="7"/>
      <c r="G11" s="138"/>
      <c r="H11" s="138"/>
      <c r="I11" s="138"/>
      <c r="J11" s="138"/>
      <c r="K11" s="138"/>
      <c r="L11" s="138"/>
      <c r="M11" s="138"/>
    </row>
    <row r="12" spans="1:15" ht="36" customHeight="1" x14ac:dyDescent="0.25">
      <c r="A12" s="150"/>
      <c r="B12" s="150"/>
      <c r="C12" s="150"/>
      <c r="D12" s="150"/>
      <c r="E12" s="150"/>
      <c r="F12" s="7"/>
      <c r="G12" s="150"/>
      <c r="H12" s="150"/>
      <c r="I12" s="150"/>
      <c r="J12" s="150"/>
      <c r="K12" s="150"/>
      <c r="L12" s="150"/>
      <c r="M12" s="150"/>
    </row>
    <row r="13" spans="1:15" ht="24" customHeight="1" x14ac:dyDescent="0.35">
      <c r="A13" s="140" t="s">
        <v>31</v>
      </c>
      <c r="B13" s="140"/>
      <c r="C13" s="140"/>
      <c r="D13" s="140"/>
      <c r="E13" s="140"/>
      <c r="G13" s="140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49" t="str">
        <f>+Инвойс!A14</f>
        <v>OOO “BMB EXIM”</v>
      </c>
      <c r="B14" s="149"/>
      <c r="C14" s="149"/>
      <c r="D14" s="149"/>
      <c r="E14" s="149"/>
      <c r="F14" s="6"/>
      <c r="G14" s="142" t="str">
        <f>+Инвойс!G14</f>
        <v>ООО «Аспект»</v>
      </c>
      <c r="H14" s="142"/>
      <c r="I14" s="142"/>
      <c r="J14" s="142"/>
      <c r="K14" s="142"/>
      <c r="L14" s="142"/>
      <c r="M14" s="142"/>
    </row>
    <row r="15" spans="1:15" ht="13.95" customHeight="1" x14ac:dyDescent="0.25">
      <c r="A15" s="167" t="str">
        <f>+Инвойс!A15</f>
        <v>Республика Узбекистан, Джизакская область,</v>
      </c>
      <c r="B15" s="167"/>
      <c r="C15" s="167"/>
      <c r="D15" s="167"/>
      <c r="E15" s="167"/>
      <c r="F15" s="7"/>
      <c r="G15" s="168" t="str">
        <f>+Инвойс!G15</f>
        <v xml:space="preserve">107497, Россия, г. Москва, вн.тер.г. муниципальный округ </v>
      </c>
      <c r="H15" s="168"/>
      <c r="I15" s="168"/>
      <c r="J15" s="168"/>
      <c r="K15" s="168"/>
      <c r="L15" s="168"/>
      <c r="M15" s="168"/>
    </row>
    <row r="16" spans="1:15" ht="13.8" x14ac:dyDescent="0.25">
      <c r="A16" s="167" t="str">
        <f>+Инвойс!A16</f>
        <v>Шароф Рашидовский район, Токчилик МФЙ, ул Мустакиллик дом 92а</v>
      </c>
      <c r="B16" s="167"/>
      <c r="C16" s="167"/>
      <c r="D16" s="167"/>
      <c r="E16" s="167"/>
      <c r="F16" s="63"/>
      <c r="G16" s="168" t="str">
        <f>+Инвойс!G16</f>
        <v xml:space="preserve">Гольяново, 2-й Иртышский пр-в, д. 4Б, стр. 3 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7" t="str">
        <f>+Инвойс!A17</f>
        <v>Р/с N 20208000605433267001   (USD)</v>
      </c>
      <c r="B17" s="167"/>
      <c r="C17" s="167"/>
      <c r="D17" s="167"/>
      <c r="E17" s="167"/>
      <c r="F17" s="63"/>
      <c r="G17" s="168" t="str">
        <f>+Инвойс!G17</f>
        <v>Банк: КБ "Максима"(ООО), г. Москва РФ</v>
      </c>
      <c r="H17" s="168"/>
      <c r="I17" s="168"/>
      <c r="J17" s="168"/>
      <c r="K17" s="168"/>
      <c r="L17" s="168"/>
      <c r="M17" s="168"/>
    </row>
    <row r="18" spans="1:17" ht="13.8" x14ac:dyDescent="0.25">
      <c r="A18" s="167" t="str">
        <f>+Инвойс!A18</f>
        <v xml:space="preserve">в “Узсаноаткурилиш” Банк операционный </v>
      </c>
      <c r="B18" s="167"/>
      <c r="C18" s="167"/>
      <c r="D18" s="167"/>
      <c r="E18" s="167"/>
      <c r="F18" s="7"/>
      <c r="G18" s="168" t="str">
        <f>+Инвойс!G18</f>
        <v>ИНН   9718239835   КПП   771801001</v>
      </c>
      <c r="H18" s="168"/>
      <c r="I18" s="168"/>
      <c r="J18" s="168"/>
      <c r="K18" s="168"/>
      <c r="L18" s="168"/>
      <c r="M18" s="168"/>
    </row>
    <row r="19" spans="1:17" ht="13.8" x14ac:dyDescent="0.25">
      <c r="A19" s="167" t="str">
        <f>+Инвойс!A19</f>
        <v>МФО 00440</v>
      </c>
      <c r="B19" s="167"/>
      <c r="C19" s="167"/>
      <c r="D19" s="167"/>
      <c r="E19" s="167"/>
      <c r="F19" s="7"/>
      <c r="G19" s="168" t="str">
        <f>+Инвойс!G19</f>
        <v xml:space="preserve">Корр.счет: 40702840100000005715   </v>
      </c>
      <c r="H19" s="168"/>
      <c r="I19" s="168"/>
      <c r="J19" s="168"/>
      <c r="K19" s="168"/>
      <c r="L19" s="168"/>
      <c r="M19" s="168"/>
    </row>
    <row r="20" spans="1:17" ht="13.8" x14ac:dyDescent="0.25">
      <c r="A20" s="167" t="str">
        <f>+Инвойс!A20</f>
        <v>ИНН: 308822933</v>
      </c>
      <c r="B20" s="167"/>
      <c r="C20" s="167"/>
      <c r="D20" s="167"/>
      <c r="E20" s="167"/>
      <c r="F20" s="7"/>
      <c r="G20" s="168" t="str">
        <f>+Инвойс!G20</f>
        <v>(SWIFT code: MAXMRUM1XXX)</v>
      </c>
      <c r="H20" s="168"/>
      <c r="I20" s="168"/>
      <c r="J20" s="168"/>
      <c r="K20" s="168"/>
      <c r="L20" s="168"/>
      <c r="M20" s="168"/>
    </row>
    <row r="21" spans="1:17" ht="13.8" x14ac:dyDescent="0.25">
      <c r="A21" s="167"/>
      <c r="B21" s="167"/>
      <c r="C21" s="167"/>
      <c r="D21" s="167"/>
      <c r="E21" s="167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69" t="s">
        <v>112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6" x14ac:dyDescent="0.3">
      <c r="A24" s="20" t="s">
        <v>22</v>
      </c>
      <c r="C24" s="18" t="str">
        <f>+Инвойс!C24</f>
        <v>FCA - г. Ташкент (ИНКОТЕРМС-2010)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75159HBA/756172AA</v>
      </c>
      <c r="F26" s="137"/>
      <c r="G26" s="137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1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1" t="s">
        <v>12</v>
      </c>
      <c r="H29" s="111" t="s">
        <v>13</v>
      </c>
      <c r="I29" s="132"/>
      <c r="J29" s="112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2300</v>
      </c>
      <c r="F30" s="116" t="s">
        <v>27</v>
      </c>
      <c r="G30" s="106">
        <f>+Инвойс!G30</f>
        <v>22650</v>
      </c>
      <c r="H30" s="106">
        <f>+Инвойс!H30</f>
        <v>21040</v>
      </c>
      <c r="I30" s="108">
        <f>+Инвойс!I30</f>
        <v>1.5</v>
      </c>
      <c r="J30" s="13">
        <f>+Инвойс!J30</f>
        <v>31560</v>
      </c>
      <c r="K30" s="12">
        <v>0</v>
      </c>
      <c r="L30" s="12">
        <v>0</v>
      </c>
      <c r="M30" s="13">
        <f>+Инвойс!M30</f>
        <v>31560</v>
      </c>
      <c r="O30" s="100"/>
      <c r="Q30" s="100"/>
    </row>
    <row r="31" spans="1:17" ht="13.8" x14ac:dyDescent="0.25">
      <c r="A31" s="127" t="e">
        <f>+Инвойс!#REF!</f>
        <v>#REF!</v>
      </c>
      <c r="B31" s="101" t="e">
        <f>+Инвойс!#REF!</f>
        <v>#REF!</v>
      </c>
      <c r="C31" s="107" t="e">
        <f>+Инвойс!#REF!</f>
        <v>#REF!</v>
      </c>
      <c r="D31" s="115" t="e">
        <f>+Инвойс!#REF!</f>
        <v>#REF!</v>
      </c>
      <c r="E31" s="101" t="e">
        <f>+Инвойс!#REF!</f>
        <v>#REF!</v>
      </c>
      <c r="F31" s="116" t="s">
        <v>27</v>
      </c>
      <c r="G31" s="106" t="e">
        <f>+Инвойс!#REF!</f>
        <v>#REF!</v>
      </c>
      <c r="H31" s="106" t="e">
        <f>+Инвойс!#REF!</f>
        <v>#REF!</v>
      </c>
      <c r="I31" s="108" t="e">
        <f>+Инвойс!#REF!</f>
        <v>#REF!</v>
      </c>
      <c r="J31" s="13" t="e">
        <f>+Инвойс!#REF!</f>
        <v>#REF!</v>
      </c>
      <c r="K31" s="12">
        <v>0</v>
      </c>
      <c r="L31" s="12">
        <v>0</v>
      </c>
      <c r="M31" s="13" t="e">
        <f>+Инвойс!#REF!</f>
        <v>#REF!</v>
      </c>
      <c r="O31" s="100"/>
      <c r="Q31" s="100"/>
    </row>
    <row r="32" spans="1:17" ht="13.8" x14ac:dyDescent="0.25">
      <c r="A32" s="127" t="e">
        <f>+Инвойс!#REF!</f>
        <v>#REF!</v>
      </c>
      <c r="B32" s="101" t="e">
        <f>+Инвойс!#REF!</f>
        <v>#REF!</v>
      </c>
      <c r="C32" s="107" t="e">
        <f>+Инвойс!#REF!</f>
        <v>#REF!</v>
      </c>
      <c r="D32" s="115" t="e">
        <f>+Инвойс!#REF!</f>
        <v>#REF!</v>
      </c>
      <c r="E32" s="101" t="e">
        <f>+Инвойс!#REF!</f>
        <v>#REF!</v>
      </c>
      <c r="F32" s="116" t="s">
        <v>27</v>
      </c>
      <c r="G32" s="106" t="e">
        <f>+Инвойс!#REF!</f>
        <v>#REF!</v>
      </c>
      <c r="H32" s="106" t="e">
        <f>+Инвойс!#REF!</f>
        <v>#REF!</v>
      </c>
      <c r="I32" s="108" t="e">
        <f>+Инвойс!#REF!</f>
        <v>#REF!</v>
      </c>
      <c r="J32" s="13" t="e">
        <f>+Инвойс!#REF!</f>
        <v>#REF!</v>
      </c>
      <c r="K32" s="12">
        <v>0</v>
      </c>
      <c r="L32" s="12">
        <v>0</v>
      </c>
      <c r="M32" s="13" t="e">
        <f>+Инвойс!#REF!</f>
        <v>#REF!</v>
      </c>
      <c r="O32" s="100"/>
      <c r="Q32" s="100"/>
    </row>
    <row r="33" spans="1:17" ht="13.8" x14ac:dyDescent="0.25">
      <c r="A33" s="127" t="e">
        <f>+Инвойс!#REF!</f>
        <v>#REF!</v>
      </c>
      <c r="B33" s="101" t="e">
        <f>+Инвойс!#REF!</f>
        <v>#REF!</v>
      </c>
      <c r="C33" s="107" t="e">
        <f>+Инвойс!#REF!</f>
        <v>#REF!</v>
      </c>
      <c r="D33" s="115" t="e">
        <f>+Инвойс!#REF!</f>
        <v>#REF!</v>
      </c>
      <c r="E33" s="101" t="e">
        <f>+Инвойс!#REF!</f>
        <v>#REF!</v>
      </c>
      <c r="F33" s="116" t="s">
        <v>27</v>
      </c>
      <c r="G33" s="106" t="e">
        <f>+Инвойс!#REF!</f>
        <v>#REF!</v>
      </c>
      <c r="H33" s="106" t="e">
        <f>+Инвойс!#REF!</f>
        <v>#REF!</v>
      </c>
      <c r="I33" s="108" t="e">
        <f>+Инвойс!#REF!</f>
        <v>#REF!</v>
      </c>
      <c r="J33" s="13" t="e">
        <f>+Инвойс!#REF!</f>
        <v>#REF!</v>
      </c>
      <c r="K33" s="12">
        <v>0</v>
      </c>
      <c r="L33" s="12">
        <v>0</v>
      </c>
      <c r="M33" s="13" t="e">
        <f>+Инвойс!#REF!</f>
        <v>#REF!</v>
      </c>
      <c r="O33" s="100"/>
      <c r="Q33" s="100"/>
    </row>
    <row r="34" spans="1:17" ht="13.8" x14ac:dyDescent="0.25">
      <c r="A34" s="127" t="e">
        <f>+Инвойс!#REF!</f>
        <v>#REF!</v>
      </c>
      <c r="B34" s="101" t="e">
        <f>+Инвойс!#REF!</f>
        <v>#REF!</v>
      </c>
      <c r="C34" s="107" t="e">
        <f>+Инвойс!#REF!</f>
        <v>#REF!</v>
      </c>
      <c r="D34" s="115" t="e">
        <f>+Инвойс!#REF!</f>
        <v>#REF!</v>
      </c>
      <c r="E34" s="101" t="e">
        <f>+Инвойс!#REF!</f>
        <v>#REF!</v>
      </c>
      <c r="F34" s="116" t="s">
        <v>27</v>
      </c>
      <c r="G34" s="106" t="e">
        <f>+Инвойс!#REF!</f>
        <v>#REF!</v>
      </c>
      <c r="H34" s="106" t="e">
        <f>+Инвойс!#REF!</f>
        <v>#REF!</v>
      </c>
      <c r="I34" s="108" t="e">
        <f>+Инвойс!#REF!</f>
        <v>#REF!</v>
      </c>
      <c r="J34" s="13" t="e">
        <f>+Инвойс!#REF!</f>
        <v>#REF!</v>
      </c>
      <c r="K34" s="12">
        <v>0</v>
      </c>
      <c r="L34" s="12">
        <v>0</v>
      </c>
      <c r="M34" s="13" t="e">
        <f>+Инвойс!#REF!</f>
        <v>#REF!</v>
      </c>
      <c r="O34" s="100"/>
      <c r="Q34" s="100"/>
    </row>
    <row r="35" spans="1:17" ht="13.8" x14ac:dyDescent="0.25">
      <c r="A35" s="127" t="e">
        <f>+Инвойс!#REF!</f>
        <v>#REF!</v>
      </c>
      <c r="B35" s="101" t="e">
        <f>+Инвойс!#REF!</f>
        <v>#REF!</v>
      </c>
      <c r="C35" s="107" t="e">
        <f>+Инвойс!#REF!</f>
        <v>#REF!</v>
      </c>
      <c r="D35" s="115" t="e">
        <f>+Инвойс!#REF!</f>
        <v>#REF!</v>
      </c>
      <c r="E35" s="101" t="e">
        <f>+Инвойс!#REF!</f>
        <v>#REF!</v>
      </c>
      <c r="F35" s="116" t="s">
        <v>27</v>
      </c>
      <c r="G35" s="106" t="e">
        <f>+Инвойс!#REF!</f>
        <v>#REF!</v>
      </c>
      <c r="H35" s="106" t="e">
        <f>+Инвойс!#REF!</f>
        <v>#REF!</v>
      </c>
      <c r="I35" s="108" t="e">
        <f>+Инвойс!#REF!</f>
        <v>#REF!</v>
      </c>
      <c r="J35" s="13" t="e">
        <f>+Инвойс!#REF!</f>
        <v>#REF!</v>
      </c>
      <c r="K35" s="12">
        <v>0</v>
      </c>
      <c r="L35" s="12">
        <v>0</v>
      </c>
      <c r="M35" s="13" t="e">
        <f>+Инвойс!#REF!</f>
        <v>#REF!</v>
      </c>
      <c r="O35" s="100"/>
      <c r="Q35" s="100"/>
    </row>
    <row r="36" spans="1:17" ht="13.8" x14ac:dyDescent="0.25">
      <c r="A36" s="127" t="e">
        <f>+Инвойс!#REF!</f>
        <v>#REF!</v>
      </c>
      <c r="B36" s="101" t="e">
        <f>+Инвойс!#REF!</f>
        <v>#REF!</v>
      </c>
      <c r="C36" s="107" t="e">
        <f>+Инвойс!#REF!</f>
        <v>#REF!</v>
      </c>
      <c r="D36" s="115" t="e">
        <f>+Инвойс!#REF!</f>
        <v>#REF!</v>
      </c>
      <c r="E36" s="101" t="e">
        <f>+Инвойс!#REF!</f>
        <v>#REF!</v>
      </c>
      <c r="F36" s="116" t="s">
        <v>27</v>
      </c>
      <c r="G36" s="106" t="e">
        <f>+Инвойс!#REF!</f>
        <v>#REF!</v>
      </c>
      <c r="H36" s="106" t="e">
        <f>+Инвойс!#REF!</f>
        <v>#REF!</v>
      </c>
      <c r="I36" s="108" t="e">
        <f>+Инвойс!#REF!</f>
        <v>#REF!</v>
      </c>
      <c r="J36" s="13" t="e">
        <f>+Инвойс!#REF!</f>
        <v>#REF!</v>
      </c>
      <c r="K36" s="12">
        <v>0</v>
      </c>
      <c r="L36" s="12">
        <v>0</v>
      </c>
      <c r="M36" s="13" t="e">
        <f>+Инвойс!#REF!</f>
        <v>#REF!</v>
      </c>
      <c r="O36" s="100"/>
      <c r="Q36" s="100"/>
    </row>
    <row r="37" spans="1:17" ht="13.8" x14ac:dyDescent="0.25">
      <c r="A37" s="127" t="e">
        <f>+Инвойс!#REF!</f>
        <v>#REF!</v>
      </c>
      <c r="B37" s="101" t="e">
        <f>+Инвойс!#REF!</f>
        <v>#REF!</v>
      </c>
      <c r="C37" s="107" t="e">
        <f>+Инвойс!#REF!</f>
        <v>#REF!</v>
      </c>
      <c r="D37" s="115" t="e">
        <f>+Инвойс!#REF!</f>
        <v>#REF!</v>
      </c>
      <c r="E37" s="101" t="e">
        <f>+Инвойс!#REF!</f>
        <v>#REF!</v>
      </c>
      <c r="F37" s="116" t="s">
        <v>27</v>
      </c>
      <c r="G37" s="106" t="e">
        <f>+Инвойс!#REF!</f>
        <v>#REF!</v>
      </c>
      <c r="H37" s="106" t="e">
        <f>+Инвойс!#REF!</f>
        <v>#REF!</v>
      </c>
      <c r="I37" s="108" t="e">
        <f>+Инвойс!#REF!</f>
        <v>#REF!</v>
      </c>
      <c r="J37" s="13" t="e">
        <f>+Инвойс!#REF!</f>
        <v>#REF!</v>
      </c>
      <c r="K37" s="12">
        <v>0</v>
      </c>
      <c r="L37" s="12">
        <v>0</v>
      </c>
      <c r="M37" s="13" t="e">
        <f>+Инвойс!#REF!</f>
        <v>#REF!</v>
      </c>
      <c r="O37" s="100"/>
      <c r="Q37" s="100"/>
    </row>
    <row r="38" spans="1:17" ht="13.8" x14ac:dyDescent="0.25">
      <c r="A38" s="127" t="e">
        <f>+Инвойс!#REF!</f>
        <v>#REF!</v>
      </c>
      <c r="B38" s="101" t="e">
        <f>+Инвойс!#REF!</f>
        <v>#REF!</v>
      </c>
      <c r="C38" s="107" t="e">
        <f>+Инвойс!#REF!</f>
        <v>#REF!</v>
      </c>
      <c r="D38" s="115" t="e">
        <f>+Инвойс!#REF!</f>
        <v>#REF!</v>
      </c>
      <c r="E38" s="101" t="e">
        <f>+Инвойс!#REF!</f>
        <v>#REF!</v>
      </c>
      <c r="F38" s="116" t="s">
        <v>27</v>
      </c>
      <c r="G38" s="106" t="e">
        <f>+Инвойс!#REF!</f>
        <v>#REF!</v>
      </c>
      <c r="H38" s="106" t="e">
        <f>+Инвойс!#REF!</f>
        <v>#REF!</v>
      </c>
      <c r="I38" s="108" t="e">
        <f>+Инвойс!#REF!</f>
        <v>#REF!</v>
      </c>
      <c r="J38" s="13" t="e">
        <f>+Инвойс!#REF!</f>
        <v>#REF!</v>
      </c>
      <c r="K38" s="12">
        <v>0</v>
      </c>
      <c r="L38" s="12">
        <v>0</v>
      </c>
      <c r="M38" s="13" t="e">
        <f>+Инвойс!#REF!</f>
        <v>#REF!</v>
      </c>
      <c r="O38" s="100"/>
      <c r="Q38" s="100"/>
    </row>
    <row r="39" spans="1:17" ht="13.8" x14ac:dyDescent="0.25">
      <c r="A39" s="127" t="e">
        <f>+Инвойс!#REF!</f>
        <v>#REF!</v>
      </c>
      <c r="B39" s="101" t="e">
        <f>+Инвойс!#REF!</f>
        <v>#REF!</v>
      </c>
      <c r="C39" s="107" t="e">
        <f>+Инвойс!#REF!</f>
        <v>#REF!</v>
      </c>
      <c r="D39" s="115" t="e">
        <f>+Инвойс!#REF!</f>
        <v>#REF!</v>
      </c>
      <c r="E39" s="101" t="e">
        <f>+Инвойс!#REF!</f>
        <v>#REF!</v>
      </c>
      <c r="F39" s="116" t="s">
        <v>27</v>
      </c>
      <c r="G39" s="106" t="e">
        <f>+Инвойс!#REF!</f>
        <v>#REF!</v>
      </c>
      <c r="H39" s="106" t="e">
        <f>+Инвойс!#REF!</f>
        <v>#REF!</v>
      </c>
      <c r="I39" s="108" t="e">
        <f>+Инвойс!#REF!</f>
        <v>#REF!</v>
      </c>
      <c r="J39" s="13" t="e">
        <f>+Инвойс!#REF!</f>
        <v>#REF!</v>
      </c>
      <c r="K39" s="12">
        <v>0</v>
      </c>
      <c r="L39" s="12">
        <v>0</v>
      </c>
      <c r="M39" s="13" t="e">
        <f>+Инвойс!#REF!</f>
        <v>#REF!</v>
      </c>
      <c r="O39" s="100"/>
      <c r="Q39" s="100"/>
    </row>
    <row r="40" spans="1:17" ht="13.8" x14ac:dyDescent="0.25">
      <c r="A40" s="127" t="e">
        <f>+Инвойс!#REF!</f>
        <v>#REF!</v>
      </c>
      <c r="B40" s="101" t="e">
        <f>+Инвойс!#REF!</f>
        <v>#REF!</v>
      </c>
      <c r="C40" s="107" t="e">
        <f>+Инвойс!#REF!</f>
        <v>#REF!</v>
      </c>
      <c r="D40" s="115" t="e">
        <f>+Инвойс!#REF!</f>
        <v>#REF!</v>
      </c>
      <c r="E40" s="101" t="e">
        <f>+Инвойс!#REF!</f>
        <v>#REF!</v>
      </c>
      <c r="F40" s="116" t="s">
        <v>27</v>
      </c>
      <c r="G40" s="106" t="e">
        <f>+Инвойс!#REF!</f>
        <v>#REF!</v>
      </c>
      <c r="H40" s="106" t="e">
        <f>+Инвойс!#REF!</f>
        <v>#REF!</v>
      </c>
      <c r="I40" s="108" t="e">
        <f>+Инвойс!#REF!</f>
        <v>#REF!</v>
      </c>
      <c r="J40" s="13" t="e">
        <f>+Инвойс!#REF!</f>
        <v>#REF!</v>
      </c>
      <c r="K40" s="12">
        <v>0</v>
      </c>
      <c r="L40" s="12">
        <v>0</v>
      </c>
      <c r="M40" s="13" t="e">
        <f>+Инвойс!#REF!</f>
        <v>#REF!</v>
      </c>
      <c r="O40" s="100"/>
      <c r="Q40" s="100"/>
    </row>
    <row r="41" spans="1:17" ht="13.8" x14ac:dyDescent="0.25">
      <c r="A41" s="127" t="e">
        <f>+Инвойс!#REF!</f>
        <v>#REF!</v>
      </c>
      <c r="B41" s="101" t="e">
        <f>+Инвойс!#REF!</f>
        <v>#REF!</v>
      </c>
      <c r="C41" s="107" t="e">
        <f>+Инвойс!#REF!</f>
        <v>#REF!</v>
      </c>
      <c r="D41" s="115" t="e">
        <f>+Инвойс!#REF!</f>
        <v>#REF!</v>
      </c>
      <c r="E41" s="101" t="e">
        <f>+Инвойс!#REF!</f>
        <v>#REF!</v>
      </c>
      <c r="F41" s="116" t="s">
        <v>27</v>
      </c>
      <c r="G41" s="106" t="e">
        <f>+Инвойс!#REF!</f>
        <v>#REF!</v>
      </c>
      <c r="H41" s="106" t="e">
        <f>+Инвойс!#REF!</f>
        <v>#REF!</v>
      </c>
      <c r="I41" s="108" t="e">
        <f>+Инвойс!#REF!</f>
        <v>#REF!</v>
      </c>
      <c r="J41" s="13" t="e">
        <f>+Инвойс!#REF!</f>
        <v>#REF!</v>
      </c>
      <c r="K41" s="12">
        <v>0</v>
      </c>
      <c r="L41" s="12">
        <v>0</v>
      </c>
      <c r="M41" s="13" t="e">
        <f>+Инвойс!#REF!</f>
        <v>#REF!</v>
      </c>
      <c r="O41" s="100"/>
      <c r="Q41" s="100"/>
    </row>
    <row r="42" spans="1:17" ht="13.8" x14ac:dyDescent="0.25">
      <c r="A42" s="127" t="e">
        <f>+Инвойс!#REF!</f>
        <v>#REF!</v>
      </c>
      <c r="B42" s="101" t="e">
        <f>+Инвойс!#REF!</f>
        <v>#REF!</v>
      </c>
      <c r="C42" s="107" t="e">
        <f>+Инвойс!#REF!</f>
        <v>#REF!</v>
      </c>
      <c r="D42" s="115" t="e">
        <f>+Инвойс!#REF!</f>
        <v>#REF!</v>
      </c>
      <c r="E42" s="101" t="e">
        <f>+Инвойс!#REF!</f>
        <v>#REF!</v>
      </c>
      <c r="F42" s="116" t="s">
        <v>27</v>
      </c>
      <c r="G42" s="106" t="e">
        <f>+Инвойс!#REF!</f>
        <v>#REF!</v>
      </c>
      <c r="H42" s="106" t="e">
        <f>+Инвойс!#REF!</f>
        <v>#REF!</v>
      </c>
      <c r="I42" s="108" t="e">
        <f>+Инвойс!#REF!</f>
        <v>#REF!</v>
      </c>
      <c r="J42" s="13" t="e">
        <f>+Инвойс!#REF!</f>
        <v>#REF!</v>
      </c>
      <c r="K42" s="12">
        <v>0</v>
      </c>
      <c r="L42" s="12">
        <v>0</v>
      </c>
      <c r="M42" s="13" t="e">
        <f>+Инвойс!#REF!</f>
        <v>#REF!</v>
      </c>
      <c r="O42" s="100"/>
      <c r="Q42" s="100"/>
    </row>
    <row r="43" spans="1:17" ht="13.8" x14ac:dyDescent="0.25">
      <c r="A43" s="127" t="e">
        <f>+Инвойс!#REF!</f>
        <v>#REF!</v>
      </c>
      <c r="B43" s="101" t="e">
        <f>+Инвойс!#REF!</f>
        <v>#REF!</v>
      </c>
      <c r="C43" s="107" t="e">
        <f>+Инвойс!#REF!</f>
        <v>#REF!</v>
      </c>
      <c r="D43" s="115" t="e">
        <f>+Инвойс!#REF!</f>
        <v>#REF!</v>
      </c>
      <c r="E43" s="101" t="e">
        <f>+Инвойс!#REF!</f>
        <v>#REF!</v>
      </c>
      <c r="F43" s="116" t="s">
        <v>27</v>
      </c>
      <c r="G43" s="106" t="e">
        <f>+Инвойс!#REF!</f>
        <v>#REF!</v>
      </c>
      <c r="H43" s="106" t="e">
        <f>+Инвойс!#REF!</f>
        <v>#REF!</v>
      </c>
      <c r="I43" s="108" t="e">
        <f>+Инвойс!#REF!</f>
        <v>#REF!</v>
      </c>
      <c r="J43" s="13" t="e">
        <f>+Инвойс!#REF!</f>
        <v>#REF!</v>
      </c>
      <c r="K43" s="12">
        <v>0</v>
      </c>
      <c r="L43" s="12">
        <v>0</v>
      </c>
      <c r="M43" s="13" t="e">
        <f>+Инвойс!#REF!</f>
        <v>#REF!</v>
      </c>
      <c r="O43" s="100"/>
      <c r="Q43" s="100"/>
    </row>
    <row r="44" spans="1:17" ht="13.8" x14ac:dyDescent="0.25">
      <c r="A44" s="127" t="e">
        <f>+Инвойс!#REF!</f>
        <v>#REF!</v>
      </c>
      <c r="B44" s="101" t="e">
        <f>+Инвойс!#REF!</f>
        <v>#REF!</v>
      </c>
      <c r="C44" s="107" t="e">
        <f>+Инвойс!#REF!</f>
        <v>#REF!</v>
      </c>
      <c r="D44" s="115" t="e">
        <f>+Инвойс!#REF!</f>
        <v>#REF!</v>
      </c>
      <c r="E44" s="101" t="e">
        <f>+Инвойс!#REF!</f>
        <v>#REF!</v>
      </c>
      <c r="F44" s="116" t="s">
        <v>27</v>
      </c>
      <c r="G44" s="106" t="e">
        <f>+Инвойс!#REF!</f>
        <v>#REF!</v>
      </c>
      <c r="H44" s="106" t="e">
        <f>+Инвойс!#REF!</f>
        <v>#REF!</v>
      </c>
      <c r="I44" s="108" t="e">
        <f>+Инвойс!#REF!</f>
        <v>#REF!</v>
      </c>
      <c r="J44" s="13" t="e">
        <f>+Инвойс!#REF!</f>
        <v>#REF!</v>
      </c>
      <c r="K44" s="12">
        <v>0</v>
      </c>
      <c r="L44" s="12">
        <v>0</v>
      </c>
      <c r="M44" s="13" t="e">
        <f>+Инвойс!#REF!</f>
        <v>#REF!</v>
      </c>
      <c r="O44" s="100"/>
      <c r="Q44" s="100"/>
    </row>
    <row r="45" spans="1:17" ht="13.8" x14ac:dyDescent="0.25">
      <c r="A45" s="127" t="e">
        <f>+Инвойс!#REF!</f>
        <v>#REF!</v>
      </c>
      <c r="B45" s="101" t="e">
        <f>+Инвойс!#REF!</f>
        <v>#REF!</v>
      </c>
      <c r="C45" s="107" t="e">
        <f>+Инвойс!#REF!</f>
        <v>#REF!</v>
      </c>
      <c r="D45" s="115" t="e">
        <f>+Инвойс!#REF!</f>
        <v>#REF!</v>
      </c>
      <c r="E45" s="101" t="e">
        <f>+Инвойс!#REF!</f>
        <v>#REF!</v>
      </c>
      <c r="F45" s="116" t="s">
        <v>27</v>
      </c>
      <c r="G45" s="106" t="e">
        <f>+Инвойс!#REF!</f>
        <v>#REF!</v>
      </c>
      <c r="H45" s="106" t="e">
        <f>+Инвойс!#REF!</f>
        <v>#REF!</v>
      </c>
      <c r="I45" s="108" t="e">
        <f>+Инвойс!#REF!</f>
        <v>#REF!</v>
      </c>
      <c r="J45" s="13" t="e">
        <f>+Инвойс!#REF!</f>
        <v>#REF!</v>
      </c>
      <c r="K45" s="12">
        <v>0</v>
      </c>
      <c r="L45" s="12">
        <v>0</v>
      </c>
      <c r="M45" s="13" t="e">
        <f>+Инвойс!#REF!</f>
        <v>#REF!</v>
      </c>
      <c r="O45" s="100"/>
      <c r="Q45" s="100"/>
    </row>
    <row r="46" spans="1:17" ht="13.8" x14ac:dyDescent="0.25">
      <c r="A46" s="127" t="e">
        <f>+Инвойс!#REF!</f>
        <v>#REF!</v>
      </c>
      <c r="B46" s="101" t="e">
        <f>+Инвойс!#REF!</f>
        <v>#REF!</v>
      </c>
      <c r="C46" s="107" t="e">
        <f>+Инвойс!#REF!</f>
        <v>#REF!</v>
      </c>
      <c r="D46" s="115" t="e">
        <f>+Инвойс!#REF!</f>
        <v>#REF!</v>
      </c>
      <c r="E46" s="101" t="e">
        <f>+Инвойс!#REF!</f>
        <v>#REF!</v>
      </c>
      <c r="F46" s="116" t="s">
        <v>27</v>
      </c>
      <c r="G46" s="106" t="e">
        <f>+Инвойс!#REF!</f>
        <v>#REF!</v>
      </c>
      <c r="H46" s="106" t="e">
        <f>+Инвойс!#REF!</f>
        <v>#REF!</v>
      </c>
      <c r="I46" s="108" t="e">
        <f>+Инвойс!#REF!</f>
        <v>#REF!</v>
      </c>
      <c r="J46" s="13" t="e">
        <f>+Инвойс!#REF!</f>
        <v>#REF!</v>
      </c>
      <c r="K46" s="12">
        <v>0</v>
      </c>
      <c r="L46" s="12">
        <v>0</v>
      </c>
      <c r="M46" s="13" t="e">
        <f>+Инвойс!#REF!</f>
        <v>#REF!</v>
      </c>
      <c r="O46" s="100"/>
      <c r="Q46" s="100"/>
    </row>
    <row r="47" spans="1:17" ht="13.8" x14ac:dyDescent="0.25">
      <c r="A47" s="127" t="e">
        <f>+Инвойс!#REF!</f>
        <v>#REF!</v>
      </c>
      <c r="B47" s="101" t="e">
        <f>+Инвойс!#REF!</f>
        <v>#REF!</v>
      </c>
      <c r="C47" s="107" t="e">
        <f>+Инвойс!#REF!</f>
        <v>#REF!</v>
      </c>
      <c r="D47" s="115" t="e">
        <f>+Инвойс!#REF!</f>
        <v>#REF!</v>
      </c>
      <c r="E47" s="101" t="e">
        <f>+Инвойс!#REF!</f>
        <v>#REF!</v>
      </c>
      <c r="F47" s="116" t="s">
        <v>27</v>
      </c>
      <c r="G47" s="106" t="e">
        <f>+Инвойс!#REF!</f>
        <v>#REF!</v>
      </c>
      <c r="H47" s="106" t="e">
        <f>+Инвойс!#REF!</f>
        <v>#REF!</v>
      </c>
      <c r="I47" s="108" t="e">
        <f>+Инвойс!#REF!</f>
        <v>#REF!</v>
      </c>
      <c r="J47" s="13" t="e">
        <f>+Инвойс!#REF!</f>
        <v>#REF!</v>
      </c>
      <c r="K47" s="12">
        <v>0</v>
      </c>
      <c r="L47" s="12">
        <v>0</v>
      </c>
      <c r="M47" s="13" t="e">
        <f>+Инвойс!#REF!</f>
        <v>#REF!</v>
      </c>
      <c r="O47" s="100"/>
      <c r="Q47" s="100"/>
    </row>
    <row r="48" spans="1:17" ht="13.8" x14ac:dyDescent="0.25">
      <c r="A48" s="127" t="e">
        <f>+Инвойс!#REF!</f>
        <v>#REF!</v>
      </c>
      <c r="B48" s="101" t="e">
        <f>+Инвойс!#REF!</f>
        <v>#REF!</v>
      </c>
      <c r="C48" s="107" t="e">
        <f>+Инвойс!#REF!</f>
        <v>#REF!</v>
      </c>
      <c r="D48" s="115" t="e">
        <f>+Инвойс!#REF!</f>
        <v>#REF!</v>
      </c>
      <c r="E48" s="101" t="e">
        <f>+Инвойс!#REF!</f>
        <v>#REF!</v>
      </c>
      <c r="F48" s="116" t="s">
        <v>27</v>
      </c>
      <c r="G48" s="106" t="e">
        <f>+Инвойс!#REF!</f>
        <v>#REF!</v>
      </c>
      <c r="H48" s="106" t="e">
        <f>+Инвойс!#REF!</f>
        <v>#REF!</v>
      </c>
      <c r="I48" s="108" t="e">
        <f>+Инвойс!#REF!</f>
        <v>#REF!</v>
      </c>
      <c r="J48" s="13" t="e">
        <f>+Инвойс!#REF!</f>
        <v>#REF!</v>
      </c>
      <c r="K48" s="12">
        <v>0</v>
      </c>
      <c r="L48" s="12">
        <v>0</v>
      </c>
      <c r="M48" s="13" t="e">
        <f>+Инвойс!#REF!</f>
        <v>#REF!</v>
      </c>
      <c r="O48" s="100"/>
      <c r="Q48" s="100"/>
    </row>
    <row r="49" spans="1:17" ht="13.8" x14ac:dyDescent="0.25">
      <c r="A49" s="127" t="e">
        <f>+Инвойс!#REF!</f>
        <v>#REF!</v>
      </c>
      <c r="B49" s="101" t="e">
        <f>+Инвойс!#REF!</f>
        <v>#REF!</v>
      </c>
      <c r="C49" s="107" t="e">
        <f>+Инвойс!#REF!</f>
        <v>#REF!</v>
      </c>
      <c r="D49" s="115" t="e">
        <f>+Инвойс!#REF!</f>
        <v>#REF!</v>
      </c>
      <c r="E49" s="101" t="e">
        <f>+Инвойс!#REF!</f>
        <v>#REF!</v>
      </c>
      <c r="F49" s="116" t="s">
        <v>27</v>
      </c>
      <c r="G49" s="106" t="e">
        <f>+Инвойс!#REF!</f>
        <v>#REF!</v>
      </c>
      <c r="H49" s="106" t="e">
        <f>+Инвойс!#REF!</f>
        <v>#REF!</v>
      </c>
      <c r="I49" s="108" t="e">
        <f>+Инвойс!#REF!</f>
        <v>#REF!</v>
      </c>
      <c r="J49" s="13" t="e">
        <f>+Инвойс!#REF!</f>
        <v>#REF!</v>
      </c>
      <c r="K49" s="12">
        <v>0</v>
      </c>
      <c r="L49" s="12">
        <v>0</v>
      </c>
      <c r="M49" s="13" t="e">
        <f>+Инвойс!#REF!</f>
        <v>#REF!</v>
      </c>
      <c r="O49" s="100"/>
      <c r="Q49" s="100"/>
    </row>
    <row r="50" spans="1:17" ht="13.8" x14ac:dyDescent="0.25">
      <c r="A50" s="127" t="e">
        <f>+Инвойс!#REF!</f>
        <v>#REF!</v>
      </c>
      <c r="B50" s="101" t="e">
        <f>+Инвойс!#REF!</f>
        <v>#REF!</v>
      </c>
      <c r="C50" s="107" t="e">
        <f>+Инвойс!#REF!</f>
        <v>#REF!</v>
      </c>
      <c r="D50" s="115" t="e">
        <f>+Инвойс!#REF!</f>
        <v>#REF!</v>
      </c>
      <c r="E50" s="101" t="e">
        <f>+Инвойс!#REF!</f>
        <v>#REF!</v>
      </c>
      <c r="F50" s="116" t="s">
        <v>27</v>
      </c>
      <c r="G50" s="106" t="e">
        <f>+Инвойс!#REF!</f>
        <v>#REF!</v>
      </c>
      <c r="H50" s="106" t="e">
        <f>+Инвойс!#REF!</f>
        <v>#REF!</v>
      </c>
      <c r="I50" s="108" t="e">
        <f>+Инвойс!#REF!</f>
        <v>#REF!</v>
      </c>
      <c r="J50" s="13" t="e">
        <f>+Инвойс!#REF!</f>
        <v>#REF!</v>
      </c>
      <c r="K50" s="12">
        <v>0</v>
      </c>
      <c r="L50" s="12">
        <v>0</v>
      </c>
      <c r="M50" s="13" t="e">
        <f>+Инвойс!#REF!</f>
        <v>#REF!</v>
      </c>
      <c r="O50" s="100"/>
      <c r="Q50" s="100"/>
    </row>
    <row r="51" spans="1:17" ht="13.8" x14ac:dyDescent="0.25">
      <c r="A51" s="127" t="e">
        <f>+Инвойс!#REF!</f>
        <v>#REF!</v>
      </c>
      <c r="B51" s="101" t="e">
        <f>+Инвойс!#REF!</f>
        <v>#REF!</v>
      </c>
      <c r="C51" s="107" t="e">
        <f>+Инвойс!#REF!</f>
        <v>#REF!</v>
      </c>
      <c r="D51" s="115" t="e">
        <f>+Инвойс!#REF!</f>
        <v>#REF!</v>
      </c>
      <c r="E51" s="101" t="e">
        <f>+Инвойс!#REF!</f>
        <v>#REF!</v>
      </c>
      <c r="F51" s="116" t="s">
        <v>27</v>
      </c>
      <c r="G51" s="106" t="e">
        <f>+Инвойс!#REF!</f>
        <v>#REF!</v>
      </c>
      <c r="H51" s="106" t="e">
        <f>+Инвойс!#REF!</f>
        <v>#REF!</v>
      </c>
      <c r="I51" s="108" t="e">
        <f>+Инвойс!#REF!</f>
        <v>#REF!</v>
      </c>
      <c r="J51" s="13" t="e">
        <f>+Инвойс!#REF!</f>
        <v>#REF!</v>
      </c>
      <c r="K51" s="12">
        <v>0</v>
      </c>
      <c r="L51" s="12">
        <v>0</v>
      </c>
      <c r="M51" s="13" t="e">
        <f>+Инвойс!#REF!</f>
        <v>#REF!</v>
      </c>
      <c r="O51" s="100"/>
      <c r="Q51" s="100"/>
    </row>
    <row r="52" spans="1:17" ht="13.8" x14ac:dyDescent="0.25">
      <c r="A52" s="127" t="e">
        <f>+Инвойс!#REF!</f>
        <v>#REF!</v>
      </c>
      <c r="B52" s="101" t="e">
        <f>+Инвойс!#REF!</f>
        <v>#REF!</v>
      </c>
      <c r="C52" s="107" t="e">
        <f>+Инвойс!#REF!</f>
        <v>#REF!</v>
      </c>
      <c r="D52" s="115" t="e">
        <f>+Инвойс!#REF!</f>
        <v>#REF!</v>
      </c>
      <c r="E52" s="101" t="e">
        <f>+Инвойс!#REF!</f>
        <v>#REF!</v>
      </c>
      <c r="F52" s="116" t="s">
        <v>27</v>
      </c>
      <c r="G52" s="106" t="e">
        <f>+Инвойс!#REF!</f>
        <v>#REF!</v>
      </c>
      <c r="H52" s="106" t="e">
        <f>+Инвойс!#REF!</f>
        <v>#REF!</v>
      </c>
      <c r="I52" s="108" t="e">
        <f>+Инвойс!#REF!</f>
        <v>#REF!</v>
      </c>
      <c r="J52" s="13" t="e">
        <f>+Инвойс!#REF!</f>
        <v>#REF!</v>
      </c>
      <c r="K52" s="12">
        <v>0</v>
      </c>
      <c r="L52" s="12">
        <v>0</v>
      </c>
      <c r="M52" s="13" t="e">
        <f>+Инвойс!#REF!</f>
        <v>#REF!</v>
      </c>
      <c r="O52" s="100"/>
      <c r="Q52" s="100"/>
    </row>
    <row r="53" spans="1:17" ht="13.8" x14ac:dyDescent="0.25">
      <c r="A53" s="127" t="e">
        <f>+Инвойс!#REF!</f>
        <v>#REF!</v>
      </c>
      <c r="B53" s="101" t="e">
        <f>+Инвойс!#REF!</f>
        <v>#REF!</v>
      </c>
      <c r="C53" s="107" t="e">
        <f>+Инвойс!#REF!</f>
        <v>#REF!</v>
      </c>
      <c r="D53" s="115" t="e">
        <f>+Инвойс!#REF!</f>
        <v>#REF!</v>
      </c>
      <c r="E53" s="101" t="e">
        <f>+Инвойс!#REF!</f>
        <v>#REF!</v>
      </c>
      <c r="F53" s="116" t="s">
        <v>27</v>
      </c>
      <c r="G53" s="106" t="e">
        <f>+Инвойс!#REF!</f>
        <v>#REF!</v>
      </c>
      <c r="H53" s="106" t="e">
        <f>+Инвойс!#REF!</f>
        <v>#REF!</v>
      </c>
      <c r="I53" s="108" t="e">
        <f>+Инвойс!#REF!</f>
        <v>#REF!</v>
      </c>
      <c r="J53" s="13" t="e">
        <f>+Инвойс!#REF!</f>
        <v>#REF!</v>
      </c>
      <c r="K53" s="12">
        <v>0</v>
      </c>
      <c r="L53" s="12">
        <v>0</v>
      </c>
      <c r="M53" s="13" t="e">
        <f>+Инвойс!#REF!</f>
        <v>#REF!</v>
      </c>
      <c r="O53" s="100"/>
      <c r="Q53" s="100"/>
    </row>
    <row r="54" spans="1:17" ht="13.8" x14ac:dyDescent="0.25">
      <c r="A54" s="127" t="e">
        <f>+Инвойс!#REF!</f>
        <v>#REF!</v>
      </c>
      <c r="B54" s="101" t="e">
        <f>+Инвойс!#REF!</f>
        <v>#REF!</v>
      </c>
      <c r="C54" s="107" t="e">
        <f>+Инвойс!#REF!</f>
        <v>#REF!</v>
      </c>
      <c r="D54" s="115" t="e">
        <f>+Инвойс!#REF!</f>
        <v>#REF!</v>
      </c>
      <c r="E54" s="101" t="e">
        <f>+Инвойс!#REF!</f>
        <v>#REF!</v>
      </c>
      <c r="F54" s="116" t="s">
        <v>27</v>
      </c>
      <c r="G54" s="106" t="e">
        <f>+Инвойс!#REF!</f>
        <v>#REF!</v>
      </c>
      <c r="H54" s="106" t="e">
        <f>+Инвойс!#REF!</f>
        <v>#REF!</v>
      </c>
      <c r="I54" s="108" t="e">
        <f>+Инвойс!#REF!</f>
        <v>#REF!</v>
      </c>
      <c r="J54" s="13" t="e">
        <f>+Инвойс!#REF!</f>
        <v>#REF!</v>
      </c>
      <c r="K54" s="12">
        <v>0</v>
      </c>
      <c r="L54" s="12">
        <v>0</v>
      </c>
      <c r="M54" s="13" t="e">
        <f>+Инвойс!#REF!</f>
        <v>#REF!</v>
      </c>
      <c r="O54" s="100"/>
      <c r="Q54" s="100"/>
    </row>
    <row r="55" spans="1:17" ht="13.8" x14ac:dyDescent="0.25">
      <c r="A55" s="127" t="e">
        <f>+Инвойс!#REF!</f>
        <v>#REF!</v>
      </c>
      <c r="B55" s="101" t="e">
        <f>+Инвойс!#REF!</f>
        <v>#REF!</v>
      </c>
      <c r="C55" s="107" t="e">
        <f>+Инвойс!#REF!</f>
        <v>#REF!</v>
      </c>
      <c r="D55" s="115" t="e">
        <f>+Инвойс!#REF!</f>
        <v>#REF!</v>
      </c>
      <c r="E55" s="101" t="e">
        <f>+Инвойс!#REF!</f>
        <v>#REF!</v>
      </c>
      <c r="F55" s="116" t="s">
        <v>27</v>
      </c>
      <c r="G55" s="106" t="e">
        <f>+Инвойс!#REF!</f>
        <v>#REF!</v>
      </c>
      <c r="H55" s="106" t="e">
        <f>+Инвойс!#REF!</f>
        <v>#REF!</v>
      </c>
      <c r="I55" s="108" t="e">
        <f>+Инвойс!#REF!</f>
        <v>#REF!</v>
      </c>
      <c r="J55" s="13" t="e">
        <f>+Инвойс!#REF!</f>
        <v>#REF!</v>
      </c>
      <c r="K55" s="12">
        <v>0</v>
      </c>
      <c r="L55" s="12">
        <v>0</v>
      </c>
      <c r="M55" s="13" t="e">
        <f>+Инвойс!#REF!</f>
        <v>#REF!</v>
      </c>
      <c r="O55" s="100"/>
      <c r="Q55" s="100"/>
    </row>
    <row r="56" spans="1:17" ht="13.8" x14ac:dyDescent="0.25">
      <c r="A56" s="127" t="e">
        <f>+Инвойс!#REF!</f>
        <v>#REF!</v>
      </c>
      <c r="B56" s="101" t="e">
        <f>+Инвойс!#REF!</f>
        <v>#REF!</v>
      </c>
      <c r="C56" s="107" t="e">
        <f>+Инвойс!#REF!</f>
        <v>#REF!</v>
      </c>
      <c r="D56" s="115" t="e">
        <f>+Инвойс!#REF!</f>
        <v>#REF!</v>
      </c>
      <c r="E56" s="101" t="e">
        <f>+Инвойс!#REF!</f>
        <v>#REF!</v>
      </c>
      <c r="F56" s="116" t="s">
        <v>27</v>
      </c>
      <c r="G56" s="106" t="e">
        <f>+Инвойс!#REF!</f>
        <v>#REF!</v>
      </c>
      <c r="H56" s="106" t="e">
        <f>+Инвойс!#REF!</f>
        <v>#REF!</v>
      </c>
      <c r="I56" s="108" t="e">
        <f>+Инвойс!#REF!</f>
        <v>#REF!</v>
      </c>
      <c r="J56" s="13" t="e">
        <f>+Инвойс!#REF!</f>
        <v>#REF!</v>
      </c>
      <c r="K56" s="12">
        <v>0</v>
      </c>
      <c r="L56" s="12">
        <v>0</v>
      </c>
      <c r="M56" s="13" t="e">
        <f>+Инвойс!#REF!</f>
        <v>#REF!</v>
      </c>
      <c r="O56" s="100"/>
      <c r="Q56" s="100"/>
    </row>
    <row r="57" spans="1:17" ht="13.8" x14ac:dyDescent="0.25">
      <c r="A57" s="127" t="e">
        <f>+Инвойс!#REF!</f>
        <v>#REF!</v>
      </c>
      <c r="B57" s="101" t="e">
        <f>+Инвойс!#REF!</f>
        <v>#REF!</v>
      </c>
      <c r="C57" s="107" t="e">
        <f>+Инвойс!#REF!</f>
        <v>#REF!</v>
      </c>
      <c r="D57" s="115" t="e">
        <f>+Инвойс!#REF!</f>
        <v>#REF!</v>
      </c>
      <c r="E57" s="101" t="e">
        <f>+Инвойс!#REF!</f>
        <v>#REF!</v>
      </c>
      <c r="F57" s="116" t="s">
        <v>27</v>
      </c>
      <c r="G57" s="106" t="e">
        <f>+Инвойс!#REF!</f>
        <v>#REF!</v>
      </c>
      <c r="H57" s="106" t="e">
        <f>+Инвойс!#REF!</f>
        <v>#REF!</v>
      </c>
      <c r="I57" s="108" t="e">
        <f>+Инвойс!#REF!</f>
        <v>#REF!</v>
      </c>
      <c r="J57" s="13" t="e">
        <f>+Инвойс!#REF!</f>
        <v>#REF!</v>
      </c>
      <c r="K57" s="12">
        <v>0</v>
      </c>
      <c r="L57" s="12">
        <v>0</v>
      </c>
      <c r="M57" s="13" t="e">
        <f>+Инвойс!#REF!</f>
        <v>#REF!</v>
      </c>
      <c r="O57" s="100"/>
      <c r="Q57" s="100"/>
    </row>
    <row r="58" spans="1:17" ht="13.8" x14ac:dyDescent="0.25">
      <c r="A58" s="127" t="e">
        <f>+Инвойс!#REF!</f>
        <v>#REF!</v>
      </c>
      <c r="B58" s="101" t="e">
        <f>+Инвойс!#REF!</f>
        <v>#REF!</v>
      </c>
      <c r="C58" s="107" t="e">
        <f>+Инвойс!#REF!</f>
        <v>#REF!</v>
      </c>
      <c r="D58" s="115" t="e">
        <f>+Инвойс!#REF!</f>
        <v>#REF!</v>
      </c>
      <c r="E58" s="101" t="e">
        <f>+Инвойс!#REF!</f>
        <v>#REF!</v>
      </c>
      <c r="F58" s="116" t="s">
        <v>27</v>
      </c>
      <c r="G58" s="106" t="e">
        <f>+Инвойс!#REF!</f>
        <v>#REF!</v>
      </c>
      <c r="H58" s="106" t="e">
        <f>+Инвойс!#REF!</f>
        <v>#REF!</v>
      </c>
      <c r="I58" s="108" t="e">
        <f>+Инвойс!#REF!</f>
        <v>#REF!</v>
      </c>
      <c r="J58" s="13" t="e">
        <f>+Инвойс!#REF!</f>
        <v>#REF!</v>
      </c>
      <c r="K58" s="12">
        <v>0</v>
      </c>
      <c r="L58" s="12">
        <v>0</v>
      </c>
      <c r="M58" s="13" t="e">
        <f>+Инвойс!#REF!</f>
        <v>#REF!</v>
      </c>
      <c r="O58" s="100"/>
      <c r="Q58" s="100"/>
    </row>
    <row r="59" spans="1:17" ht="13.8" x14ac:dyDescent="0.25">
      <c r="A59" s="127" t="e">
        <f>+Инвойс!#REF!</f>
        <v>#REF!</v>
      </c>
      <c r="B59" s="101" t="e">
        <f>+Инвойс!#REF!</f>
        <v>#REF!</v>
      </c>
      <c r="C59" s="107" t="e">
        <f>+Инвойс!#REF!</f>
        <v>#REF!</v>
      </c>
      <c r="D59" s="115" t="e">
        <f>+Инвойс!#REF!</f>
        <v>#REF!</v>
      </c>
      <c r="E59" s="101" t="e">
        <f>+Инвойс!#REF!</f>
        <v>#REF!</v>
      </c>
      <c r="F59" s="116" t="s">
        <v>27</v>
      </c>
      <c r="G59" s="106" t="e">
        <f>+Инвойс!#REF!</f>
        <v>#REF!</v>
      </c>
      <c r="H59" s="106" t="e">
        <f>+Инвойс!#REF!</f>
        <v>#REF!</v>
      </c>
      <c r="I59" s="108" t="e">
        <f>+Инвойс!#REF!</f>
        <v>#REF!</v>
      </c>
      <c r="J59" s="13" t="e">
        <f>+Инвойс!#REF!</f>
        <v>#REF!</v>
      </c>
      <c r="K59" s="12">
        <v>0</v>
      </c>
      <c r="L59" s="12">
        <v>0</v>
      </c>
      <c r="M59" s="13" t="e">
        <f>+Инвойс!#REF!</f>
        <v>#REF!</v>
      </c>
      <c r="O59" s="100"/>
      <c r="Q59" s="100"/>
    </row>
    <row r="60" spans="1:17" ht="13.8" x14ac:dyDescent="0.25">
      <c r="A60" s="127" t="e">
        <f>+Инвойс!#REF!</f>
        <v>#REF!</v>
      </c>
      <c r="B60" s="101" t="e">
        <f>+Инвойс!#REF!</f>
        <v>#REF!</v>
      </c>
      <c r="C60" s="107" t="e">
        <f>+Инвойс!#REF!</f>
        <v>#REF!</v>
      </c>
      <c r="D60" s="115" t="e">
        <f>+Инвойс!#REF!</f>
        <v>#REF!</v>
      </c>
      <c r="E60" s="101" t="e">
        <f>+Инвойс!#REF!</f>
        <v>#REF!</v>
      </c>
      <c r="F60" s="116" t="s">
        <v>27</v>
      </c>
      <c r="G60" s="106" t="e">
        <f>+Инвойс!#REF!</f>
        <v>#REF!</v>
      </c>
      <c r="H60" s="106" t="e">
        <f>+Инвойс!#REF!</f>
        <v>#REF!</v>
      </c>
      <c r="I60" s="108" t="e">
        <f>+Инвойс!#REF!</f>
        <v>#REF!</v>
      </c>
      <c r="J60" s="13" t="e">
        <f>+Инвойс!#REF!</f>
        <v>#REF!</v>
      </c>
      <c r="K60" s="12">
        <v>0</v>
      </c>
      <c r="L60" s="12">
        <v>0</v>
      </c>
      <c r="M60" s="13" t="e">
        <f>+Инвойс!#REF!</f>
        <v>#REF!</v>
      </c>
      <c r="O60" s="100"/>
      <c r="Q60" s="100"/>
    </row>
    <row r="61" spans="1:17" ht="13.8" x14ac:dyDescent="0.25">
      <c r="A61" s="127" t="e">
        <f>+Инвойс!#REF!</f>
        <v>#REF!</v>
      </c>
      <c r="B61" s="101" t="e">
        <f>+Инвойс!#REF!</f>
        <v>#REF!</v>
      </c>
      <c r="C61" s="107" t="e">
        <f>+Инвойс!#REF!</f>
        <v>#REF!</v>
      </c>
      <c r="D61" s="115" t="e">
        <f>+Инвойс!#REF!</f>
        <v>#REF!</v>
      </c>
      <c r="E61" s="101" t="e">
        <f>+Инвойс!#REF!</f>
        <v>#REF!</v>
      </c>
      <c r="F61" s="116" t="s">
        <v>27</v>
      </c>
      <c r="G61" s="106" t="e">
        <f>+Инвойс!#REF!</f>
        <v>#REF!</v>
      </c>
      <c r="H61" s="106" t="e">
        <f>+Инвойс!#REF!</f>
        <v>#REF!</v>
      </c>
      <c r="I61" s="108" t="e">
        <f>+Инвойс!#REF!</f>
        <v>#REF!</v>
      </c>
      <c r="J61" s="13" t="e">
        <f>+Инвойс!#REF!</f>
        <v>#REF!</v>
      </c>
      <c r="K61" s="12">
        <v>0</v>
      </c>
      <c r="L61" s="12">
        <v>0</v>
      </c>
      <c r="M61" s="13" t="e">
        <f>+Инвойс!#REF!</f>
        <v>#REF!</v>
      </c>
      <c r="O61" s="100"/>
      <c r="Q61" s="100"/>
    </row>
    <row r="62" spans="1:17" ht="13.8" x14ac:dyDescent="0.25">
      <c r="A62" s="127" t="e">
        <f>+Инвойс!#REF!</f>
        <v>#REF!</v>
      </c>
      <c r="B62" s="101" t="e">
        <f>+Инвойс!#REF!</f>
        <v>#REF!</v>
      </c>
      <c r="C62" s="107" t="e">
        <f>+Инвойс!#REF!</f>
        <v>#REF!</v>
      </c>
      <c r="D62" s="115" t="e">
        <f>+Инвойс!#REF!</f>
        <v>#REF!</v>
      </c>
      <c r="E62" s="101" t="e">
        <f>+Инвойс!#REF!</f>
        <v>#REF!</v>
      </c>
      <c r="F62" s="116" t="s">
        <v>27</v>
      </c>
      <c r="G62" s="106" t="e">
        <f>+Инвойс!#REF!</f>
        <v>#REF!</v>
      </c>
      <c r="H62" s="106" t="e">
        <f>+Инвойс!#REF!</f>
        <v>#REF!</v>
      </c>
      <c r="I62" s="108" t="e">
        <f>+Инвойс!#REF!</f>
        <v>#REF!</v>
      </c>
      <c r="J62" s="13" t="e">
        <f>+Инвойс!#REF!</f>
        <v>#REF!</v>
      </c>
      <c r="K62" s="12">
        <v>0</v>
      </c>
      <c r="L62" s="12">
        <v>0</v>
      </c>
      <c r="M62" s="13" t="e">
        <f>+Инвойс!#REF!</f>
        <v>#REF!</v>
      </c>
      <c r="O62" s="100"/>
      <c r="Q62" s="100"/>
    </row>
    <row r="63" spans="1:17" ht="13.8" x14ac:dyDescent="0.25">
      <c r="A63" s="127" t="e">
        <f>+Инвойс!#REF!</f>
        <v>#REF!</v>
      </c>
      <c r="B63" s="101" t="e">
        <f>+Инвойс!#REF!</f>
        <v>#REF!</v>
      </c>
      <c r="C63" s="107" t="e">
        <f>+Инвойс!#REF!</f>
        <v>#REF!</v>
      </c>
      <c r="D63" s="115" t="e">
        <f>+Инвойс!#REF!</f>
        <v>#REF!</v>
      </c>
      <c r="E63" s="101" t="e">
        <f>+Инвойс!#REF!</f>
        <v>#REF!</v>
      </c>
      <c r="F63" s="116" t="s">
        <v>27</v>
      </c>
      <c r="G63" s="106" t="e">
        <f>+Инвойс!#REF!</f>
        <v>#REF!</v>
      </c>
      <c r="H63" s="106" t="e">
        <f>+Инвойс!#REF!</f>
        <v>#REF!</v>
      </c>
      <c r="I63" s="108" t="e">
        <f>+Инвойс!#REF!</f>
        <v>#REF!</v>
      </c>
      <c r="J63" s="13" t="e">
        <f>+Инвойс!#REF!</f>
        <v>#REF!</v>
      </c>
      <c r="K63" s="12">
        <v>0</v>
      </c>
      <c r="L63" s="12">
        <v>0</v>
      </c>
      <c r="M63" s="13" t="e">
        <f>+Инвойс!#REF!</f>
        <v>#REF!</v>
      </c>
      <c r="O63" s="100"/>
      <c r="Q63" s="100"/>
    </row>
    <row r="64" spans="1:17" ht="13.8" x14ac:dyDescent="0.25">
      <c r="A64" s="145" t="s">
        <v>0</v>
      </c>
      <c r="B64" s="146"/>
      <c r="C64" s="14"/>
      <c r="D64" s="15"/>
      <c r="E64" s="64" t="e">
        <f>SUM(E30:E63)</f>
        <v>#REF!</v>
      </c>
      <c r="F64" s="15"/>
      <c r="G64" s="64" t="e">
        <f>SUM(G30:G63)</f>
        <v>#REF!</v>
      </c>
      <c r="H64" s="64" t="e">
        <f>SUM(H30:H63)</f>
        <v>#REF!</v>
      </c>
      <c r="I64" s="102"/>
      <c r="J64" s="17" t="e">
        <f>SUM(J30:J63)</f>
        <v>#REF!</v>
      </c>
      <c r="K64" s="16"/>
      <c r="L64" s="16"/>
      <c r="M64" s="17" t="e">
        <f>SUM(M30:M63)</f>
        <v>#REF!</v>
      </c>
      <c r="P64" s="66"/>
    </row>
    <row r="65" spans="1:14" ht="13.8" x14ac:dyDescent="0.3">
      <c r="A65" s="2" t="s">
        <v>17</v>
      </c>
      <c r="B65" s="3"/>
      <c r="C65" s="11"/>
      <c r="D65" s="11"/>
      <c r="E65" s="143" t="str">
        <f>Лист1!B3</f>
        <v>Тридцать одна тысяча пятьсот шестьдесят долларов США, 00 центов.</v>
      </c>
      <c r="F65" s="144"/>
      <c r="G65" s="144"/>
      <c r="H65" s="144"/>
      <c r="I65" s="144"/>
      <c r="J65" s="144"/>
      <c r="K65" s="144"/>
      <c r="L65" s="144"/>
      <c r="M65" s="144"/>
    </row>
    <row r="66" spans="1:14" ht="20.25" customHeight="1" x14ac:dyDescent="0.25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</row>
    <row r="67" spans="1:14" ht="25.5" customHeight="1" x14ac:dyDescent="0.25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26"/>
    </row>
    <row r="68" spans="1:14" ht="13.8" x14ac:dyDescent="0.25">
      <c r="A68" s="7" t="s">
        <v>124</v>
      </c>
    </row>
    <row r="69" spans="1:14" ht="15.6" x14ac:dyDescent="0.3">
      <c r="A69" s="7" t="str">
        <f>+Инвойс!A14</f>
        <v>OOO “BMB EXIM”</v>
      </c>
      <c r="B69" s="7"/>
      <c r="D69" s="25" t="str">
        <f>+Инвойс!D36</f>
        <v>Сапаров И. Е</v>
      </c>
      <c r="E69" s="24"/>
      <c r="G69" s="129" t="s">
        <v>125</v>
      </c>
      <c r="L69" s="130" t="s">
        <v>126</v>
      </c>
    </row>
    <row r="70" spans="1:14" ht="13.8" x14ac:dyDescent="0.25">
      <c r="A70" s="7"/>
      <c r="B70" s="9"/>
    </row>
    <row r="71" spans="1:14" ht="13.8" x14ac:dyDescent="0.25">
      <c r="A71" s="7"/>
      <c r="B71" s="9"/>
    </row>
    <row r="72" spans="1:14" ht="13.8" x14ac:dyDescent="0.25">
      <c r="A72" s="7"/>
      <c r="B72" s="9"/>
    </row>
    <row r="73" spans="1:14" ht="13.8" x14ac:dyDescent="0.25">
      <c r="A73" s="7"/>
      <c r="B73" s="9"/>
    </row>
    <row r="74" spans="1:14" ht="13.8" x14ac:dyDescent="0.25">
      <c r="A74" s="8"/>
      <c r="B74" s="9"/>
    </row>
    <row r="75" spans="1:14" x14ac:dyDescent="0.25">
      <c r="A75" s="4"/>
    </row>
  </sheetData>
  <mergeCells count="54">
    <mergeCell ref="A66:M66"/>
    <mergeCell ref="A67:M67"/>
    <mergeCell ref="G28:H28"/>
    <mergeCell ref="I28:I29"/>
    <mergeCell ref="K28:L28"/>
    <mergeCell ref="M28:M29"/>
    <mergeCell ref="A64:B64"/>
    <mergeCell ref="E65:M65"/>
    <mergeCell ref="E26:G26"/>
    <mergeCell ref="A28:A29"/>
    <mergeCell ref="B28:B29"/>
    <mergeCell ref="C28:C29"/>
    <mergeCell ref="D28:D29"/>
    <mergeCell ref="E28:E29"/>
    <mergeCell ref="F28:F29"/>
    <mergeCell ref="G13:M13"/>
    <mergeCell ref="G15:M15"/>
    <mergeCell ref="G16:M16"/>
    <mergeCell ref="C23:M23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A14:E14"/>
    <mergeCell ref="G17:M17"/>
    <mergeCell ref="G18:M18"/>
    <mergeCell ref="G14:M14"/>
    <mergeCell ref="F1:H1"/>
    <mergeCell ref="C2:I2"/>
    <mergeCell ref="A4:E4"/>
    <mergeCell ref="G4:M4"/>
    <mergeCell ref="A5:E5"/>
    <mergeCell ref="G5:M5"/>
    <mergeCell ref="A6:E6"/>
    <mergeCell ref="A7:E7"/>
    <mergeCell ref="A8:E8"/>
    <mergeCell ref="G6:M6"/>
    <mergeCell ref="G7:M7"/>
    <mergeCell ref="G8:M8"/>
    <mergeCell ref="A9:E9"/>
    <mergeCell ref="A13:E13"/>
    <mergeCell ref="B1:E1"/>
    <mergeCell ref="A10:E10"/>
    <mergeCell ref="A11:E11"/>
    <mergeCell ref="A12:E12"/>
    <mergeCell ref="G12:M12"/>
    <mergeCell ref="G9:M9"/>
    <mergeCell ref="G10:M10"/>
    <mergeCell ref="G11:M11"/>
  </mergeCells>
  <phoneticPr fontId="76" type="noConversion"/>
  <pageMargins left="0.7" right="0.7" top="0.75" bottom="0.75" header="0.3" footer="0.3"/>
  <pageSetup paperSize="9" scale="37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topLeftCell="A10" zoomScale="85" zoomScaleNormal="85" workbookViewId="0">
      <selection activeCell="A19" sqref="A19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113</v>
      </c>
    </row>
    <row r="3" spans="1:1" ht="52.8" x14ac:dyDescent="0.25">
      <c r="A3" s="126" t="s">
        <v>127</v>
      </c>
    </row>
    <row r="5" spans="1:1" ht="39.6" x14ac:dyDescent="0.25">
      <c r="A5" s="126" t="s">
        <v>114</v>
      </c>
    </row>
    <row r="7" spans="1:1" ht="52.8" x14ac:dyDescent="0.25">
      <c r="A7" s="126" t="s">
        <v>115</v>
      </c>
    </row>
    <row r="9" spans="1:1" ht="52.8" x14ac:dyDescent="0.25">
      <c r="A9" s="126" t="s">
        <v>116</v>
      </c>
    </row>
    <row r="10" spans="1:1" x14ac:dyDescent="0.25">
      <c r="A10" s="126"/>
    </row>
    <row r="11" spans="1:1" ht="52.8" x14ac:dyDescent="0.25">
      <c r="A11" s="126" t="s">
        <v>117</v>
      </c>
    </row>
    <row r="13" spans="1:1" ht="52.8" x14ac:dyDescent="0.25">
      <c r="A13" s="126" t="s">
        <v>118</v>
      </c>
    </row>
    <row r="15" spans="1:1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19" ht="15.6" x14ac:dyDescent="0.3">
      <c r="E2" s="27">
        <f>Инвойс!M31</f>
        <v>31560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Тридцать одна тысяча пятьсот шестьдесят долларов США, 00 центов.</v>
      </c>
      <c r="E3" s="31"/>
      <c r="H3" s="32"/>
      <c r="J3" s="32"/>
      <c r="K3" s="32"/>
      <c r="L3" s="32"/>
      <c r="M3" s="33" t="s">
        <v>34</v>
      </c>
      <c r="N3" s="173">
        <f ca="1">TODAY()</f>
        <v>45880</v>
      </c>
      <c r="O3" s="173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Тридцать одна тысяча пятьсот шестьдесят долларов США, 00 центов. (в т.ч. НДС - 357,79)</v>
      </c>
      <c r="H4" s="32"/>
      <c r="I4" s="32"/>
      <c r="J4" s="32"/>
      <c r="K4" s="174" t="str">
        <f ca="1">CONCATENATE(" «  ",P3,"  »  ",Q3,"  ",R3," г.")</f>
        <v xml:space="preserve"> «  11  »  августа  2025 г.</v>
      </c>
      <c r="L4" s="174"/>
      <c r="M4" s="174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тридцать одна тысяча пятьсот шестьдесят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тридцать одна тысяча пятьсот шестьдесят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75" t="s">
        <v>38</v>
      </c>
      <c r="I7" s="175"/>
      <c r="J7" s="175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242</v>
      </c>
      <c r="G8" s="42"/>
      <c r="H8" s="175"/>
      <c r="I8" s="175"/>
      <c r="J8" s="175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т</v>
      </c>
      <c r="G9" s="42"/>
      <c r="H9" s="175"/>
      <c r="I9" s="175"/>
      <c r="J9" s="175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тридцать одна тысяча </v>
      </c>
      <c r="D10" s="47"/>
      <c r="E10" s="48"/>
      <c r="F10" s="41" t="str">
        <f>PROPER(F9)</f>
        <v>Т</v>
      </c>
      <c r="G10" s="42"/>
      <c r="H10" s="175"/>
      <c r="I10" s="175"/>
      <c r="J10" s="175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пятьсот шестьдесят долларов США, </v>
      </c>
      <c r="D11" s="47"/>
      <c r="E11" s="48"/>
      <c r="H11" s="175"/>
      <c r="I11" s="175"/>
      <c r="J11" s="175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31560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3</v>
      </c>
      <c r="B24" s="47">
        <f>TRUNC(RIGHT(A24))</f>
        <v>3</v>
      </c>
      <c r="C24" s="51">
        <f>IF(B24=1,"",B24)</f>
        <v>3</v>
      </c>
      <c r="E24" s="56" t="str">
        <f>IF(OR(C24=0,B24=1),"",IF(B24=2,E35,IF(B24=3,E36,IF(B24=4,E37,IF(B24=5,E38,IF(B24=6,E39,IF(B24=7,E40,IF(B24=8,E41,E42))))))))</f>
        <v xml:space="preserve">тридцать </v>
      </c>
    </row>
    <row r="25" spans="1:9" s="43" customFormat="1" x14ac:dyDescent="0.25">
      <c r="A25" s="54">
        <f>TRUNC(A27/10)</f>
        <v>31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31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5">
      <c r="A27" s="54">
        <f>TRUNC(A28/10)</f>
        <v>315</v>
      </c>
      <c r="B27" s="47">
        <f>TRUNC(RIGHT(A27))</f>
        <v>5</v>
      </c>
      <c r="C27" s="51">
        <f>B27</f>
        <v>5</v>
      </c>
      <c r="E27" s="55" t="str">
        <f>IF(B27=1,E43,IF(B27=2,G35,IF(B27=3,G36,IF(B27=4,G37,IF(B27=5,G38,IF(B27=6,G39,IF(B27=7,G40,IF(B27=8,G41,G42))))))))</f>
        <v xml:space="preserve">пятьсот </v>
      </c>
    </row>
    <row r="28" spans="1:9" s="43" customFormat="1" x14ac:dyDescent="0.25">
      <c r="A28" s="54">
        <f>TRUNC(A29/10)</f>
        <v>3156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31560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560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6" t="s">
        <v>81</v>
      </c>
      <c r="B44" s="176"/>
      <c r="C44" s="176"/>
      <c r="D44" s="176"/>
      <c r="E44" s="176"/>
      <c r="F44" s="176"/>
      <c r="G44" s="176"/>
      <c r="H44" s="176"/>
      <c r="I44" s="176"/>
      <c r="J44" s="171" t="s">
        <v>82</v>
      </c>
      <c r="K44" s="171"/>
    </row>
    <row r="45" spans="1:11" s="43" customFormat="1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1"/>
      <c r="K45" s="171"/>
    </row>
    <row r="46" spans="1:11" s="43" customFormat="1" x14ac:dyDescent="0.25">
      <c r="B46" s="61"/>
      <c r="C46" s="61"/>
      <c r="G46" s="170" t="s">
        <v>83</v>
      </c>
      <c r="H46" s="170"/>
      <c r="I46" s="170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1" t="s">
        <v>85</v>
      </c>
      <c r="B100" s="171"/>
      <c r="C100" s="171"/>
      <c r="D100" s="171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2025-08-11T04:08:37Z</cp:lastPrinted>
  <dcterms:created xsi:type="dcterms:W3CDTF">1996-10-14T23:33:28Z</dcterms:created>
  <dcterms:modified xsi:type="dcterms:W3CDTF">2025-08-11T04:08:59Z</dcterms:modified>
</cp:coreProperties>
</file>