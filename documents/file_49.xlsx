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<sst xmlns="http://schemas.openxmlformats.org/spreadsheetml/2006/main" count="209" uniqueCount="163">
  <si>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</si>
  <si>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</si>
  <si>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</si>
  <si>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</si>
  <si>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</si>
  <si>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</si>
  <si>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</si>
  <si>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</si>
  <si>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</si>
  <si>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</si>
  <si>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</si>
  <si>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</si>
  <si>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</si>
  <si>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</si>
  <si>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</si>
  <si>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</si>
  <si>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</si>
  <si>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</si>
  <si>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</si>
  <si>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</si>
  <si>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</si>
  <si>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</si>
  <si>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</si>
  <si>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</si>
  <si>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</si>
  <si>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</si>
  <si>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</si>
  <si>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</si>
  <si>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</si>
  <si>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</si>
  <si>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</si>
  <si>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</si>
  <si>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</si>
  <si>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</si>
  <si>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</si>
  <si>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</si>
  <si>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</si>
  <si>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</si>
  <si>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</si>
  <si>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</si>
  <si>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</si>
  <si>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</si>
  <si>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</si>
  <si>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</si>
  <si>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</si>
  <si>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</si>
  <si>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</si>
  <si>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</si>
  <si>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</si>
  <si>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</si>
  <si>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</si>
  <si>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</si>
  <si>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</si>
  <si>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</si>
  <si>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</si>
  <si>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</si>
  <si>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</si>
  <si>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</si>
  <si>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</si>
  <si>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</si>
  <si>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</si>
  <si>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</si>
  <si>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</si>
  <si>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</si>
  <si>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</si>
  <si>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</si>
  <si>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</si>
  <si>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</si>
  <si>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</si>
  <si>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</si>
  <si>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</si>
  <si>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</si>
  <si>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</si>
  <si>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</si>
  <si>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</si>
  <si>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</si>
  <si>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</si>
  <si>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</si>
  <si>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</si>
  <si>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</si>
  <si>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</si>
  <si>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</si>
  <si>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</si>
  <si>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</si>
  <si>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</si>
  <si>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</si>
  <si>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</si>
  <si>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</si>
  <si>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</si>
  <si>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</si>
  <si>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</si>
  <si>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</si>
  <si>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</si>
  <si>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</si>
  <si>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</si>
  <si>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</si>
  <si>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</si>
  <si>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</si>
  <si>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</si>
  <si>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</si>
  <si>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</si>
  <si>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</si>
  <si>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</si>
  <si>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</si>
  <si>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</si>
  <si>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</si>
  <si>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</si>
  <si>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</si>
  <si>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</si>
  <si>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</si>
  <si>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</si>
  <si>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</si>
  <si>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</si>
  <si>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</si>
  <si>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</si>
  <si>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</si>
  <si>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</si>
  <si>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</si>
  <si>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</si>
  <si>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</si>
  <si>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</si>
  <si>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</si>
  <si>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</si>
  <si>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</si>
  <si>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</si>
  <si>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</si>
  <si>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</si>
  <si>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</si>
  <si>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</si>
  <si>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</si>
  <si>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</si>
  <si>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</si>
  <si>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</si>
  <si>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</si>
  <si>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</si>
  <si>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</si>
  <si>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</si>
  <si>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</si>
  <si>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</si>
  <si>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 xml:space="preserve"> 25.08.2025г.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</si>
  <si>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</si>
  <si>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</si>
  <si>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</si>
  <si>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</si>
  <si>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</si>
  <si>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</si>
  <si>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</si>
  <si>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</si>
  <si>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</si>
  <si>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</si>
  <si>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</si>
  <si>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</si>
  <si>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</si>
  <si>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</si>
  <si>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</si>
  <si>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</si>
  <si>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</si>
  <si>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</si>
  <si>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</si>
  <si>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PLG-A-2 от </t>
  </si>
  <si>
    <t>30X400PA/304440AA</t>
  </si>
  <si>
    <t>/г. Владивосток/ г.Чита / г. Набережные Челны / г. Краснодар / г.Пятигорск / г.Воронеж / /г.Нижневартовск/г.Нижний Новгород/г.Киров</t>
  </si>
  <si>
    <t xml:space="preserve">СПЕЦИФИКАЦИЯ № PLG-A-2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</si>
</sst>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159</v>
      </c>
      <c r="D1" s="134"/>
      <c r="E1" s="134"/>
      <c r="F1" s="133" t="s">
        <v>139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149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150</v>
      </c>
      <c r="B5" s="135"/>
      <c r="C5" s="135"/>
      <c r="D5" s="135"/>
      <c r="E5" s="135"/>
      <c r="F5" s="6"/>
      <c r="G5" s="137" t="s">
        <v>140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151</v>
      </c>
      <c r="B6" s="142"/>
      <c r="C6" s="142"/>
      <c r="D6" s="142"/>
      <c r="E6" s="142"/>
      <c r="F6" s="7"/>
      <c r="G6" s="139" t="s">
        <v>141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152</v>
      </c>
      <c r="B7" s="142"/>
      <c r="C7" s="142"/>
      <c r="D7" s="142"/>
      <c r="E7" s="142"/>
      <c r="F7" s="63"/>
      <c r="G7" s="139" t="s">
        <v>142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155</v>
      </c>
      <c r="B10" s="124"/>
      <c r="C10" s="124"/>
      <c r="D10" s="124"/>
      <c r="E10" s="124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146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150</v>
      </c>
      <c r="B14" s="135"/>
      <c r="C14" s="135"/>
      <c r="D14" s="135"/>
      <c r="E14" s="135"/>
      <c r="F14" s="6"/>
      <c r="G14" s="137" t="s">
        <v>140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151</v>
      </c>
      <c r="B15" s="142"/>
      <c r="C15" s="142"/>
      <c r="D15" s="142"/>
      <c r="E15" s="142"/>
      <c r="F15" s="7"/>
      <c r="G15" s="139" t="s">
        <v>141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152</v>
      </c>
      <c r="B16" s="142"/>
      <c r="C16" s="142"/>
      <c r="D16" s="142"/>
      <c r="E16" s="142"/>
      <c r="F16" s="63"/>
      <c r="G16" s="139" t="s">
        <v>142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155</v>
      </c>
      <c r="B19" s="124"/>
      <c r="C19" s="124"/>
      <c r="D19" s="124"/>
      <c r="E19" s="124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146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117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137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160</v>
      </c>
      <c r="F26" s="155"/>
      <c r="G26" s="155"/>
      <c r="J26" s="21"/>
    </row>
    <row r="27" spans="1:17" ht="34.5" customHeight="1" x14ac:dyDescent="0.25">
      <c r="A27" s="67" t="s">
        <v>109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111</v>
      </c>
      <c r="E30" s="101">
        <v>950</v>
      </c>
      <c r="F30" s="115" t="s">
        <v>27</v>
      </c>
      <c r="G30" s="106">
        <v>23000</v>
      </c>
      <c r="H30" s="106">
        <v>21290</v>
      </c>
      <c r="I30" s="108">
        <v>0.25</v>
      </c>
      <c r="J30" s="13">
        <f t="shared" ref="J30" si="0">H30*I30</f>
        <v>5322.5</v>
      </c>
      <c r="K30" s="12">
        <v>0</v>
      </c>
      <c r="L30" s="12">
        <v>0</v>
      </c>
      <c r="M30" s="13">
        <f t="shared" ref="M30" si="1">J30</f>
        <v>5322.5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двадцать два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108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157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zoomScale="115" zoomScaleNormal="115" workbookViewId="0">
      <selection activeCell="F17" sqref="F17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110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161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PLG-A-2 от  25.08.2025г.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9" t="str">
        <f>+C22</f>
        <v xml:space="preserve"> 25.08.2025г.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30X400PA/304440AA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8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30X400PA/304440AA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25.08.2025г.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PLG-A-2 от  25.08.2025г.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950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950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162</v>
      </c>
      <c r="C1" s="173"/>
      <c r="D1" s="173"/>
      <c r="E1" s="173"/>
      <c r="F1" s="133" t="str">
        <f>+Инвойс!F1</f>
        <v xml:space="preserve"> 25.08.2025г.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114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30X400PA/304440AA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23000</v>
      </c>
      <c r="H30" s="106">
        <f>+Инвойс!H30</f>
        <v>21290</v>
      </c>
      <c r="I30" s="108">
        <f>+Инвойс!I30</f>
        <v>0.25</v>
      </c>
      <c r="J30" s="13">
        <f>+Инвойс!J30</f>
        <v>5322.5</v>
      </c>
      <c r="K30" s="12">
        <v>0</v>
      </c>
      <c r="L30" s="12">
        <v>0</v>
      </c>
      <c r="M30" s="13">
        <f>+Инвойс!M30</f>
        <v>5322.5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950</v>
      </c>
      <c r="F31" s="15"/>
      <c r="G31" s="64">
        <f>SUM(G30:G30)</f>
        <v>23000</v>
      </c>
      <c r="H31" s="64">
        <f>SUM(H30:H30)</f>
        <v>21290</v>
      </c>
      <c r="I31" s="102"/>
      <c r="J31" s="17">
        <f>SUM(J30:J30)</f>
        <v>5322.5</v>
      </c>
      <c r="K31" s="16"/>
      <c r="L31" s="16"/>
      <c r="M31" s="17">
        <f>SUM(M30:M30)</f>
        <v>5322.5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триста двадцать два доллара США,50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158</v>
      </c>
      <c r="B36" s="130"/>
      <c r="D36" s="18" t="str">
        <f>+Инвойс!D36</f>
        <v>Юнусов Х.Р</v>
      </c>
      <c r="E36" s="131"/>
      <c r="G36" s="128" t="s">
        <v>129</v>
      </c>
      <c r="H36" s="18" t="str">
        <f>Инвойс!G5</f>
        <v>ООО «ГРИН ВОРЛД»</v>
      </c>
      <c r="K36" s="132" t="s">
        <v>147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115</v>
      </c>
    </row>
    <row r="3" spans="1:10" ht="51" x14ac:dyDescent="0.2">
      <c r="A3" s="129" t="s">
        <v>127</v>
      </c>
    </row>
    <row r="5" spans="1:10" ht="38.25" x14ac:dyDescent="0.2">
      <c r="A5" s="125" t="s">
        <v>116</v>
      </c>
    </row>
    <row r="6" spans="1:10" x14ac:dyDescent="0.2">
      <c r="E6" s="18" t="s">
        <v>128</v>
      </c>
      <c r="J6" s="25" t="s">
        <v>131</v>
      </c>
    </row>
    <row r="7" spans="1:10" ht="51" x14ac:dyDescent="0.2">
      <c r="A7" s="125" t="s">
        <v>117</v>
      </c>
    </row>
    <row r="8" spans="1:10" x14ac:dyDescent="0.2">
      <c r="E8" s="18" t="s">
        <v>137</v>
      </c>
      <c r="J8" s="25" t="s">
        <v>132</v>
      </c>
    </row>
    <row r="9" spans="1:10" ht="51" x14ac:dyDescent="0.2">
      <c r="A9" s="125" t="s">
        <v>118</v>
      </c>
    </row>
    <row r="10" spans="1:10" x14ac:dyDescent="0.2">
      <c r="A10" s="125"/>
      <c r="E10" s="18" t="s">
        <v>133</v>
      </c>
      <c r="J10" s="25" t="s">
        <v>134</v>
      </c>
    </row>
    <row r="11" spans="1:10" ht="51" x14ac:dyDescent="0.2">
      <c r="A11" s="125" t="s">
        <v>148</v>
      </c>
    </row>
    <row r="12" spans="1:10" x14ac:dyDescent="0.2">
      <c r="E12" s="18" t="s">
        <v>135</v>
      </c>
      <c r="J12" s="25" t="s">
        <v>136</v>
      </c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5322.5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двадцать два доллара США,50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45894</v>
      </c>
      <c r="O3" s="177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двадцать два доллара США,50 центов. (в т.ч. НДС - 357,79)</v>
      </c>
      <c r="H4" s="32"/>
      <c r="I4" s="32"/>
      <c r="J4" s="32"/>
      <c r="K4" s="178" t="str">
        <f ca="1">CONCATENATE(" «  ",P3,"  »  ",Q3,"  ",R3," г.")</f>
        <v xml:space="preserve"> «  25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двадцать два доллара США,50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двадцать два доллара США,50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двадцать два доллара США,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50 центов.</v>
      </c>
      <c r="D12" s="47"/>
      <c r="E12" s="48"/>
      <c r="M12" s="50">
        <f ca="1">TODAY()</f>
        <v>45894</v>
      </c>
    </row>
    <row r="13" spans="1:19" s="43" customFormat="1" x14ac:dyDescent="0.2">
      <c r="A13" s="49"/>
      <c r="D13" s="51"/>
      <c r="E13" s="52">
        <f>TRUNC(E2)</f>
        <v>5322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5322</v>
      </c>
      <c r="B29" s="47">
        <f>TRUNC(RIGHT(A29))</f>
        <v>2</v>
      </c>
      <c r="C29" s="51">
        <f>IF(B28=1,B29+10,IF(B29=0,0,B29))</f>
        <v>2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два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322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2025-08-25T15:21:39Z</cp:lastPrinted>
  <dcterms:created xsi:type="dcterms:W3CDTF">1996-10-14T23:33:28Z</dcterms:created>
  <dcterms:modified xsi:type="dcterms:W3CDTF">2025-08-25T15:21:40Z</dcterms:modified>
</cp:coreProperties>
</file>