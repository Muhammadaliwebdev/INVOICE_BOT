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1A54DD-4DC3-4A51-B8DE-88DE492C28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<sst xmlns="http://schemas.openxmlformats.org/spreadsheetml/2006/main" count="208" uniqueCount="170">
  <si>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</si>
  <si>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</si>
  <si>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</si>
  <si>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</si>
  <si>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</si>
  <si>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</si>
  <si>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</si>
  <si>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</si>
  <si>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</si>
  <si>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</si>
  <si>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</si>
  <si>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</si>
  <si>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</si>
  <si>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</si>
  <si>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</si>
  <si>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</si>
  <si>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</si>
  <si>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</si>
  <si>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</si>
  <si>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</si>
  <si>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</si>
  <si>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</si>
  <si>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</si>
  <si>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</si>
  <si>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</si>
  <si>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</si>
  <si>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</si>
  <si>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</si>
  <si>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</si>
  <si>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</si>
  <si>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</si>
  <si>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</si>
  <si>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</si>
  <si>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</si>
  <si>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</si>
  <si>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</si>
  <si>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</si>
  <si>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</si>
  <si>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</si>
  <si>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</si>
  <si>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</si>
  <si>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</si>
  <si>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</si>
  <si>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</si>
  <si>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</si>
  <si>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</si>
  <si>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</si>
  <si>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</si>
  <si>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</si>
  <si>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</si>
  <si>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</si>
  <si>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</si>
  <si>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</si>
  <si>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</si>
  <si>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</si>
  <si>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</si>
  <si>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</si>
  <si>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</si>
  <si>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</si>
  <si>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</si>
  <si>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</si>
  <si>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</si>
  <si>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</si>
  <si>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</si>
  <si>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</si>
  <si>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</si>
  <si>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</si>
  <si>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</si>
  <si>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</si>
  <si>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</si>
  <si>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</si>
  <si>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</si>
  <si>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</si>
  <si>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</si>
  <si>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</si>
  <si>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</si>
  <si>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</si>
  <si>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</si>
  <si>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</si>
  <si>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</si>
  <si>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</si>
  <si>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</si>
  <si>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</si>
  <si>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</si>
  <si>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</si>
  <si>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</si>
  <si>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</si>
  <si>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</si>
  <si>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</si>
  <si>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</si>
  <si>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</si>
  <si>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</si>
  <si>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</si>
  <si>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</si>
  <si>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</si>
  <si>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</si>
  <si>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</si>
  <si>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</si>
  <si>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</si>
  <si>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</si>
  <si>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</si>
  <si>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</si>
  <si>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</si>
  <si>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</si>
  <si>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</si>
  <si>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</si>
  <si>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</si>
  <si>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</si>
  <si>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</si>
  <si>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</si>
  <si>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</si>
  <si>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</si>
  <si>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</si>
  <si>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</si>
  <si>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</si>
  <si>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</si>
  <si>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</si>
  <si>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</si>
  <si>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</si>
  <si>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</si>
  <si>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</si>
  <si>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</si>
  <si>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</si>
  <si>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</si>
  <si>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</si>
  <si>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</si>
  <si>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</si>
  <si>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</si>
  <si>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</si>
  <si>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</si>
  <si>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</si>
  <si>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</si>
  <si>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</si>
  <si>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</si>
  <si>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</si>
  <si>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</si>
  <si>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</si>
  <si>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</si>
  <si>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</si>
  <si>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</si>
  <si>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</si>
  <si>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</si>
  <si>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</si>
  <si>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</si>
  <si>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</si>
  <si>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</si>
  <si>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</si>
  <si>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</si>
  <si>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</si>
  <si>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</si>
  <si>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</si>
  <si>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</si>
  <si>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</si>
  <si>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</si>
  <si>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</si>
  <si>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</si>
  <si>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</si>
  <si>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</si>
  <si>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</si>
  <si>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</si>
  <si>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</si>
  <si>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</si>
  <si>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</si>
  <si>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</si>
  <si>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</si>
  <si>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</si>
  <si>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BMX-A-46 от </t>
  </si>
  <si>
    <t xml:space="preserve"> 24.08.2025г.</t>
  </si>
  <si>
    <t>30937WBA/300747BA</t>
  </si>
  <si>
    <t xml:space="preserve">СПЕЦИФИКАЦИЯ № BMX-A-46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</si>
</sst>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166</v>
      </c>
      <c r="D1" s="133"/>
      <c r="E1" s="133"/>
      <c r="F1" s="132" t="s">
        <v>167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165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150</v>
      </c>
      <c r="B6" s="141"/>
      <c r="C6" s="141"/>
      <c r="D6" s="141"/>
      <c r="E6" s="141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150</v>
      </c>
      <c r="B15" s="141"/>
      <c r="C15" s="141"/>
      <c r="D15" s="141"/>
      <c r="E15" s="141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119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164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168</v>
      </c>
      <c r="F26" s="154"/>
      <c r="G26" s="154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975</v>
      </c>
      <c r="F30" s="110" t="s">
        <v>27</v>
      </c>
      <c r="G30" s="106">
        <v>23000</v>
      </c>
      <c r="H30" s="106">
        <v>21245</v>
      </c>
      <c r="I30" s="108">
        <v>0.2</v>
      </c>
      <c r="J30" s="13">
        <f t="shared" ref="J30" si="0">H30*I30</f>
        <v>4249</v>
      </c>
      <c r="K30" s="12">
        <v>0</v>
      </c>
      <c r="L30" s="12">
        <v>0</v>
      </c>
      <c r="M30" s="13">
        <f t="shared" ref="M30" si="1">J30</f>
        <v>4249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975</v>
      </c>
      <c r="F31" s="15"/>
      <c r="G31" s="64">
        <f>SUM(G30:G30)</f>
        <v>23000</v>
      </c>
      <c r="H31" s="64">
        <f>SUM(H30:H30)</f>
        <v>21245</v>
      </c>
      <c r="I31" s="102"/>
      <c r="J31" s="17">
        <f>SUM(J30:J30)</f>
        <v>4249</v>
      </c>
      <c r="K31" s="16"/>
      <c r="L31" s="16"/>
      <c r="M31" s="17">
        <f>SUM(M30:M30)</f>
        <v>4249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девять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110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BMX-A-46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30937WBA/300747BA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3" sqref="J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30937WBA/300747BA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BMX-A-46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975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975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169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30937WBA/300747BA</v>
      </c>
      <c r="F26" s="154"/>
      <c r="G26" s="154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975</v>
      </c>
      <c r="F30" s="116" t="str">
        <f>+Инвойс!F30</f>
        <v>кг</v>
      </c>
      <c r="G30" s="106">
        <f>+Инвойс!G30</f>
        <v>23000</v>
      </c>
      <c r="H30" s="106">
        <f>+Инвойс!H30</f>
        <v>21245</v>
      </c>
      <c r="I30" s="108">
        <f>+Инвойс!I30</f>
        <v>0.2</v>
      </c>
      <c r="J30" s="13">
        <f>+Инвойс!J30</f>
        <v>4249</v>
      </c>
      <c r="K30" s="12">
        <v>0</v>
      </c>
      <c r="L30" s="12">
        <v>0</v>
      </c>
      <c r="M30" s="13">
        <f>+Инвойс!M30</f>
        <v>4249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975</v>
      </c>
      <c r="F31" s="15"/>
      <c r="G31" s="64">
        <f>SUM(G30:G30)</f>
        <v>23000</v>
      </c>
      <c r="H31" s="64">
        <f>SUM(H30:H30)</f>
        <v>21245</v>
      </c>
      <c r="I31" s="102"/>
      <c r="J31" s="17">
        <f>SUM(J30:J30)</f>
        <v>4249</v>
      </c>
      <c r="K31" s="16"/>
      <c r="L31" s="16"/>
      <c r="M31" s="17">
        <f>SUM(M30:M30)</f>
        <v>4249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девять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1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6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6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девять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девять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девять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2025-08-24T07:54:32Z</cp:lastPrinted>
  <dcterms:created xsi:type="dcterms:W3CDTF">1996-10-14T23:33:28Z</dcterms:created>
  <dcterms:modified xsi:type="dcterms:W3CDTF">2025-08-24T07:54:55Z</dcterms:modified>
</cp:coreProperties>
</file>