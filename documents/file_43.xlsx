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92F4CBA-2752-4B1C-8376-F1C95D7A16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<sst xmlns="http://schemas.openxmlformats.org/spreadsheetml/2006/main" count="209" uniqueCount="163">
  <si>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</si>
  <si>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</si>
  <si>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</si>
  <si>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</si>
  <si>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</si>
  <si>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</si>
  <si>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</si>
  <si>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</si>
  <si>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</si>
  <si>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</si>
  <si>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</si>
  <si>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</si>
  <si>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</si>
  <si>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</si>
  <si>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</si>
  <si>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</si>
  <si>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</si>
  <si>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</si>
  <si>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</si>
  <si>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</si>
  <si>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</si>
  <si>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</si>
  <si>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</si>
  <si>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</si>
  <si>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</si>
  <si>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</si>
  <si>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</si>
  <si>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</si>
  <si>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</si>
  <si>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</si>
  <si>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</si>
  <si>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</si>
  <si>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</si>
  <si>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</si>
  <si>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</si>
  <si>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</si>
  <si>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</si>
  <si>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</si>
  <si>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</si>
  <si>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</si>
  <si>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</si>
  <si>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</si>
  <si>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</si>
  <si>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</si>
  <si>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</si>
  <si>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</si>
  <si>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</si>
  <si>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</si>
  <si>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</si>
  <si>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</si>
  <si>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</si>
  <si>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</si>
  <si>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</si>
  <si>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</si>
  <si>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</si>
  <si>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</si>
  <si>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</si>
  <si>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</si>
  <si>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</si>
  <si>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</si>
  <si>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</si>
  <si>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</si>
  <si>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</si>
  <si>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</si>
  <si>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</si>
  <si>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</si>
  <si>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</si>
  <si>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</si>
  <si>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</si>
  <si>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</si>
  <si>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</si>
  <si>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</si>
  <si>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</si>
  <si>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</si>
  <si>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</si>
  <si>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</si>
  <si>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</si>
  <si>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</si>
  <si>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</si>
  <si>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</si>
  <si>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</si>
  <si>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</si>
  <si>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</si>
  <si>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</si>
  <si>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</si>
  <si>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</si>
  <si>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</si>
  <si>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</si>
  <si>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</si>
  <si>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</si>
  <si>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</si>
  <si>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</si>
  <si>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</si>
  <si>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</si>
  <si>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</si>
  <si>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</si>
  <si>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</si>
  <si>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</si>
  <si>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</si>
  <si>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</si>
  <si>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</si>
  <si>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</si>
  <si>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</si>
  <si>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</si>
  <si>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</si>
  <si>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</si>
  <si>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</si>
  <si>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</si>
  <si>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</si>
  <si>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</si>
  <si>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</si>
  <si>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</si>
  <si>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</si>
  <si>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</si>
  <si>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</si>
  <si>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</si>
  <si>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</si>
  <si>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</si>
  <si>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</si>
  <si>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</si>
  <si>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</si>
  <si>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</si>
  <si>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</si>
  <si>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</si>
  <si>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</si>
  <si>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</si>
  <si>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</si>
  <si>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</si>
  <si>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</si>
  <si>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</si>
  <si>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</si>
  <si>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</si>
  <si>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</si>
  <si>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</si>
  <si>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</si>
  <si>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</si>
  <si>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</si>
  <si>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</si>
  <si>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</si>
  <si>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</si>
  <si>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«VISTOTRADE»</t>
  </si>
  <si>
    <t xml:space="preserve">Республика Узбекистан. Кашкадарьинская область, </t>
  </si>
  <si>
    <t>в АКБ «KAPITAL BANK» МФО: 01158</t>
  </si>
  <si>
    <t>р/с: 20208840407263267001 (доллар США)</t>
  </si>
  <si>
    <t>SWIFT: KACHUZ22</t>
  </si>
  <si>
    <t>ИНН: 312236782</t>
  </si>
  <si>
    <t>Авазов К.Ф</t>
  </si>
  <si>
    <t>Директор:  ООО «VISTOTRADE»</t>
  </si>
  <si>
    <t>Г. Гулам, МФУ, улица Гузара, дом 14</t>
  </si>
  <si>
    <t xml:space="preserve"> 25.08.2025г.</t>
  </si>
  <si>
    <t>к контракту № GR-VT-01 от 22.08.2025 года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</si>
  <si>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</si>
  <si>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</si>
  <si>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</si>
  <si>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</si>
  <si>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</si>
  <si>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</si>
  <si>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</si>
  <si>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</si>
  <si>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</si>
  <si>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VG-N-8 от </t>
  </si>
  <si>
    <t>01N084TB/013555BA</t>
  </si>
  <si>
    <t xml:space="preserve">СПЕЦИФИКАЦИЯ № VG-N-8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</si>
</sst>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89649</xdr:colOff>
      <xdr:row>36</xdr:row>
      <xdr:rowOff>89647</xdr:rowOff>
    </xdr:from>
    <xdr:to>
      <xdr:col>4</xdr:col>
      <xdr:colOff>166394</xdr:colOff>
      <xdr:row>39</xdr:row>
      <xdr:rowOff>179294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72503EC-7FB5-41AD-F313-3C4E70CCB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0914" y="20428323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739588</xdr:colOff>
      <xdr:row>36</xdr:row>
      <xdr:rowOff>100852</xdr:rowOff>
    </xdr:from>
    <xdr:to>
      <xdr:col>3</xdr:col>
      <xdr:colOff>47624</xdr:colOff>
      <xdr:row>48</xdr:row>
      <xdr:rowOff>147917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33AF74A-0D5C-A2D4-104B-AEBBDF133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176" y="20439528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504267</xdr:colOff>
      <xdr:row>36</xdr:row>
      <xdr:rowOff>145677</xdr:rowOff>
    </xdr:from>
    <xdr:to>
      <xdr:col>3</xdr:col>
      <xdr:colOff>569805</xdr:colOff>
      <xdr:row>40</xdr:row>
      <xdr:rowOff>44824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D272AFB-9F9E-491E-95FD-0A1ADD669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5943" y="19363765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414617</xdr:colOff>
      <xdr:row>36</xdr:row>
      <xdr:rowOff>156882</xdr:rowOff>
    </xdr:from>
    <xdr:to>
      <xdr:col>2</xdr:col>
      <xdr:colOff>462242</xdr:colOff>
      <xdr:row>49</xdr:row>
      <xdr:rowOff>47065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11BB9AD-03DF-4FBE-852B-33837A4DD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205" y="19374970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448235</xdr:colOff>
      <xdr:row>36</xdr:row>
      <xdr:rowOff>145676</xdr:rowOff>
    </xdr:from>
    <xdr:to>
      <xdr:col>9</xdr:col>
      <xdr:colOff>634813</xdr:colOff>
      <xdr:row>48</xdr:row>
      <xdr:rowOff>72929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F2FC92E-0823-4DFC-9CDB-86FF17136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2794" y="19173264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4" t="s">
        <v>160</v>
      </c>
      <c r="D1" s="134"/>
      <c r="E1" s="134"/>
      <c r="F1" s="133" t="s">
        <v>149</v>
      </c>
      <c r="G1" s="133"/>
      <c r="H1" s="13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0" t="s">
        <v>150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">
      <c r="A5" s="135" t="s">
        <v>140</v>
      </c>
      <c r="B5" s="135"/>
      <c r="C5" s="135"/>
      <c r="D5" s="135"/>
      <c r="E5" s="135"/>
      <c r="F5" s="6"/>
      <c r="G5" s="137" t="s">
        <v>151</v>
      </c>
      <c r="H5" s="137"/>
      <c r="I5" s="137"/>
      <c r="J5" s="137"/>
      <c r="K5" s="137"/>
      <c r="L5" s="137"/>
      <c r="M5" s="137"/>
    </row>
    <row r="6" spans="1:15" ht="15" x14ac:dyDescent="0.25">
      <c r="A6" s="141" t="s">
        <v>141</v>
      </c>
      <c r="B6" s="142"/>
      <c r="C6" s="142"/>
      <c r="D6" s="142"/>
      <c r="E6" s="142"/>
      <c r="F6" s="7"/>
      <c r="G6" s="139" t="s">
        <v>152</v>
      </c>
      <c r="H6" s="139"/>
      <c r="I6" s="139"/>
      <c r="J6" s="139"/>
      <c r="K6" s="139"/>
      <c r="L6" s="139"/>
      <c r="M6" s="139"/>
      <c r="N6" s="4"/>
    </row>
    <row r="7" spans="1:15" ht="15" x14ac:dyDescent="0.25">
      <c r="A7" s="142" t="s">
        <v>148</v>
      </c>
      <c r="B7" s="142"/>
      <c r="C7" s="142"/>
      <c r="D7" s="142"/>
      <c r="E7" s="142"/>
      <c r="F7" s="63"/>
      <c r="G7" s="139" t="s">
        <v>153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142</v>
      </c>
      <c r="B8" s="8"/>
      <c r="C8" s="8"/>
      <c r="D8" s="8"/>
      <c r="E8" s="8"/>
      <c r="F8" s="63"/>
      <c r="G8" s="7" t="s">
        <v>154</v>
      </c>
      <c r="H8" s="23"/>
      <c r="I8" s="23"/>
      <c r="J8" s="23"/>
      <c r="K8" s="23"/>
      <c r="L8" s="23"/>
      <c r="M8" s="23"/>
    </row>
    <row r="9" spans="1:15" ht="15" x14ac:dyDescent="0.25">
      <c r="A9" s="8" t="s">
        <v>143</v>
      </c>
      <c r="B9" s="8"/>
      <c r="C9" s="8"/>
      <c r="D9" s="8"/>
      <c r="E9" s="8"/>
      <c r="F9" s="7"/>
      <c r="G9" s="7" t="s">
        <v>155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144</v>
      </c>
      <c r="B10" s="124"/>
      <c r="C10" s="124"/>
      <c r="D10" s="124"/>
      <c r="E10" s="124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145</v>
      </c>
      <c r="B11" s="8"/>
      <c r="C11" s="8"/>
      <c r="D11" s="8"/>
      <c r="E11" s="8"/>
      <c r="F11" s="7"/>
      <c r="G11" s="7" t="s">
        <v>156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8" t="s">
        <v>157</v>
      </c>
      <c r="H12" s="138"/>
      <c r="I12" s="138"/>
      <c r="J12" s="138"/>
      <c r="K12" s="138"/>
      <c r="L12" s="138"/>
      <c r="M12" s="138"/>
    </row>
    <row r="13" spans="1:15" ht="24" customHeight="1" x14ac:dyDescent="0.2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5" t="s">
        <v>140</v>
      </c>
      <c r="B14" s="135"/>
      <c r="C14" s="135"/>
      <c r="D14" s="135"/>
      <c r="E14" s="135"/>
      <c r="F14" s="6"/>
      <c r="G14" s="137" t="s">
        <v>151</v>
      </c>
      <c r="H14" s="137"/>
      <c r="I14" s="137"/>
      <c r="J14" s="137"/>
      <c r="K14" s="137"/>
      <c r="L14" s="137"/>
      <c r="M14" s="137"/>
    </row>
    <row r="15" spans="1:15" ht="13.9" customHeight="1" x14ac:dyDescent="0.25">
      <c r="A15" s="141" t="s">
        <v>141</v>
      </c>
      <c r="B15" s="142"/>
      <c r="C15" s="142"/>
      <c r="D15" s="142"/>
      <c r="E15" s="142"/>
      <c r="F15" s="7"/>
      <c r="G15" s="139" t="s">
        <v>152</v>
      </c>
      <c r="H15" s="139"/>
      <c r="I15" s="139"/>
      <c r="J15" s="139"/>
      <c r="K15" s="139"/>
      <c r="L15" s="139"/>
      <c r="M15" s="139"/>
    </row>
    <row r="16" spans="1:15" ht="15" x14ac:dyDescent="0.25">
      <c r="A16" s="142" t="s">
        <v>148</v>
      </c>
      <c r="B16" s="142"/>
      <c r="C16" s="142"/>
      <c r="D16" s="142"/>
      <c r="E16" s="142"/>
      <c r="F16" s="63"/>
      <c r="G16" s="139" t="s">
        <v>153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142</v>
      </c>
      <c r="B17" s="8"/>
      <c r="C17" s="8"/>
      <c r="D17" s="8"/>
      <c r="E17" s="8"/>
      <c r="F17" s="63"/>
      <c r="G17" s="7" t="s">
        <v>154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143</v>
      </c>
      <c r="B18" s="8"/>
      <c r="C18" s="8"/>
      <c r="D18" s="8"/>
      <c r="E18" s="8"/>
      <c r="F18" s="7"/>
      <c r="G18" s="7" t="s">
        <v>155</v>
      </c>
      <c r="H18" s="23"/>
      <c r="I18" s="23"/>
      <c r="J18" s="23"/>
      <c r="K18" s="23"/>
      <c r="L18" s="23"/>
      <c r="M18" s="23"/>
    </row>
    <row r="19" spans="1:17" ht="15" x14ac:dyDescent="0.25">
      <c r="A19" s="124" t="s">
        <v>144</v>
      </c>
      <c r="B19" s="124"/>
      <c r="C19" s="124"/>
      <c r="D19" s="124"/>
      <c r="E19" s="124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145</v>
      </c>
      <c r="B20" s="8"/>
      <c r="C20" s="8"/>
      <c r="D20" s="8"/>
      <c r="E20" s="8"/>
      <c r="F20" s="7"/>
      <c r="G20" s="7" t="s">
        <v>156</v>
      </c>
      <c r="H20" s="23"/>
      <c r="I20" s="23"/>
      <c r="J20" s="23"/>
      <c r="K20" s="23"/>
      <c r="L20" s="23"/>
      <c r="M20" s="23"/>
    </row>
    <row r="21" spans="1:17" ht="15" x14ac:dyDescent="0.25">
      <c r="A21" s="99"/>
      <c r="B21" s="8"/>
      <c r="C21" s="8"/>
      <c r="D21" s="8"/>
      <c r="E21" s="8"/>
      <c r="G21" s="138" t="s">
        <v>157</v>
      </c>
      <c r="H21" s="138"/>
      <c r="I21" s="138"/>
      <c r="J21" s="138"/>
      <c r="K21" s="138"/>
      <c r="L21" s="138"/>
      <c r="M21" s="138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53" t="s">
        <v>128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75" x14ac:dyDescent="0.25">
      <c r="A24" s="20" t="s">
        <v>22</v>
      </c>
      <c r="C24" s="18" t="s">
        <v>138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">
        <v>161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30" x14ac:dyDescent="0.2">
      <c r="A30" s="126">
        <v>1</v>
      </c>
      <c r="B30" s="101" t="s">
        <v>126</v>
      </c>
      <c r="C30" s="107" t="s">
        <v>127</v>
      </c>
      <c r="D30" s="109" t="s">
        <v>112</v>
      </c>
      <c r="E30" s="101">
        <v>950</v>
      </c>
      <c r="F30" s="115" t="s">
        <v>27</v>
      </c>
      <c r="G30" s="106">
        <v>23000</v>
      </c>
      <c r="H30" s="106">
        <v>21290</v>
      </c>
      <c r="I30" s="108">
        <v>0.25</v>
      </c>
      <c r="J30" s="13">
        <f t="shared" ref="J30" si="0">H30*I30</f>
        <v>5322.5</v>
      </c>
      <c r="K30" s="12">
        <v>0</v>
      </c>
      <c r="L30" s="12">
        <v>0</v>
      </c>
      <c r="M30" s="13">
        <f t="shared" ref="M30" si="1">J30</f>
        <v>5322.5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950</v>
      </c>
      <c r="F31" s="15"/>
      <c r="G31" s="64">
        <f>SUM(G30:G30)</f>
        <v>23000</v>
      </c>
      <c r="H31" s="64">
        <f>SUM(H30:H30)</f>
        <v>21290</v>
      </c>
      <c r="I31" s="102"/>
      <c r="J31" s="17">
        <f>SUM(J30:J30)</f>
        <v>5322.5</v>
      </c>
      <c r="K31" s="16"/>
      <c r="L31" s="16"/>
      <c r="M31" s="17">
        <f>SUM(M30:M30)</f>
        <v>5322.5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Пять тысяч триста двадцать два доллара США,50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5" x14ac:dyDescent="0.25">
      <c r="A36" s="7" t="s">
        <v>28</v>
      </c>
      <c r="B36" s="7"/>
      <c r="D36" s="25" t="s">
        <v>146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«VISTOTRADE»</v>
      </c>
    </row>
    <row r="3" spans="1:11" ht="11.25" customHeight="1" x14ac:dyDescent="0.2">
      <c r="B3" s="70" t="str">
        <f>+Инвойс!A6</f>
        <v xml:space="preserve">Республика Узбекистан. Кашкадарьинская область, </v>
      </c>
    </row>
    <row r="4" spans="1:11" ht="11.25" customHeight="1" x14ac:dyDescent="0.2">
      <c r="B4" s="70" t="str">
        <f>+Инвойс!A7</f>
        <v>Г. Гулам, МФУ, улица Гузара, дом 14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25.08.2025г.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VG-N-8 от  25.08.2025г.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25.08.2025г.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01N084TB/013555BA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F20" sqref="F20:J38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2" t="s">
        <v>96</v>
      </c>
      <c r="C2" s="162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3" t="str">
        <f>+Инвойс!E26</f>
        <v>01N084TB/013555BA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25.08.2025г.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VG-N-8 от  25.08.2025г.</v>
      </c>
      <c r="I15" s="165"/>
      <c r="J15" s="165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950</v>
      </c>
      <c r="G18" s="166" t="str">
        <f>+CMR!F30</f>
        <v>Дыни свежие</v>
      </c>
      <c r="H18" s="166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23000</v>
      </c>
    </row>
    <row r="20" spans="2:10" ht="13.5" customHeight="1" x14ac:dyDescent="0.25">
      <c r="B20" s="83"/>
      <c r="E20" s="122"/>
      <c r="F20" s="117"/>
      <c r="G20" s="166"/>
      <c r="H20" s="166"/>
      <c r="I20" s="118"/>
      <c r="J20" s="119"/>
    </row>
    <row r="21" spans="2:10" ht="13.5" customHeight="1" x14ac:dyDescent="0.25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25">
      <c r="B22" s="83"/>
      <c r="E22" s="122"/>
      <c r="F22" s="117"/>
      <c r="G22" s="166"/>
      <c r="H22" s="166"/>
      <c r="I22" s="118"/>
      <c r="J22" s="119"/>
    </row>
    <row r="23" spans="2:10" ht="14.25" customHeight="1" x14ac:dyDescent="0.25">
      <c r="B23" s="83"/>
      <c r="E23" s="122"/>
      <c r="F23" s="120"/>
      <c r="G23" s="160"/>
      <c r="H23" s="161"/>
      <c r="I23" s="121"/>
      <c r="J23" s="119"/>
    </row>
    <row r="24" spans="2:10" ht="12.75" customHeight="1" x14ac:dyDescent="0.25">
      <c r="B24" s="87"/>
      <c r="E24" s="122"/>
      <c r="F24" s="117"/>
      <c r="G24" s="166"/>
      <c r="H24" s="166"/>
      <c r="I24" s="118"/>
      <c r="J24" s="119"/>
    </row>
    <row r="25" spans="2:10" ht="12.75" customHeight="1" x14ac:dyDescent="0.25">
      <c r="B25" s="87"/>
      <c r="E25" s="122"/>
      <c r="F25" s="120"/>
      <c r="G25" s="160"/>
      <c r="H25" s="161"/>
      <c r="I25" s="121"/>
      <c r="J25" s="119"/>
    </row>
    <row r="26" spans="2:10" ht="12" customHeight="1" x14ac:dyDescent="0.25">
      <c r="B26" s="87"/>
      <c r="E26" s="122"/>
      <c r="F26" s="117"/>
      <c r="G26" s="166"/>
      <c r="H26" s="166"/>
      <c r="I26" s="118"/>
      <c r="J26" s="119"/>
    </row>
    <row r="27" spans="2:10" ht="14.25" customHeight="1" x14ac:dyDescent="0.25">
      <c r="B27" s="87"/>
      <c r="E27" s="122"/>
      <c r="F27" s="120"/>
      <c r="G27" s="160"/>
      <c r="H27" s="161"/>
      <c r="I27" s="121"/>
      <c r="J27" s="119"/>
    </row>
    <row r="28" spans="2:10" ht="12.75" customHeight="1" x14ac:dyDescent="0.25">
      <c r="B28" s="87"/>
      <c r="E28" s="122"/>
      <c r="F28" s="117"/>
      <c r="G28" s="166"/>
      <c r="H28" s="166"/>
      <c r="I28" s="118"/>
      <c r="J28" s="119"/>
    </row>
    <row r="29" spans="2:10" ht="12.75" customHeight="1" x14ac:dyDescent="0.25">
      <c r="B29" s="87"/>
      <c r="E29" s="122"/>
      <c r="F29" s="120"/>
      <c r="G29" s="160"/>
      <c r="H29" s="161"/>
      <c r="I29" s="121"/>
      <c r="J29" s="119"/>
    </row>
    <row r="30" spans="2:10" ht="12.75" customHeight="1" x14ac:dyDescent="0.25">
      <c r="B30" s="87"/>
      <c r="E30" s="122"/>
      <c r="F30" s="117"/>
      <c r="G30" s="166"/>
      <c r="H30" s="166"/>
      <c r="I30" s="118"/>
      <c r="J30" s="119"/>
    </row>
    <row r="31" spans="2:10" ht="13.5" customHeight="1" x14ac:dyDescent="0.25">
      <c r="B31" s="87"/>
      <c r="E31" s="122"/>
      <c r="F31" s="120"/>
      <c r="G31" s="160"/>
      <c r="H31" s="161"/>
      <c r="I31" s="121"/>
      <c r="J31" s="119"/>
    </row>
    <row r="32" spans="2:10" ht="13.5" customHeight="1" x14ac:dyDescent="0.25">
      <c r="B32" s="87"/>
      <c r="E32" s="122"/>
      <c r="F32" s="117"/>
      <c r="G32" s="166"/>
      <c r="H32" s="166"/>
      <c r="I32" s="118"/>
      <c r="J32" s="119"/>
    </row>
    <row r="33" spans="2:10" ht="13.5" customHeight="1" x14ac:dyDescent="0.25">
      <c r="B33" s="87"/>
      <c r="E33" s="122"/>
      <c r="F33" s="120"/>
      <c r="G33" s="160"/>
      <c r="H33" s="161"/>
      <c r="I33" s="121"/>
      <c r="J33" s="119"/>
    </row>
    <row r="34" spans="2:10" ht="13.5" customHeight="1" x14ac:dyDescent="0.25">
      <c r="B34" s="87"/>
      <c r="E34" s="122"/>
      <c r="F34" s="117"/>
      <c r="G34" s="166"/>
      <c r="H34" s="166"/>
      <c r="I34" s="118"/>
      <c r="J34" s="119"/>
    </row>
    <row r="35" spans="2:10" ht="12.75" customHeight="1" x14ac:dyDescent="0.25">
      <c r="B35" s="87"/>
      <c r="E35" s="122"/>
      <c r="F35" s="120"/>
      <c r="G35" s="160"/>
      <c r="H35" s="161"/>
      <c r="I35" s="121"/>
      <c r="J35" s="119"/>
    </row>
    <row r="36" spans="2:10" x14ac:dyDescent="0.25">
      <c r="B36" s="87"/>
      <c r="E36" s="122"/>
      <c r="F36" s="117"/>
      <c r="G36" s="166"/>
      <c r="H36" s="166"/>
      <c r="I36" s="118"/>
      <c r="J36" s="119"/>
    </row>
    <row r="37" spans="2:10" ht="13.5" customHeight="1" x14ac:dyDescent="0.25">
      <c r="B37" s="87"/>
      <c r="E37" s="122"/>
      <c r="F37" s="120"/>
      <c r="G37" s="160"/>
      <c r="H37" s="161"/>
      <c r="I37" s="121"/>
      <c r="J37" s="119"/>
    </row>
    <row r="38" spans="2:10" x14ac:dyDescent="0.25">
      <c r="B38" s="87"/>
      <c r="E38" s="122"/>
      <c r="F38" s="117"/>
      <c r="G38" s="166"/>
      <c r="H38" s="166"/>
      <c r="I38" s="118"/>
      <c r="J38" s="119"/>
    </row>
    <row r="39" spans="2:10" ht="13.5" customHeight="1" x14ac:dyDescent="0.25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25">
      <c r="B40" s="87"/>
      <c r="E40" s="122"/>
      <c r="F40" s="117"/>
      <c r="G40" s="166"/>
      <c r="H40" s="166"/>
      <c r="I40" s="118"/>
      <c r="J40" s="119"/>
    </row>
    <row r="41" spans="2:10" ht="14.25" hidden="1" customHeight="1" x14ac:dyDescent="0.25">
      <c r="B41" s="87"/>
      <c r="E41" s="122"/>
      <c r="F41" s="120"/>
      <c r="G41" s="160"/>
      <c r="H41" s="161"/>
      <c r="I41" s="121"/>
      <c r="J41" s="119"/>
    </row>
    <row r="42" spans="2:10" hidden="1" x14ac:dyDescent="0.25">
      <c r="B42" s="87"/>
      <c r="E42" s="122"/>
      <c r="F42" s="117"/>
      <c r="G42" s="166"/>
      <c r="H42" s="166"/>
      <c r="I42" s="118"/>
      <c r="J42" s="119"/>
    </row>
    <row r="43" spans="2:10" x14ac:dyDescent="0.25">
      <c r="B43" s="87"/>
      <c r="E43" s="122"/>
      <c r="F43" s="120"/>
      <c r="G43" s="160"/>
      <c r="H43" s="161"/>
      <c r="I43" s="121"/>
      <c r="J43" s="119"/>
    </row>
    <row r="44" spans="2:10" ht="9" customHeight="1" x14ac:dyDescent="0.25">
      <c r="B44" s="87"/>
      <c r="E44" s="95"/>
      <c r="F44" s="92"/>
      <c r="G44" s="168"/>
      <c r="H44" s="168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9">
        <f>+F18+F20+F22+F24+F26+F28+F30+F32+F34+F36+F38+F40+F42</f>
        <v>950</v>
      </c>
      <c r="E47" s="170"/>
    </row>
    <row r="48" spans="2:10" ht="17.25" customHeight="1" x14ac:dyDescent="0.25">
      <c r="B48" s="167" t="s">
        <v>105</v>
      </c>
      <c r="C48" s="167"/>
      <c r="D48" s="167"/>
      <c r="E48" s="167"/>
    </row>
    <row r="49" spans="2:5" ht="21.75" customHeight="1" x14ac:dyDescent="0.25">
      <c r="B49" s="167"/>
      <c r="C49" s="167"/>
      <c r="D49" s="167"/>
      <c r="E49" s="167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3" t="s">
        <v>162</v>
      </c>
      <c r="C1" s="173"/>
      <c r="D1" s="173"/>
      <c r="E1" s="173"/>
      <c r="F1" s="133" t="str">
        <f>+Инвойс!F1</f>
        <v xml:space="preserve"> 25.08.2025г.</v>
      </c>
      <c r="G1" s="133"/>
      <c r="H1" s="13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0" t="str">
        <f>+Инвойс!C2</f>
        <v>к контракту № GR-VT-01 от 22.08.2025 года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">
      <c r="A5" s="135" t="str">
        <f>+Инвойс!A5</f>
        <v>ООО «VISTOTRADE»</v>
      </c>
      <c r="B5" s="135"/>
      <c r="C5" s="135"/>
      <c r="D5" s="135"/>
      <c r="E5" s="135"/>
      <c r="F5" s="6"/>
      <c r="G5" s="137" t="str">
        <f>+Инвойс!G5</f>
        <v>ООО «ГРИН ВОРЛД»</v>
      </c>
      <c r="H5" s="137"/>
      <c r="I5" s="137"/>
      <c r="J5" s="137"/>
      <c r="K5" s="137"/>
      <c r="L5" s="137"/>
      <c r="M5" s="137"/>
    </row>
    <row r="6" spans="1:15" ht="15" x14ac:dyDescent="0.25">
      <c r="A6" s="141" t="str">
        <f>+Инвойс!A6</f>
        <v xml:space="preserve">Республика Узбекистан. Кашкадарьинская область, </v>
      </c>
      <c r="B6" s="141"/>
      <c r="C6" s="141"/>
      <c r="D6" s="141"/>
      <c r="E6" s="141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5" x14ac:dyDescent="0.25">
      <c r="A7" s="141" t="str">
        <f>+Инвойс!A7</f>
        <v>Г. Гулам, МФУ, улица Гузара, дом 14</v>
      </c>
      <c r="B7" s="141"/>
      <c r="C7" s="141"/>
      <c r="D7" s="141"/>
      <c r="E7" s="141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41" t="str">
        <f>+Инвойс!A8</f>
        <v>в АКБ «KAPITAL BANK» МФО: 01158</v>
      </c>
      <c r="B8" s="141"/>
      <c r="C8" s="141"/>
      <c r="D8" s="141"/>
      <c r="E8" s="141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5" x14ac:dyDescent="0.25">
      <c r="A9" s="141" t="str">
        <f>+Инвойс!A9</f>
        <v>р/с: 20208840407263267001 (доллар США)</v>
      </c>
      <c r="B9" s="141"/>
      <c r="C9" s="141"/>
      <c r="D9" s="141"/>
      <c r="E9" s="141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5" x14ac:dyDescent="0.25">
      <c r="A10" s="141" t="str">
        <f>+Инвойс!A10</f>
        <v>SWIFT: KACHUZ22</v>
      </c>
      <c r="B10" s="141"/>
      <c r="C10" s="141"/>
      <c r="D10" s="141"/>
      <c r="E10" s="141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5" x14ac:dyDescent="0.25">
      <c r="A11" s="141" t="str">
        <f>+Инвойс!A11</f>
        <v>ИНН: 312236782</v>
      </c>
      <c r="B11" s="141"/>
      <c r="C11" s="141"/>
      <c r="D11" s="141"/>
      <c r="E11" s="141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8"/>
      <c r="B12" s="138"/>
      <c r="C12" s="138"/>
      <c r="D12" s="138"/>
      <c r="E12" s="138"/>
      <c r="F12" s="7"/>
      <c r="G12" s="138"/>
      <c r="H12" s="138"/>
      <c r="I12" s="138"/>
      <c r="J12" s="138"/>
      <c r="K12" s="138"/>
      <c r="L12" s="138"/>
      <c r="M12" s="138"/>
    </row>
    <row r="13" spans="1:15" ht="24" customHeight="1" x14ac:dyDescent="0.2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5" t="str">
        <f>+Инвойс!A14</f>
        <v>ООО «VISTOTRADE»</v>
      </c>
      <c r="B14" s="135"/>
      <c r="C14" s="135"/>
      <c r="D14" s="135"/>
      <c r="E14" s="135"/>
      <c r="F14" s="6"/>
      <c r="G14" s="137" t="str">
        <f>+Инвойс!G14</f>
        <v>ООО «ГРИН ВОРЛД»</v>
      </c>
      <c r="H14" s="137"/>
      <c r="I14" s="137"/>
      <c r="J14" s="137"/>
      <c r="K14" s="137"/>
      <c r="L14" s="137"/>
      <c r="M14" s="137"/>
    </row>
    <row r="15" spans="1:15" ht="13.9" customHeight="1" x14ac:dyDescent="0.25">
      <c r="A15" s="141" t="str">
        <f>+Инвойс!A15</f>
        <v xml:space="preserve">Республика Узбекистан. Кашкадарьинская область, </v>
      </c>
      <c r="B15" s="141"/>
      <c r="C15" s="141"/>
      <c r="D15" s="141"/>
      <c r="E15" s="141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5" x14ac:dyDescent="0.25">
      <c r="A16" s="141" t="str">
        <f>+Инвойс!A16</f>
        <v>Г. Гулам, МФУ, улица Гузара, дом 14</v>
      </c>
      <c r="B16" s="141"/>
      <c r="C16" s="141"/>
      <c r="D16" s="141"/>
      <c r="E16" s="141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41" t="str">
        <f>+Инвойс!A17</f>
        <v>в АКБ «KAPITAL BANK» МФО: 01158</v>
      </c>
      <c r="B17" s="141"/>
      <c r="C17" s="141"/>
      <c r="D17" s="141"/>
      <c r="E17" s="141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5" x14ac:dyDescent="0.25">
      <c r="A18" s="141" t="str">
        <f>+Инвойс!A18</f>
        <v>р/с: 20208840407263267001 (доллар США)</v>
      </c>
      <c r="B18" s="141"/>
      <c r="C18" s="141"/>
      <c r="D18" s="141"/>
      <c r="E18" s="141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5" x14ac:dyDescent="0.25">
      <c r="A19" s="141" t="str">
        <f>+Инвойс!A19</f>
        <v>SWIFT: KACHUZ22</v>
      </c>
      <c r="B19" s="141"/>
      <c r="C19" s="141"/>
      <c r="D19" s="141"/>
      <c r="E19" s="141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5" x14ac:dyDescent="0.25">
      <c r="A20" s="141" t="str">
        <f>+Инвойс!A20</f>
        <v>ИНН: 312236782</v>
      </c>
      <c r="B20" s="141"/>
      <c r="C20" s="141"/>
      <c r="D20" s="141"/>
      <c r="E20" s="141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5" x14ac:dyDescent="0.25">
      <c r="A21" s="141"/>
      <c r="B21" s="141"/>
      <c r="C21" s="141"/>
      <c r="D21" s="141"/>
      <c r="E21" s="141"/>
      <c r="G21" s="7"/>
      <c r="H21" s="23"/>
      <c r="I21" s="23"/>
      <c r="J21" s="23"/>
    </row>
    <row r="22" spans="1:17" ht="43.5" customHeight="1" x14ac:dyDescent="0.25">
      <c r="A22" s="1" t="s">
        <v>124</v>
      </c>
      <c r="C22" s="65"/>
      <c r="F22" s="1"/>
    </row>
    <row r="23" spans="1:17" ht="26.25" hidden="1" customHeight="1" x14ac:dyDescent="0.2">
      <c r="A23" s="69" t="s">
        <v>87</v>
      </c>
      <c r="B23" s="68"/>
      <c r="C23" s="172" t="s">
        <v>115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tr">
        <f>+Инвойс!E26</f>
        <v>01N084TB/013555BA</v>
      </c>
      <c r="F26" s="155"/>
      <c r="G26" s="155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25.5" x14ac:dyDescent="0.2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950</v>
      </c>
      <c r="F30" s="115" t="str">
        <f>+Инвойс!F30</f>
        <v>кг</v>
      </c>
      <c r="G30" s="106">
        <f>+Инвойс!G30</f>
        <v>23000</v>
      </c>
      <c r="H30" s="106">
        <f>+Инвойс!H30</f>
        <v>21290</v>
      </c>
      <c r="I30" s="108">
        <f>+Инвойс!I30</f>
        <v>0.25</v>
      </c>
      <c r="J30" s="13">
        <f>+Инвойс!J30</f>
        <v>5322.5</v>
      </c>
      <c r="K30" s="12">
        <v>0</v>
      </c>
      <c r="L30" s="12">
        <v>0</v>
      </c>
      <c r="M30" s="13">
        <f>+Инвойс!M30</f>
        <v>5322.5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950</v>
      </c>
      <c r="F31" s="15"/>
      <c r="G31" s="64">
        <f>SUM(G30:G30)</f>
        <v>23000</v>
      </c>
      <c r="H31" s="64">
        <f>SUM(H30:H30)</f>
        <v>21290</v>
      </c>
      <c r="I31" s="102"/>
      <c r="J31" s="17">
        <f>SUM(J30:J30)</f>
        <v>5322.5</v>
      </c>
      <c r="K31" s="16"/>
      <c r="L31" s="16"/>
      <c r="M31" s="17">
        <f>SUM(M30:M30)</f>
        <v>5322.5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Пять тысяч триста двадцать два доллара США,50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75" x14ac:dyDescent="0.25">
      <c r="A36" s="130" t="s">
        <v>147</v>
      </c>
      <c r="B36" s="130"/>
      <c r="D36" s="18" t="str">
        <f>+Инвойс!D36</f>
        <v>Авазов К.Ф</v>
      </c>
      <c r="E36" s="131"/>
      <c r="G36" s="128" t="s">
        <v>130</v>
      </c>
      <c r="H36" s="18" t="str">
        <f>Инвойс!G5</f>
        <v>ООО «ГРИН ВОРЛД»</v>
      </c>
      <c r="K36" s="132" t="s">
        <v>158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A3" sqref="A3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5" t="s">
        <v>116</v>
      </c>
    </row>
    <row r="3" spans="1:10" ht="51" x14ac:dyDescent="0.2">
      <c r="A3" s="129" t="s">
        <v>128</v>
      </c>
    </row>
    <row r="5" spans="1:10" ht="38.25" x14ac:dyDescent="0.2">
      <c r="A5" s="125" t="s">
        <v>117</v>
      </c>
    </row>
    <row r="6" spans="1:10" x14ac:dyDescent="0.2">
      <c r="E6" s="18" t="s">
        <v>129</v>
      </c>
      <c r="J6" s="25" t="s">
        <v>132</v>
      </c>
    </row>
    <row r="7" spans="1:10" ht="51" x14ac:dyDescent="0.2">
      <c r="A7" s="125" t="s">
        <v>118</v>
      </c>
    </row>
    <row r="8" spans="1:10" x14ac:dyDescent="0.2">
      <c r="E8" s="18" t="s">
        <v>138</v>
      </c>
      <c r="J8" s="25" t="s">
        <v>133</v>
      </c>
    </row>
    <row r="9" spans="1:10" ht="51" x14ac:dyDescent="0.2">
      <c r="A9" s="125" t="s">
        <v>119</v>
      </c>
    </row>
    <row r="10" spans="1:10" x14ac:dyDescent="0.2">
      <c r="A10" s="125"/>
      <c r="E10" s="18" t="s">
        <v>134</v>
      </c>
      <c r="J10" s="25" t="s">
        <v>135</v>
      </c>
    </row>
    <row r="11" spans="1:10" ht="51" x14ac:dyDescent="0.2">
      <c r="A11" s="125" t="s">
        <v>159</v>
      </c>
    </row>
    <row r="12" spans="1:10" x14ac:dyDescent="0.2">
      <c r="E12" s="18" t="s">
        <v>136</v>
      </c>
      <c r="J12" s="25" t="s">
        <v>137</v>
      </c>
    </row>
    <row r="13" spans="1:10" ht="51" x14ac:dyDescent="0.2">
      <c r="A13" s="125" t="s">
        <v>120</v>
      </c>
    </row>
    <row r="15" spans="1:10" ht="38.25" x14ac:dyDescent="0.2">
      <c r="A15" s="125" t="s">
        <v>121</v>
      </c>
    </row>
    <row r="17" spans="1:1" ht="38.25" x14ac:dyDescent="0.2">
      <c r="A17" s="125" t="s">
        <v>122</v>
      </c>
    </row>
    <row r="19" spans="1:1" ht="38.25" x14ac:dyDescent="0.2">
      <c r="A19" s="127" t="s">
        <v>123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5322.5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триста двадцать два доллара США,50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45894</v>
      </c>
      <c r="O3" s="177"/>
      <c r="P3">
        <f ca="1">DAY(N3)</f>
        <v>25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Пять тысяч триста двадцать два доллара США,50 центов. (в т.ч. НДС - 357,79)</v>
      </c>
      <c r="H4" s="32"/>
      <c r="I4" s="32"/>
      <c r="J4" s="32"/>
      <c r="K4" s="178" t="str">
        <f ca="1">CONCATENATE(" «  ",P3,"  »  ",Q3,"  ",R3," г.")</f>
        <v xml:space="preserve"> «  25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триста двадцать два доллара США,50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триста двадцать два доллара США,50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>триста двадцать два доллара США,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50 центов.</v>
      </c>
      <c r="D12" s="47"/>
      <c r="E12" s="48"/>
      <c r="M12" s="50">
        <f ca="1">TODAY()</f>
        <v>45894</v>
      </c>
    </row>
    <row r="13" spans="1:19" s="43" customFormat="1" x14ac:dyDescent="0.2">
      <c r="A13" s="49"/>
      <c r="D13" s="51"/>
      <c r="E13" s="52">
        <f>TRUNC(E2)</f>
        <v>5322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">
      <c r="A28" s="54">
        <f>TRUNC(A29/10)</f>
        <v>532</v>
      </c>
      <c r="B28" s="58">
        <f>TRUNC(RIGHT(A28))</f>
        <v>2</v>
      </c>
      <c r="C28" s="51">
        <f>IF(B28=1,"",B28)</f>
        <v>2</v>
      </c>
      <c r="E28" s="56" t="str">
        <f>IF(OR(C28=0,B28=1),"",IF(C28=2,E35,IF(C28=3,E36,IF(C28=4,E37,IF(C28=5,E38,IF(C28=6,E39,IF(C28=7,E40,IF(C28=8,E41,E42))))))))</f>
        <v xml:space="preserve">двадцать </v>
      </c>
      <c r="G28" s="47"/>
    </row>
    <row r="29" spans="1:9" s="43" customFormat="1" x14ac:dyDescent="0.2">
      <c r="A29" s="54">
        <f>E13</f>
        <v>5322</v>
      </c>
      <c r="B29" s="47">
        <f>TRUNC(RIGHT(A29))</f>
        <v>2</v>
      </c>
      <c r="C29" s="51">
        <f>IF(B28=1,B29+10,IF(B29=0,0,B29))</f>
        <v>2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два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322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2025-08-25T10:56:49Z</cp:lastPrinted>
  <dcterms:created xsi:type="dcterms:W3CDTF">1996-10-14T23:33:28Z</dcterms:created>
  <dcterms:modified xsi:type="dcterms:W3CDTF">2025-08-25T10:56:50Z</dcterms:modified>
</cp:coreProperties>
</file>