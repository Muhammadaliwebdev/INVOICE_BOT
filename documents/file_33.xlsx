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J30" i="2" l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<sst xmlns="http://schemas.openxmlformats.org/spreadsheetml/2006/main" count="198" uniqueCount="162">
  <si>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</si>
  <si>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</si>
  <si>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</si>
  <si>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</si>
  <si>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</si>
  <si>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</si>
  <si>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</si>
  <si>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</si>
  <si>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</si>
  <si>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</si>
  <si>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</si>
  <si>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</si>
  <si>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</si>
  <si>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</si>
  <si>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</si>
  <si>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</si>
  <si>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</si>
  <si>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</si>
  <si>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</si>
  <si>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</si>
  <si>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</si>
  <si>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</si>
  <si>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</si>
  <si>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</si>
  <si>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</si>
  <si>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</si>
  <si>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</si>
  <si>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</si>
  <si>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</si>
  <si>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</si>
  <si>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</si>
  <si>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</si>
  <si>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</si>
  <si>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</si>
  <si>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</si>
  <si>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</si>
  <si>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</si>
  <si>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</si>
  <si>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</si>
  <si>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</si>
  <si>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</si>
  <si>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</si>
  <si>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</si>
  <si>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</si>
  <si>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</si>
  <si>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</si>
  <si>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</si>
  <si>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</si>
  <si>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</si>
  <si>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</si>
  <si>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</si>
  <si>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</si>
  <si>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</si>
  <si>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</si>
  <si>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</si>
  <si>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</si>
  <si>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</si>
  <si>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</si>
  <si>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</si>
  <si>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</si>
  <si>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</si>
  <si>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</si>
  <si>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</si>
  <si>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</si>
  <si>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</si>
  <si>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</si>
  <si>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</si>
  <si>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</si>
  <si>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</si>
  <si>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</si>
  <si>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</si>
  <si>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</si>
  <si>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</si>
  <si>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</si>
  <si>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</si>
  <si>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</si>
  <si>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</si>
  <si>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</si>
  <si>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</si>
  <si>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</si>
  <si>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</si>
  <si>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</si>
  <si>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</si>
  <si>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</si>
  <si>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</si>
  <si>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</si>
  <si>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</si>
  <si>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</si>
  <si>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</si>
  <si>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</si>
  <si>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</si>
  <si>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</si>
  <si>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</si>
  <si>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</si>
  <si>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</si>
  <si>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</si>
  <si>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</si>
  <si>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</si>
  <si>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</si>
  <si>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</si>
  <si>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</si>
  <si>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</si>
  <si>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</si>
  <si>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</si>
  <si>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</si>
  <si>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</si>
  <si>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</si>
  <si>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</si>
  <si>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</si>
  <si>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</si>
  <si>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</si>
  <si>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</si>
  <si>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</si>
  <si>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</si>
  <si>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</si>
  <si>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</si>
  <si>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</si>
  <si>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</si>
  <si>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</si>
  <si>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</si>
  <si>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</si>
  <si>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</si>
  <si>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</si>
  <si>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</si>
  <si>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</si>
  <si>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</si>
  <si>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</si>
  <si>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</si>
  <si>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</si>
  <si>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</si>
  <si>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</si>
  <si>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</si>
  <si>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</si>
  <si>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</si>
  <si>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</si>
  <si>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</si>
  <si>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</si>
  <si>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</si>
  <si>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</si>
  <si>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</si>
  <si>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</si>
  <si>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</si>
  <si>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</si>
  <si>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</si>
  <si>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</si>
  <si>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</si>
  <si>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</si>
  <si>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</si>
  <si>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EX0508 от 05.08.2025 года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</si>
  <si>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</si>
  <si>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</si>
  <si>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</si>
  <si>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</si>
  <si>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</si>
  <si>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</si>
  <si>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</si>
  <si>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</si>
  <si>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 xml:space="preserve">ИНВОЙС № MEZ-A-21 от </t>
  </si>
  <si>
    <t xml:space="preserve"> 25.08.2025г.</t>
  </si>
  <si>
    <t xml:space="preserve">СПЕЦИФИКАЦИЯ № MEZ-A-21 от </t>
  </si>
  <si>
    <t>01D191OC/019405BA</t>
  </si>
  <si>
    <t>DAP - с Амандык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</si>
</sst>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37</xdr:row>
      <xdr:rowOff>33618</xdr:rowOff>
    </xdr:from>
    <xdr:to>
      <xdr:col>3</xdr:col>
      <xdr:colOff>224118</xdr:colOff>
      <xdr:row>49</xdr:row>
      <xdr:rowOff>22094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37</xdr:row>
      <xdr:rowOff>100855</xdr:rowOff>
    </xdr:from>
    <xdr:to>
      <xdr:col>4</xdr:col>
      <xdr:colOff>389833</xdr:colOff>
      <xdr:row>39</xdr:row>
      <xdr:rowOff>151842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448235</xdr:colOff>
      <xdr:row>37</xdr:row>
      <xdr:rowOff>22412</xdr:rowOff>
    </xdr:from>
    <xdr:to>
      <xdr:col>2</xdr:col>
      <xdr:colOff>392207</xdr:colOff>
      <xdr:row>49</xdr:row>
      <xdr:rowOff>10888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37</xdr:row>
      <xdr:rowOff>89649</xdr:rowOff>
    </xdr:from>
    <xdr:to>
      <xdr:col>3</xdr:col>
      <xdr:colOff>546715</xdr:colOff>
      <xdr:row>39</xdr:row>
      <xdr:rowOff>140635</xdr:rowOff>
    </xdr:to>
    <xdr:pic>
      <xdr:nvPicPr>
        <xdr:cNvPr id="6" name="Рисунок 5">
          <a:extLst>
            <a:ext uri="{FF2B5EF4-FFF2-40B4-BE49-F238E27FC236}">
              <a16:creationId xmlns=""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4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0" t="s">
        <v>157</v>
      </c>
      <c r="D1" s="150"/>
      <c r="E1" s="150"/>
      <c r="F1" s="149" t="s">
        <v>158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3.8" x14ac:dyDescent="0.25">
      <c r="A6" s="125" t="s">
        <v>150</v>
      </c>
      <c r="B6" s="124"/>
      <c r="C6" s="124"/>
      <c r="D6" s="124"/>
      <c r="E6" s="124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25" t="s">
        <v>155</v>
      </c>
      <c r="B7" s="124"/>
      <c r="C7" s="124"/>
      <c r="D7" s="124"/>
      <c r="E7" s="124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151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153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25" t="s">
        <v>150</v>
      </c>
      <c r="B15" s="124"/>
      <c r="C15" s="124"/>
      <c r="D15" s="124"/>
      <c r="E15" s="124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155</v>
      </c>
      <c r="B16" s="124"/>
      <c r="C16" s="124"/>
      <c r="D16" s="124"/>
      <c r="E16" s="124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151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153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118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160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0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0" t="s">
        <v>12</v>
      </c>
      <c r="H29" s="110" t="s">
        <v>13</v>
      </c>
      <c r="I29" s="133"/>
      <c r="J29" s="111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933</v>
      </c>
      <c r="F30" s="115" t="s">
        <v>27</v>
      </c>
      <c r="G30" s="106">
        <v>22304</v>
      </c>
      <c r="H30" s="106">
        <v>20625</v>
      </c>
      <c r="I30" s="108">
        <v>0.2</v>
      </c>
      <c r="J30" s="13">
        <f t="shared" ref="J30" si="0">H30*I30</f>
        <v>4125</v>
      </c>
      <c r="K30" s="12">
        <v>0</v>
      </c>
      <c r="L30" s="12">
        <v>0</v>
      </c>
      <c r="M30" s="13">
        <f t="shared" ref="M30" si="1">J30</f>
        <v>4125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933</v>
      </c>
      <c r="F31" s="15"/>
      <c r="G31" s="64">
        <f>SUM(G30:G30)</f>
        <v>22304</v>
      </c>
      <c r="H31" s="64">
        <f>SUM(H30:H30)</f>
        <v>20625</v>
      </c>
      <c r="I31" s="102"/>
      <c r="J31" s="17">
        <f>SUM(J30:J30)</f>
        <v>4125</v>
      </c>
      <c r="K31" s="16"/>
      <c r="L31" s="16"/>
      <c r="M31" s="17">
        <f>SUM(M30:M30)</f>
        <v>4125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сто двадцать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154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6" zoomScale="115" zoomScaleNormal="115" workbookViewId="0">
      <selection activeCell="B31" sqref="B31:I39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MEZ-A-21 от  25.08.2025г.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933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22304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25.08.2025г.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01D191OC/019405BA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6" zoomScaleNormal="100" workbookViewId="0">
      <selection activeCell="B14" sqref="B14:G14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01D191OC/019405BA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25.08.2025г.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MEZ-A-21 от  25.08.2025г.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933</v>
      </c>
      <c r="G18" s="160" t="str">
        <f>+CMR!F30</f>
        <v>Дыни свежие</v>
      </c>
      <c r="H18" s="160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8" t="str">
        <f>+Инвойс!C30</f>
        <v>0807190001</v>
      </c>
      <c r="H19" s="159"/>
      <c r="I19" s="121" t="s">
        <v>103</v>
      </c>
      <c r="J19" s="119">
        <f>+Инвойс!G30</f>
        <v>22304</v>
      </c>
    </row>
    <row r="20" spans="2:10" ht="13.5" customHeight="1" x14ac:dyDescent="0.3">
      <c r="B20" s="83"/>
      <c r="E20" s="122"/>
      <c r="F20" s="117"/>
      <c r="G20" s="160"/>
      <c r="H20" s="160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8"/>
      <c r="H21" s="159"/>
      <c r="I21" s="121"/>
      <c r="J21" s="119"/>
    </row>
    <row r="22" spans="2:10" ht="12.75" customHeight="1" x14ac:dyDescent="0.3">
      <c r="B22" s="83"/>
      <c r="E22" s="122"/>
      <c r="F22" s="117"/>
      <c r="G22" s="160"/>
      <c r="H22" s="160"/>
      <c r="I22" s="118"/>
      <c r="J22" s="119"/>
    </row>
    <row r="23" spans="2:10" ht="14.25" customHeight="1" x14ac:dyDescent="0.3">
      <c r="B23" s="83"/>
      <c r="E23" s="122"/>
      <c r="F23" s="120"/>
      <c r="G23" s="158"/>
      <c r="H23" s="159"/>
      <c r="I23" s="121"/>
      <c r="J23" s="119"/>
    </row>
    <row r="24" spans="2:10" ht="12.75" customHeight="1" x14ac:dyDescent="0.3">
      <c r="B24" s="87"/>
      <c r="E24" s="122"/>
      <c r="F24" s="117"/>
      <c r="G24" s="160"/>
      <c r="H24" s="160"/>
      <c r="I24" s="118"/>
      <c r="J24" s="119"/>
    </row>
    <row r="25" spans="2:10" ht="12.75" customHeight="1" x14ac:dyDescent="0.3">
      <c r="B25" s="87"/>
      <c r="E25" s="122"/>
      <c r="F25" s="120"/>
      <c r="G25" s="158"/>
      <c r="H25" s="159"/>
      <c r="I25" s="121"/>
      <c r="J25" s="119"/>
    </row>
    <row r="26" spans="2:10" ht="12" customHeight="1" x14ac:dyDescent="0.3">
      <c r="B26" s="87"/>
      <c r="E26" s="122"/>
      <c r="F26" s="117"/>
      <c r="G26" s="160"/>
      <c r="H26" s="160"/>
      <c r="I26" s="118"/>
      <c r="J26" s="119"/>
    </row>
    <row r="27" spans="2:10" ht="14.25" customHeight="1" x14ac:dyDescent="0.3">
      <c r="B27" s="87"/>
      <c r="E27" s="122"/>
      <c r="F27" s="120"/>
      <c r="G27" s="158"/>
      <c r="H27" s="159"/>
      <c r="I27" s="121"/>
      <c r="J27" s="119"/>
    </row>
    <row r="28" spans="2:10" ht="12.75" customHeight="1" x14ac:dyDescent="0.3">
      <c r="B28" s="87"/>
      <c r="E28" s="122"/>
      <c r="F28" s="117"/>
      <c r="G28" s="160"/>
      <c r="H28" s="160"/>
      <c r="I28" s="118"/>
      <c r="J28" s="119"/>
    </row>
    <row r="29" spans="2:10" ht="12.75" customHeight="1" x14ac:dyDescent="0.3">
      <c r="B29" s="87"/>
      <c r="E29" s="122"/>
      <c r="F29" s="120"/>
      <c r="G29" s="158"/>
      <c r="H29" s="159"/>
      <c r="I29" s="121"/>
      <c r="J29" s="119"/>
    </row>
    <row r="30" spans="2:10" ht="12.75" customHeight="1" x14ac:dyDescent="0.3">
      <c r="B30" s="87"/>
      <c r="E30" s="122"/>
      <c r="F30" s="117"/>
      <c r="G30" s="160"/>
      <c r="H30" s="160"/>
      <c r="I30" s="118"/>
      <c r="J30" s="119"/>
    </row>
    <row r="31" spans="2:10" ht="13.5" customHeight="1" x14ac:dyDescent="0.3">
      <c r="B31" s="87"/>
      <c r="E31" s="122"/>
      <c r="F31" s="120"/>
      <c r="G31" s="158"/>
      <c r="H31" s="159"/>
      <c r="I31" s="121"/>
      <c r="J31" s="119"/>
    </row>
    <row r="32" spans="2:10" ht="13.5" customHeight="1" x14ac:dyDescent="0.3">
      <c r="B32" s="87"/>
      <c r="E32" s="122"/>
      <c r="F32" s="117"/>
      <c r="G32" s="160"/>
      <c r="H32" s="160"/>
      <c r="I32" s="118"/>
      <c r="J32" s="119"/>
    </row>
    <row r="33" spans="2:10" ht="13.5" customHeight="1" x14ac:dyDescent="0.3">
      <c r="B33" s="87"/>
      <c r="E33" s="122"/>
      <c r="F33" s="120"/>
      <c r="G33" s="158"/>
      <c r="H33" s="159"/>
      <c r="I33" s="121"/>
      <c r="J33" s="119"/>
    </row>
    <row r="34" spans="2:10" ht="13.5" customHeight="1" x14ac:dyDescent="0.3">
      <c r="B34" s="87"/>
      <c r="E34" s="122"/>
      <c r="F34" s="117"/>
      <c r="G34" s="160"/>
      <c r="H34" s="160"/>
      <c r="I34" s="118"/>
      <c r="J34" s="119"/>
    </row>
    <row r="35" spans="2:10" ht="12.75" customHeight="1" x14ac:dyDescent="0.3">
      <c r="B35" s="87"/>
      <c r="E35" s="122"/>
      <c r="F35" s="120"/>
      <c r="G35" s="158"/>
      <c r="H35" s="159"/>
      <c r="I35" s="121"/>
      <c r="J35" s="119"/>
    </row>
    <row r="36" spans="2:10" x14ac:dyDescent="0.3">
      <c r="B36" s="87"/>
      <c r="E36" s="122"/>
      <c r="F36" s="117"/>
      <c r="G36" s="160"/>
      <c r="H36" s="160"/>
      <c r="I36" s="118"/>
      <c r="J36" s="119"/>
    </row>
    <row r="37" spans="2:10" ht="13.5" customHeight="1" x14ac:dyDescent="0.3">
      <c r="B37" s="87"/>
      <c r="E37" s="122"/>
      <c r="F37" s="120"/>
      <c r="G37" s="158"/>
      <c r="H37" s="159"/>
      <c r="I37" s="121"/>
      <c r="J37" s="119"/>
    </row>
    <row r="38" spans="2:10" x14ac:dyDescent="0.3">
      <c r="B38" s="87"/>
      <c r="E38" s="122"/>
      <c r="F38" s="117"/>
      <c r="G38" s="160"/>
      <c r="H38" s="160"/>
      <c r="I38" s="118"/>
      <c r="J38" s="119"/>
    </row>
    <row r="39" spans="2:10" ht="13.5" customHeight="1" x14ac:dyDescent="0.3">
      <c r="B39" s="87"/>
      <c r="E39" s="122"/>
      <c r="F39" s="120"/>
      <c r="G39" s="158"/>
      <c r="H39" s="159"/>
      <c r="I39" s="121"/>
      <c r="J39" s="119"/>
    </row>
    <row r="40" spans="2:10" ht="14.25" hidden="1" customHeight="1" x14ac:dyDescent="0.3">
      <c r="B40" s="87"/>
      <c r="E40" s="122"/>
      <c r="F40" s="117"/>
      <c r="G40" s="160"/>
      <c r="H40" s="160"/>
      <c r="I40" s="118"/>
      <c r="J40" s="119"/>
    </row>
    <row r="41" spans="2:10" ht="14.25" hidden="1" customHeight="1" x14ac:dyDescent="0.3">
      <c r="B41" s="87"/>
      <c r="E41" s="122"/>
      <c r="F41" s="120"/>
      <c r="G41" s="158"/>
      <c r="H41" s="159"/>
      <c r="I41" s="121"/>
      <c r="J41" s="119"/>
    </row>
    <row r="42" spans="2:10" hidden="1" x14ac:dyDescent="0.3">
      <c r="B42" s="87"/>
      <c r="E42" s="122"/>
      <c r="F42" s="117"/>
      <c r="G42" s="160"/>
      <c r="H42" s="160"/>
      <c r="I42" s="118"/>
      <c r="J42" s="119"/>
    </row>
    <row r="43" spans="2:10" x14ac:dyDescent="0.3">
      <c r="B43" s="87"/>
      <c r="E43" s="122"/>
      <c r="F43" s="120"/>
      <c r="G43" s="158"/>
      <c r="H43" s="159"/>
      <c r="I43" s="121"/>
      <c r="J43" s="119"/>
    </row>
    <row r="44" spans="2:10" ht="9" customHeight="1" x14ac:dyDescent="0.3">
      <c r="B44" s="87"/>
      <c r="E44" s="95"/>
      <c r="F44" s="92"/>
      <c r="G44" s="162"/>
      <c r="H44" s="162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933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A31" sqref="A31:XFD63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9" t="s">
        <v>159</v>
      </c>
      <c r="C1" s="169"/>
      <c r="D1" s="169"/>
      <c r="E1" s="169"/>
      <c r="F1" s="149" t="str">
        <f>+Инвойс!F1</f>
        <v xml:space="preserve"> 25.08.2025г.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tr">
        <f>+Инвойс!C2</f>
        <v>к контракту № EX0508 от 05.08.2025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tr">
        <f>+Инвойс!A5</f>
        <v>ООО «MEGA EXIMPORT»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3.8" x14ac:dyDescent="0.25">
      <c r="A6" s="172" t="str">
        <f>+Инвойс!A6</f>
        <v xml:space="preserve">Республика Узбекистан, Ферганская область, </v>
      </c>
      <c r="B6" s="172"/>
      <c r="C6" s="172"/>
      <c r="D6" s="172"/>
      <c r="E6" s="172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2" t="str">
        <f>+Инвойс!A7</f>
        <v>Кува Район, Гулобод МФЙ, Сарбоз улитца</v>
      </c>
      <c r="B7" s="172"/>
      <c r="C7" s="172"/>
      <c r="D7" s="172"/>
      <c r="E7" s="172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 xml:space="preserve">Р/с N 20208840607249418001   (USD)    </v>
      </c>
      <c r="B8" s="172"/>
      <c r="C8" s="172"/>
      <c r="D8" s="172"/>
      <c r="E8" s="172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72" t="str">
        <f>+Инвойс!A9</f>
        <v xml:space="preserve">в АКБ «KAPITAL BANK» МФО: 01088 Swift: KACHUZ22  </v>
      </c>
      <c r="B9" s="172"/>
      <c r="C9" s="172"/>
      <c r="D9" s="172"/>
      <c r="E9" s="172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2" t="str">
        <f>+Инвойс!A10</f>
        <v xml:space="preserve"> ИНН: 312169146</v>
      </c>
      <c r="B10" s="172"/>
      <c r="C10" s="172"/>
      <c r="D10" s="172"/>
      <c r="E10" s="172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72"/>
      <c r="B11" s="172"/>
      <c r="C11" s="172"/>
      <c r="D11" s="172"/>
      <c r="E11" s="172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tr">
        <f>+Инвойс!A14</f>
        <v>ООО «MEGA EXIMPORT»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72" t="str">
        <f>+Инвойс!A15</f>
        <v xml:space="preserve">Республика Узбекистан, Ферганская область, </v>
      </c>
      <c r="B15" s="172"/>
      <c r="C15" s="172"/>
      <c r="D15" s="172"/>
      <c r="E15" s="172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72" t="str">
        <f>+Инвойс!A16</f>
        <v>Кува Район, Гулобод МФЙ, Сарбоз улитца</v>
      </c>
      <c r="B16" s="172"/>
      <c r="C16" s="172"/>
      <c r="D16" s="172"/>
      <c r="E16" s="172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 xml:space="preserve">Р/с N 20208840607249418001   (USD)    </v>
      </c>
      <c r="B17" s="172"/>
      <c r="C17" s="172"/>
      <c r="D17" s="172"/>
      <c r="E17" s="172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72" t="str">
        <f>+Инвойс!A18</f>
        <v xml:space="preserve">в АКБ «KAPITAL BANK» МФО: 01088 Swift: KACHUZ22  </v>
      </c>
      <c r="B18" s="172"/>
      <c r="C18" s="172"/>
      <c r="D18" s="172"/>
      <c r="E18" s="172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72" t="str">
        <f>+Инвойс!A19</f>
        <v xml:space="preserve"> ИНН: 312169146</v>
      </c>
      <c r="B19" s="172"/>
      <c r="C19" s="172"/>
      <c r="D19" s="172"/>
      <c r="E19" s="172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72"/>
      <c r="B20" s="172"/>
      <c r="C20" s="172"/>
      <c r="D20" s="172"/>
      <c r="E20" s="172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01D191OC/019405BA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0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0" t="s">
        <v>12</v>
      </c>
      <c r="H29" s="110" t="s">
        <v>13</v>
      </c>
      <c r="I29" s="133"/>
      <c r="J29" s="111" t="s">
        <v>14</v>
      </c>
      <c r="K29" s="10" t="s">
        <v>15</v>
      </c>
      <c r="L29" s="10" t="s">
        <v>16</v>
      </c>
      <c r="M29" s="133"/>
    </row>
    <row r="30" spans="1:17" ht="25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933</v>
      </c>
      <c r="F30" s="115" t="str">
        <f>+Инвойс!F30</f>
        <v>кг</v>
      </c>
      <c r="G30" s="106">
        <f>+Инвойс!G30</f>
        <v>22304</v>
      </c>
      <c r="H30" s="106">
        <f>+Инвойс!H30</f>
        <v>20625</v>
      </c>
      <c r="I30" s="108">
        <f>+Инвойс!I30</f>
        <v>0.2</v>
      </c>
      <c r="J30" s="13">
        <f>+Инвойс!J30</f>
        <v>4125</v>
      </c>
      <c r="K30" s="12">
        <v>0</v>
      </c>
      <c r="L30" s="12">
        <v>0</v>
      </c>
      <c r="M30" s="13">
        <f>+Инвойс!M30</f>
        <v>4125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933</v>
      </c>
      <c r="F31" s="15"/>
      <c r="G31" s="64">
        <f>SUM(G30:G30)</f>
        <v>22304</v>
      </c>
      <c r="H31" s="64">
        <f>SUM(H30:H30)</f>
        <v>20625</v>
      </c>
      <c r="I31" s="102"/>
      <c r="J31" s="17">
        <f>SUM(J30:J30)</f>
        <v>4125</v>
      </c>
      <c r="K31" s="16"/>
      <c r="L31" s="16"/>
      <c r="M31" s="17">
        <f>SUM(M30:M30)</f>
        <v>4125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сто двадцать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156</v>
      </c>
      <c r="B36" s="7"/>
      <c r="D36" s="25" t="str">
        <f>+Инвойс!D36</f>
        <v>Эргашев О.Р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5" sqref="A5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4125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двадцать пять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45894</v>
      </c>
      <c r="O3" s="176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двадцать пять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25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двадцать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двадцать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двадцать пять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45894</v>
      </c>
    </row>
    <row r="13" spans="1:19" s="43" customFormat="1" x14ac:dyDescent="0.25">
      <c r="A13" s="49"/>
      <c r="D13" s="51"/>
      <c r="E13" s="52">
        <f>TRUNC(E2)</f>
        <v>4125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4125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125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2025-08-24T19:21:44Z</cp:lastPrinted>
  <dcterms:created xsi:type="dcterms:W3CDTF">1996-10-14T23:33:28Z</dcterms:created>
  <dcterms:modified xsi:type="dcterms:W3CDTF">2025-08-24T19:23:12Z</dcterms:modified>
</cp:coreProperties>
</file>