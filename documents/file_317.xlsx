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A21A2AC-2144-44E1-835D-0F9A61D796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<sst xmlns="http://schemas.openxmlformats.org/spreadsheetml/2006/main" count="209" uniqueCount="163">
  <si>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</si>
  <si>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</si>
  <si>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</si>
  <si>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</si>
  <si>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</si>
  <si>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</si>
  <si>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</si>
  <si>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</si>
  <si>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</si>
  <si>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</si>
  <si>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</si>
  <si>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</si>
  <si>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</si>
  <si>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</si>
  <si>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</si>
  <si>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</si>
  <si>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</si>
  <si>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</si>
  <si>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</si>
  <si>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</si>
  <si>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</si>
  <si>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</si>
  <si>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</si>
  <si>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</si>
  <si>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</si>
  <si>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</si>
  <si>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</si>
  <si>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</si>
  <si>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</si>
  <si>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</si>
  <si>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</si>
  <si>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</si>
  <si>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</si>
  <si>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</si>
  <si>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</si>
  <si>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</si>
  <si>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</si>
  <si>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</si>
  <si>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</si>
  <si>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</si>
  <si>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</si>
  <si>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</si>
  <si>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</si>
  <si>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</si>
  <si>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</si>
  <si>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</si>
  <si>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</si>
  <si>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</si>
  <si>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</si>
  <si>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</si>
  <si>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</si>
  <si>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</si>
  <si>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</si>
  <si>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</si>
  <si>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</si>
  <si>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</si>
  <si>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</si>
  <si>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</si>
  <si>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</si>
  <si>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</si>
  <si>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</si>
  <si>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</si>
  <si>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</si>
  <si>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</si>
  <si>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</si>
  <si>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</si>
  <si>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</si>
  <si>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</si>
  <si>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</si>
  <si>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</si>
  <si>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</si>
  <si>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</si>
  <si>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</si>
  <si>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</si>
  <si>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</si>
  <si>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</si>
  <si>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</si>
  <si>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</si>
  <si>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</si>
  <si>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</si>
  <si>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</si>
  <si>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</si>
  <si>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</si>
  <si>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</si>
  <si>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</si>
  <si>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</si>
  <si>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</si>
  <si>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</si>
  <si>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</si>
  <si>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</si>
  <si>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</si>
  <si>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</si>
  <si>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</si>
  <si>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</si>
  <si>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</si>
  <si>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</si>
  <si>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</si>
  <si>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</si>
  <si>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</si>
  <si>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</si>
  <si>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</si>
  <si>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</si>
  <si>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</si>
  <si>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</si>
  <si>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</si>
  <si>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</si>
  <si>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</si>
  <si>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</si>
  <si>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</si>
  <si>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</si>
  <si>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</si>
  <si>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</si>
  <si>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</si>
  <si>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</si>
  <si>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</si>
  <si>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</si>
  <si>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</si>
  <si>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</si>
  <si>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</si>
  <si>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</si>
  <si>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</si>
  <si>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</si>
  <si>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</si>
  <si>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</si>
  <si>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</si>
  <si>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</si>
  <si>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</si>
  <si>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</si>
  <si>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</si>
  <si>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</si>
  <si>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</si>
  <si>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</si>
  <si>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</si>
  <si>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</si>
  <si>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</si>
  <si>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</si>
  <si>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</si>
  <si>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</si>
  <si>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</si>
  <si>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</si>
  <si>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</si>
  <si>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</si>
  <si>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</si>
  <si>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</si>
  <si>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</si>
  <si>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</si>
  <si>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</si>
  <si>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</si>
  <si>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</si>
  <si>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</si>
  <si>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</si>
  <si>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</si>
  <si>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</si>
  <si>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</si>
  <si>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</si>
  <si>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</si>
  <si>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</si>
  <si>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</si>
  <si>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 xml:space="preserve"> 31.08.2025г.</t>
  </si>
  <si>
    <t xml:space="preserve">ИНВОЙС № GWG-A-1 от </t>
  </si>
  <si>
    <t>30H988JA/306006AA</t>
  </si>
  <si>
    <t xml:space="preserve">СПЕЦИФИКАЦИЯ № GWG-A-1 от </t>
  </si>
  <si>
    <t>/г. Владивосток/ г.Чита / г. Киров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</si>
</sst>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158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129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129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115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123</v>
      </c>
      <c r="C30" s="107" t="s">
        <v>124</v>
      </c>
      <c r="D30" s="109" t="s">
        <v>111</v>
      </c>
      <c r="E30" s="101">
        <v>920</v>
      </c>
      <c r="F30" s="110" t="s">
        <v>27</v>
      </c>
      <c r="G30" s="106">
        <v>22700</v>
      </c>
      <c r="H30" s="106">
        <v>21044</v>
      </c>
      <c r="I30" s="108">
        <v>0.25</v>
      </c>
      <c r="J30" s="13">
        <f t="shared" ref="J30" si="0">H30*I30</f>
        <v>5261</v>
      </c>
      <c r="K30" s="12">
        <v>0</v>
      </c>
      <c r="L30" s="12">
        <v>0</v>
      </c>
      <c r="M30" s="13">
        <f t="shared" ref="M30" si="1">J30</f>
        <v>5261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22700</v>
      </c>
      <c r="H31" s="64">
        <f>SUM(H30:H30)</f>
        <v>21044</v>
      </c>
      <c r="I31" s="102"/>
      <c r="J31" s="17">
        <f>SUM(J30:J30)</f>
        <v>5261</v>
      </c>
      <c r="K31" s="16"/>
      <c r="L31" s="16"/>
      <c r="M31" s="17">
        <f>SUM(M30:M30)</f>
        <v>5261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шестьдесят один доллар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108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B16" sqref="B1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110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GWG-A-1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22700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139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30H988JA/306006AA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34" sqref="G34:H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30H988JA/306006AA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GWG-A-1 от  31.08.2025г.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22700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920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31.08.2025г.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121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112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30H988JA/306006AA</v>
      </c>
      <c r="F26" s="141"/>
      <c r="G26" s="141"/>
      <c r="J26" s="21"/>
    </row>
    <row r="27" spans="1:17" ht="34.5" customHeight="1" x14ac:dyDescent="0.25">
      <c r="A27" s="67" t="s">
        <v>122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22700</v>
      </c>
      <c r="H30" s="106">
        <f>+Инвойс!H30</f>
        <v>21044</v>
      </c>
      <c r="I30" s="108">
        <f>+Инвойс!I30</f>
        <v>0.25</v>
      </c>
      <c r="J30" s="13">
        <f>+Инвойс!J30</f>
        <v>5261</v>
      </c>
      <c r="K30" s="12">
        <v>0</v>
      </c>
      <c r="L30" s="12">
        <v>0</v>
      </c>
      <c r="M30" s="13">
        <f>+Инвойс!M30</f>
        <v>5261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22700</v>
      </c>
      <c r="H31" s="64">
        <f>SUM(H30:H30)</f>
        <v>21044</v>
      </c>
      <c r="I31" s="102"/>
      <c r="J31" s="17">
        <f>SUM(J30:J30)</f>
        <v>5261</v>
      </c>
      <c r="K31" s="16"/>
      <c r="L31" s="16"/>
      <c r="M31" s="17">
        <f>SUM(M30:M30)</f>
        <v>5261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шестьдесят один доллар США,00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127</v>
      </c>
      <c r="H36" s="18" t="str">
        <f>Инвойс!G5</f>
        <v>ООО «ГРИН ВОРЛД»</v>
      </c>
      <c r="K36" s="134" t="s">
        <v>137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="85" zoomScaleNormal="85" workbookViewId="0">
      <selection activeCell="A20" sqref="A20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113</v>
      </c>
    </row>
    <row r="3" spans="1:10" ht="52.8" x14ac:dyDescent="0.25">
      <c r="A3" s="131" t="s">
        <v>125</v>
      </c>
    </row>
    <row r="5" spans="1:10" ht="39.6" x14ac:dyDescent="0.25">
      <c r="A5" s="127" t="s">
        <v>114</v>
      </c>
    </row>
    <row r="6" spans="1:10" x14ac:dyDescent="0.25">
      <c r="E6" s="18" t="s">
        <v>126</v>
      </c>
      <c r="J6" s="25" t="s">
        <v>140</v>
      </c>
    </row>
    <row r="7" spans="1:10" ht="52.8" x14ac:dyDescent="0.25">
      <c r="A7" s="127" t="s">
        <v>115</v>
      </c>
    </row>
    <row r="8" spans="1:10" x14ac:dyDescent="0.25">
      <c r="E8" s="18" t="s">
        <v>141</v>
      </c>
      <c r="J8" s="25" t="s">
        <v>142</v>
      </c>
    </row>
    <row r="9" spans="1:10" ht="52.8" x14ac:dyDescent="0.25">
      <c r="A9" s="127" t="s">
        <v>116</v>
      </c>
    </row>
    <row r="10" spans="1:10" x14ac:dyDescent="0.25">
      <c r="A10" s="127"/>
      <c r="E10" s="18" t="s">
        <v>143</v>
      </c>
      <c r="J10" s="25" t="s">
        <v>144</v>
      </c>
    </row>
    <row r="11" spans="1:10" ht="52.8" x14ac:dyDescent="0.25">
      <c r="A11" s="127" t="s">
        <v>145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117</v>
      </c>
    </row>
    <row r="15" spans="1:10" ht="39.6" x14ac:dyDescent="0.25">
      <c r="A15" s="127" t="s">
        <v>118</v>
      </c>
    </row>
    <row r="17" spans="1:1" ht="39.6" x14ac:dyDescent="0.25">
      <c r="A17" s="127" t="s">
        <v>119</v>
      </c>
    </row>
    <row r="19" spans="1:1" ht="39.6" x14ac:dyDescent="0.25">
      <c r="A19" s="129" t="s">
        <v>120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5261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шестьдесят один доллар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шестьдесят один доллар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шестьдесят один доллар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шестьдесят один доллар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двести шестьдесят один доллар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5261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5261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2025-08-31T10:22:33Z</cp:lastPrinted>
  <dcterms:created xsi:type="dcterms:W3CDTF">1996-10-14T23:33:28Z</dcterms:created>
  <dcterms:modified xsi:type="dcterms:W3CDTF">2025-08-31T10:22:38Z</dcterms:modified>
</cp:coreProperties>
</file>