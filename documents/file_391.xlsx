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406CFF6-15A0-4C6A-8FED-18B8DAF74E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<sst xmlns="http://schemas.openxmlformats.org/spreadsheetml/2006/main" count="211" uniqueCount="164">
  <si>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</si>
  <si>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</si>
  <si>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</si>
  <si>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</si>
  <si>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</si>
  <si>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</si>
  <si>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</si>
  <si>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</si>
  <si>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</si>
  <si>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</si>
  <si>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</si>
  <si>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</si>
  <si>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</si>
  <si>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</si>
  <si>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</si>
  <si>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</si>
  <si>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</si>
  <si>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</si>
  <si>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</si>
  <si>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</si>
  <si>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</si>
  <si>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</si>
  <si>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</si>
  <si>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</si>
  <si>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</si>
  <si>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</si>
  <si>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</si>
  <si>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</si>
  <si>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</si>
  <si>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</si>
  <si>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</si>
  <si>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</si>
  <si>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</si>
  <si>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</si>
  <si>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</si>
  <si>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</si>
  <si>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</si>
  <si>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</si>
  <si>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</si>
  <si>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</si>
  <si>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</si>
  <si>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</si>
  <si>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</si>
  <si>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</si>
  <si>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</si>
  <si>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</si>
  <si>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</si>
  <si>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</si>
  <si>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</si>
  <si>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</si>
  <si>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</si>
  <si>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</si>
  <si>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</si>
  <si>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</si>
  <si>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</si>
  <si>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</si>
  <si>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</si>
  <si>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</si>
  <si>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</si>
  <si>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</si>
  <si>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</si>
  <si>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</si>
  <si>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</si>
  <si>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</si>
  <si>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</si>
  <si>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</si>
  <si>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</si>
  <si>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</si>
  <si>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</si>
  <si>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</si>
  <si>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</si>
  <si>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</si>
  <si>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</si>
  <si>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</si>
  <si>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</si>
  <si>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</si>
  <si>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</si>
  <si>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</si>
  <si>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</si>
  <si>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</si>
  <si>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</si>
  <si>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</si>
  <si>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</si>
  <si>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</si>
  <si>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</si>
  <si>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</si>
  <si>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</si>
  <si>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</si>
  <si>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</si>
  <si>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</si>
  <si>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</si>
  <si>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</si>
  <si>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</si>
  <si>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</si>
  <si>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</si>
  <si>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</si>
  <si>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</si>
  <si>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</si>
  <si>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</si>
  <si>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</si>
  <si>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</si>
  <si>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</si>
  <si>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</si>
  <si>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</si>
  <si>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</si>
  <si>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</si>
  <si>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</si>
  <si>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</si>
  <si>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</si>
  <si>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</si>
  <si>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</si>
  <si>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</si>
  <si>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</si>
  <si>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</si>
  <si>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</si>
  <si>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</si>
  <si>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</si>
  <si>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</si>
  <si>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</si>
  <si>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</si>
  <si>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</si>
  <si>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</si>
  <si>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</si>
  <si>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</si>
  <si>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</si>
  <si>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</si>
  <si>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</si>
  <si>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</si>
  <si>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</si>
  <si>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</si>
  <si>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</si>
  <si>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</si>
  <si>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</si>
  <si>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</si>
  <si>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</si>
  <si>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</si>
  <si>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</si>
  <si>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</si>
  <si>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</si>
  <si>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</si>
  <si>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</si>
  <si>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</si>
  <si>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</si>
  <si>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</si>
  <si>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</si>
  <si>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</si>
  <si>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</si>
  <si>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</si>
  <si>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</si>
  <si>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</si>
  <si>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</si>
  <si>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</si>
  <si>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</si>
  <si>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</si>
  <si>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</si>
  <si>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</si>
  <si>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</si>
  <si>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</si>
  <si>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</si>
  <si>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</si>
  <si>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UFG-M-55 от </t>
  </si>
  <si>
    <t xml:space="preserve"> 03.09.2025г.</t>
  </si>
  <si>
    <t>40U608SB/402215CA</t>
  </si>
  <si>
    <t xml:space="preserve">СПЕЦИФИКАЦИЯ № UFG-M-55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</si>
</sst>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160</v>
      </c>
      <c r="D1" s="154"/>
      <c r="E1" s="154"/>
      <c r="F1" s="153" t="s">
        <v>161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152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153</v>
      </c>
      <c r="B5" s="155"/>
      <c r="C5" s="155"/>
      <c r="D5" s="155"/>
      <c r="E5" s="155"/>
      <c r="F5" s="6"/>
      <c r="G5" s="148" t="s">
        <v>140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148</v>
      </c>
      <c r="B6" s="142"/>
      <c r="C6" s="142"/>
      <c r="D6" s="142"/>
      <c r="E6" s="142"/>
      <c r="F6" s="7"/>
      <c r="G6" s="141" t="s">
        <v>141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154</v>
      </c>
      <c r="B7" s="142"/>
      <c r="C7" s="142"/>
      <c r="D7" s="142"/>
      <c r="E7" s="142"/>
      <c r="F7" s="63"/>
      <c r="G7" s="141" t="s">
        <v>142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150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44" t="s">
        <v>146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153</v>
      </c>
      <c r="B14" s="155"/>
      <c r="C14" s="155"/>
      <c r="D14" s="155"/>
      <c r="E14" s="155"/>
      <c r="F14" s="6"/>
      <c r="G14" s="148" t="s">
        <v>140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148</v>
      </c>
      <c r="B15" s="142"/>
      <c r="C15" s="142"/>
      <c r="D15" s="142"/>
      <c r="E15" s="142"/>
      <c r="F15" s="7"/>
      <c r="G15" s="141" t="s">
        <v>141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154</v>
      </c>
      <c r="B16" s="142"/>
      <c r="C16" s="142"/>
      <c r="D16" s="142"/>
      <c r="E16" s="142"/>
      <c r="F16" s="63"/>
      <c r="G16" s="141" t="s">
        <v>142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150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156</v>
      </c>
      <c r="B21" s="8"/>
      <c r="C21" s="8"/>
      <c r="D21" s="8"/>
      <c r="E21" s="8"/>
      <c r="G21" s="144" t="s">
        <v>146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128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129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162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920</v>
      </c>
      <c r="F30" s="110" t="s">
        <v>27</v>
      </c>
      <c r="G30" s="106">
        <v>23100</v>
      </c>
      <c r="H30" s="106">
        <v>21444</v>
      </c>
      <c r="I30" s="108">
        <v>0.25</v>
      </c>
      <c r="J30" s="13">
        <f t="shared" ref="J30" si="0">H30*I30</f>
        <v>5361</v>
      </c>
      <c r="K30" s="12">
        <v>0</v>
      </c>
      <c r="L30" s="12">
        <v>0</v>
      </c>
      <c r="M30" s="13">
        <f t="shared" ref="M30" si="1">J30</f>
        <v>5361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920</v>
      </c>
      <c r="F31" s="15"/>
      <c r="G31" s="64">
        <f>SUM(G30:G30)</f>
        <v>23100</v>
      </c>
      <c r="H31" s="64">
        <f>SUM(H30:H30)</f>
        <v>21444</v>
      </c>
      <c r="I31" s="102"/>
      <c r="J31" s="17">
        <f>SUM(J30:J30)</f>
        <v>5361</v>
      </c>
      <c r="K31" s="16"/>
      <c r="L31" s="16"/>
      <c r="M31" s="17">
        <f>SUM(M30:M30)</f>
        <v>5361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триста шестьдесят один доллар США,00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J39" sqref="J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03.09.2025г.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UFG-M-55 от  03.09.2025г.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23100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03.09.2025г.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40U608SB/402215CA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G31" sqref="G31:H31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40U608SB/402215CA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03.09.2025г.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UFG-M-55 от  03.09.2025г.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920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23100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920</v>
      </c>
      <c r="E47" s="142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0" zoomScale="85" zoomScaleNormal="85" workbookViewId="0">
      <selection activeCell="D32" sqref="D32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163</v>
      </c>
      <c r="C1" s="171"/>
      <c r="D1" s="171"/>
      <c r="E1" s="171"/>
      <c r="F1" s="153" t="str">
        <f>+Инвойс!F1</f>
        <v xml:space="preserve"> 03.09.2025г.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GR-UF-01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OOO UCHQIZIL FRUITS EXPORT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74" t="str">
        <f>+Инвойс!A6</f>
        <v>РЕСПУБЛИКА УЗБЕКИСТАН. СУРХАНДАРЬИНСКАЯ ОБЛАСТЬ,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4" t="str">
        <f>+Инвойс!A7</f>
        <v>ТЕРМИЗСКИЙ РАЙОН,ЯНГИХАЯТ МФЙ, УЛИЦА БОГИ ШАМОЛ, 20-А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4" t="str">
        <f>+Инвойс!A8</f>
        <v>в АКБ“KAPITAL BANK”  МФО: 01158  Swift: KACHUZ22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74" t="str">
        <f>+Инвойс!A9</f>
        <v>Доллар США: 20208840207293094001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4" t="str">
        <f>+Инвойс!A10</f>
        <v>Корреспондирующий банк (RUB): АКБ "Азия Инвест Банк" (АО) :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74" t="str">
        <f>+Инвойс!A11</f>
        <v>SWIFT:ASIJRUMM / БИК 044525234,</v>
      </c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OOO UCHQIZIL FRUITS EXPORT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74" t="str">
        <f>+Инвойс!A15</f>
        <v>РЕСПУБЛИКА УЗБЕКИСТАН. СУРХАНДАРЬИНСКАЯ ОБЛАСТЬ,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74" t="str">
        <f>+Инвойс!A16</f>
        <v>ТЕРМИЗСКИЙ РАЙОН,ЯНГИХАЯТ МФЙ, УЛИЦА БОГИ ШАМОЛ, 20-А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4" t="str">
        <f>+Инвойс!A17</f>
        <v>в АКБ“KAPITAL BANK”  МФО: 01158  Swift: KACHUZ22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74" t="str">
        <f>+Инвойс!A18</f>
        <v>Доллар США: 20208840207293094001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74" t="str">
        <f>+Инвойс!A19</f>
        <v>Корреспондирующий банк (RUB): АКБ "Азия Инвест Банк" (АО) :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74" t="str">
        <f>+Инвойс!A20</f>
        <v>SWIFT:ASIJRUMM / БИК 044525234,</v>
      </c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Казыгурт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40U608SB/402215CA</v>
      </c>
      <c r="F26" s="140"/>
      <c r="G26" s="140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1.2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920</v>
      </c>
      <c r="F30" s="116" t="str">
        <f>+Инвойс!F30</f>
        <v>кг</v>
      </c>
      <c r="G30" s="106">
        <f>+Инвойс!G30</f>
        <v>23100</v>
      </c>
      <c r="H30" s="106">
        <f>+Инвойс!H30</f>
        <v>21444</v>
      </c>
      <c r="I30" s="108">
        <f>+Инвойс!I30</f>
        <v>0.25</v>
      </c>
      <c r="J30" s="13">
        <f>+Инвойс!J30</f>
        <v>5361</v>
      </c>
      <c r="K30" s="12">
        <v>0</v>
      </c>
      <c r="L30" s="12">
        <v>0</v>
      </c>
      <c r="M30" s="13">
        <f>+Инвойс!M30</f>
        <v>5361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920</v>
      </c>
      <c r="F31" s="15"/>
      <c r="G31" s="64">
        <f>SUM(G30:G30)</f>
        <v>23100</v>
      </c>
      <c r="H31" s="64">
        <f>SUM(H30:H30)</f>
        <v>21444</v>
      </c>
      <c r="I31" s="102"/>
      <c r="J31" s="17">
        <f>SUM(J30:J30)</f>
        <v>5361</v>
      </c>
      <c r="K31" s="16"/>
      <c r="L31" s="16"/>
      <c r="M31" s="17">
        <f>SUM(M30:M30)</f>
        <v>5361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триста шестьдесят один доллар США,00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158</v>
      </c>
      <c r="B36" s="131"/>
      <c r="D36" s="18" t="str">
        <f>+Инвойс!D36</f>
        <v>ЭШТЕМИРОВ Х.Х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A12" sqref="A12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5361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шестьдесят один доллар США,00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45903</v>
      </c>
      <c r="O3" s="178"/>
      <c r="P3">
        <f ca="1">DAY(N3)</f>
        <v>3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триста шестьдесят один доллар США,00 центов. (в т.ч. НДС - 357,79)</v>
      </c>
      <c r="H4" s="32"/>
      <c r="I4" s="32"/>
      <c r="J4" s="32"/>
      <c r="K4" s="179" t="str">
        <f ca="1">CONCATENATE(" «  ",P3,"  »  ",Q3,"  ",R3," г.")</f>
        <v xml:space="preserve"> «  3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шестьдесят один доллар США,00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шестьдесят один доллар США,00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триста шестьдесят один доллар США,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45903</v>
      </c>
    </row>
    <row r="13" spans="1:19" s="43" customFormat="1" x14ac:dyDescent="0.25">
      <c r="A13" s="49"/>
      <c r="D13" s="51"/>
      <c r="E13" s="52">
        <f>TRUNC(E2)</f>
        <v>5361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5">
      <c r="A29" s="54">
        <f>E13</f>
        <v>5361</v>
      </c>
      <c r="B29" s="47">
        <f>TRUNC(RIGHT(A29))</f>
        <v>1</v>
      </c>
      <c r="C29" s="51">
        <f>IF(B28=1,B29+10,IF(B29=0,0,B29))</f>
        <v>1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один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361</v>
      </c>
      <c r="F30" s="43" t="str">
        <f>IF(E30+E26+E22+E18=0,"ноль долларов США,",IF(C29=1,"доллар США,",IF(OR(C29=2,C29=3,C29=4),"доллара США,","долларов США, ")))</f>
        <v>доллар США,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2025-09-03T13:09:17Z</cp:lastPrinted>
  <dcterms:created xsi:type="dcterms:W3CDTF">1996-10-14T23:33:28Z</dcterms:created>
  <dcterms:modified xsi:type="dcterms:W3CDTF">2025-09-03T13:09:34Z</dcterms:modified>
</cp:coreProperties>
</file>