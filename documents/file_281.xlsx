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C83EAE0-8AF9-4B37-A9A2-19CC52B9C2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7" i="7" l="1"/>
  <c r="H37" i="7" l="1"/>
  <c r="I31" i="4" l="1"/>
  <c r="G31" i="4"/>
  <c r="F31" i="4"/>
  <c r="B31" i="4"/>
  <c r="C31" i="4"/>
  <c r="D31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1" i="7" l="1"/>
  <c r="C30" i="7"/>
  <c r="A31" i="7"/>
  <c r="B31" i="7"/>
  <c r="D31" i="7"/>
  <c r="E31" i="7"/>
  <c r="F31" i="7"/>
  <c r="G31" i="7"/>
  <c r="H31" i="7"/>
  <c r="I31" i="7"/>
  <c r="I30" i="7"/>
  <c r="H30" i="7"/>
  <c r="F30" i="7"/>
  <c r="G30" i="7"/>
  <c r="E30" i="7"/>
  <c r="D30" i="7"/>
  <c r="B30" i="7"/>
  <c r="A30" i="7"/>
  <c r="E26" i="7"/>
  <c r="C24" i="7"/>
  <c r="F1" i="7"/>
  <c r="G32" i="7" l="1"/>
  <c r="E32" i="7"/>
  <c r="H32" i="7" l="1"/>
  <c r="E32" i="2" l="1"/>
  <c r="G32" i="2" l="1"/>
  <c r="H32" i="2"/>
  <c r="G21" i="5"/>
  <c r="G19" i="5"/>
  <c r="J21" i="5"/>
  <c r="F21" i="5"/>
  <c r="F20" i="5"/>
  <c r="F19" i="5"/>
  <c r="F18" i="5"/>
  <c r="J19" i="5"/>
  <c r="G30" i="4"/>
  <c r="G20" i="5"/>
  <c r="I30" i="4"/>
  <c r="F30" i="4"/>
  <c r="G18" i="5" s="1"/>
  <c r="D30" i="4"/>
  <c r="C30" i="4"/>
  <c r="B30" i="4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1" i="2"/>
  <c r="J30" i="2"/>
  <c r="M30" i="2" l="1"/>
  <c r="M30" i="7" s="1"/>
  <c r="J30" i="7"/>
  <c r="M31" i="2"/>
  <c r="M31" i="7" s="1"/>
  <c r="J31" i="7"/>
  <c r="J32" i="2"/>
  <c r="S3" i="3"/>
  <c r="S4" i="3"/>
  <c r="P3" i="3"/>
  <c r="R3" i="3"/>
  <c r="Q3" i="3" l="1"/>
  <c r="K4" i="3" s="1"/>
  <c r="J32" i="7"/>
  <c r="M32" i="7"/>
  <c r="M32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3" i="2" l="1"/>
  <c r="E3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<sst xmlns="http://schemas.openxmlformats.org/spreadsheetml/2006/main" count="217" uniqueCount="166">
  <si>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</si>
  <si>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</si>
  <si>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</si>
  <si>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</si>
  <si>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</si>
  <si>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</si>
  <si>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</si>
  <si>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</si>
  <si>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</si>
  <si>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</si>
  <si>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</si>
  <si>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</si>
  <si>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</si>
  <si>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</si>
  <si>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</si>
  <si>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</si>
  <si>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</si>
  <si>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</si>
  <si>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</si>
  <si>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</si>
  <si>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</si>
  <si>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</si>
  <si>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</si>
  <si>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</si>
  <si>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</si>
  <si>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</si>
  <si>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</si>
  <si>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</si>
  <si>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</si>
  <si>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</si>
  <si>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</si>
  <si>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</si>
  <si>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</si>
  <si>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</si>
  <si>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</si>
  <si>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</si>
  <si>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</si>
  <si>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</si>
  <si>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</si>
  <si>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</si>
  <si>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</si>
  <si>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</si>
  <si>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</si>
  <si>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</si>
  <si>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</si>
  <si>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</si>
  <si>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</si>
  <si>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</si>
  <si>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</si>
  <si>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</si>
  <si>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</si>
  <si>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</si>
  <si>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</si>
  <si>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</si>
  <si>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</si>
  <si>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</si>
  <si>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</si>
  <si>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</si>
  <si>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</si>
  <si>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</si>
  <si>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</si>
  <si>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</si>
  <si>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</si>
  <si>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</si>
  <si>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</si>
  <si>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</si>
  <si>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</si>
  <si>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</si>
  <si>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</si>
  <si>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</si>
  <si>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</si>
  <si>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</si>
  <si>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</si>
  <si>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</si>
  <si>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</si>
  <si>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</si>
  <si>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</si>
  <si>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</si>
  <si>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</si>
  <si>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</si>
  <si>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</si>
  <si>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</si>
  <si>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</si>
  <si>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</si>
  <si>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</si>
  <si>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</si>
  <si>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</si>
  <si>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</si>
  <si>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</si>
  <si>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</si>
  <si>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</si>
  <si>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</si>
  <si>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</si>
  <si>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</si>
  <si>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</si>
  <si>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</si>
  <si>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</si>
  <si>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</si>
  <si>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</si>
  <si>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</si>
  <si>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</si>
  <si>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</si>
  <si>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</si>
  <si>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</si>
  <si>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</si>
  <si>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</si>
  <si>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</si>
  <si>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</si>
  <si>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</si>
  <si>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</si>
  <si>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</si>
  <si>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</si>
  <si>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</si>
  <si>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</si>
  <si>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</si>
  <si>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</si>
  <si>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</si>
  <si>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</si>
  <si>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</si>
  <si>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</si>
  <si>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</si>
  <si>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</si>
  <si>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</si>
  <si>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</si>
  <si>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</si>
  <si>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</si>
  <si>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</si>
  <si>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</si>
  <si>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</si>
  <si>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</si>
  <si>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</si>
  <si>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</si>
  <si>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</si>
  <si>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</si>
  <si>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</si>
  <si>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</si>
  <si>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</si>
  <si>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</si>
  <si>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</si>
  <si>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</si>
  <si>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</si>
  <si>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</si>
  <si>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</si>
  <si>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</si>
  <si>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</si>
  <si>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</si>
  <si>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</si>
  <si>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</si>
  <si>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</si>
  <si>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</si>
  <si>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</si>
  <si>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</si>
  <si>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</si>
  <si>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</si>
  <si>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</si>
  <si>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</si>
  <si>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</si>
  <si>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</si>
  <si>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</si>
  <si>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</si>
  <si>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UFG-M-31 от </t>
  </si>
  <si>
    <t xml:space="preserve"> 30.08.2025г.</t>
  </si>
  <si>
    <t>50290HBA/500825BA</t>
  </si>
  <si>
    <t>-</t>
  </si>
  <si>
    <t>навалом</t>
  </si>
  <si>
    <t xml:space="preserve">СПЕЦИФИКАЦИЯ № UFG-M-31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</si>
</sst>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37</xdr:row>
      <xdr:rowOff>89647</xdr:rowOff>
    </xdr:from>
    <xdr:to>
      <xdr:col>4</xdr:col>
      <xdr:colOff>212668</xdr:colOff>
      <xdr:row>49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37</xdr:row>
      <xdr:rowOff>56029</xdr:rowOff>
    </xdr:from>
    <xdr:to>
      <xdr:col>3</xdr:col>
      <xdr:colOff>459195</xdr:colOff>
      <xdr:row>48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37</xdr:row>
      <xdr:rowOff>67235</xdr:rowOff>
    </xdr:from>
    <xdr:to>
      <xdr:col>9</xdr:col>
      <xdr:colOff>421901</xdr:colOff>
      <xdr:row>48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3"/>
  <sheetViews>
    <sheetView tabSelected="1" topLeftCell="A7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160</v>
      </c>
      <c r="D1" s="135"/>
      <c r="E1" s="135"/>
      <c r="F1" s="134" t="s">
        <v>161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152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153</v>
      </c>
      <c r="B5" s="136"/>
      <c r="C5" s="136"/>
      <c r="D5" s="136"/>
      <c r="E5" s="136"/>
      <c r="F5" s="6"/>
      <c r="G5" s="138" t="s">
        <v>140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148</v>
      </c>
      <c r="B6" s="143"/>
      <c r="C6" s="143"/>
      <c r="D6" s="143"/>
      <c r="E6" s="143"/>
      <c r="F6" s="7"/>
      <c r="G6" s="140" t="s">
        <v>141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154</v>
      </c>
      <c r="B7" s="143"/>
      <c r="C7" s="143"/>
      <c r="D7" s="143"/>
      <c r="E7" s="143"/>
      <c r="F7" s="63"/>
      <c r="G7" s="140" t="s">
        <v>142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149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155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150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151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39" t="s">
        <v>146</v>
      </c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153</v>
      </c>
      <c r="B14" s="136"/>
      <c r="C14" s="136"/>
      <c r="D14" s="136"/>
      <c r="E14" s="136"/>
      <c r="F14" s="6"/>
      <c r="G14" s="138" t="s">
        <v>140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148</v>
      </c>
      <c r="B15" s="143"/>
      <c r="C15" s="143"/>
      <c r="D15" s="143"/>
      <c r="E15" s="143"/>
      <c r="F15" s="7"/>
      <c r="G15" s="140" t="s">
        <v>141</v>
      </c>
      <c r="H15" s="140"/>
      <c r="I15" s="140"/>
      <c r="J15" s="140"/>
      <c r="K15" s="140"/>
      <c r="L15" s="140"/>
      <c r="M15" s="140"/>
    </row>
    <row r="16" spans="1:15" ht="13.8" x14ac:dyDescent="0.25">
      <c r="A16" s="143" t="s">
        <v>154</v>
      </c>
      <c r="B16" s="143"/>
      <c r="C16" s="143"/>
      <c r="D16" s="143"/>
      <c r="E16" s="143"/>
      <c r="F16" s="63"/>
      <c r="G16" s="140" t="s">
        <v>142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149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155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150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151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156</v>
      </c>
      <c r="B21" s="8"/>
      <c r="C21" s="8"/>
      <c r="D21" s="8"/>
      <c r="E21" s="8"/>
      <c r="G21" s="139" t="s">
        <v>146</v>
      </c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4" t="s">
        <v>117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">
        <v>138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162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v>1</v>
      </c>
      <c r="B30" s="101" t="s">
        <v>126</v>
      </c>
      <c r="C30" s="107" t="s">
        <v>127</v>
      </c>
      <c r="D30" s="109" t="s">
        <v>112</v>
      </c>
      <c r="E30" s="101">
        <v>833</v>
      </c>
      <c r="F30" s="110" t="s">
        <v>27</v>
      </c>
      <c r="G30" s="106">
        <v>19320</v>
      </c>
      <c r="H30" s="106">
        <v>17821</v>
      </c>
      <c r="I30" s="108">
        <v>0.25</v>
      </c>
      <c r="J30" s="13">
        <f t="shared" ref="J30:J31" si="0">H30*I30</f>
        <v>4455.25</v>
      </c>
      <c r="K30" s="12">
        <v>0</v>
      </c>
      <c r="L30" s="12">
        <v>0</v>
      </c>
      <c r="M30" s="13">
        <f t="shared" ref="M30:M31" si="1">J30</f>
        <v>4455.25</v>
      </c>
      <c r="O30" s="100"/>
      <c r="Q30" s="100"/>
    </row>
    <row r="31" spans="1:17" ht="13.8" x14ac:dyDescent="0.25">
      <c r="A31" s="127">
        <v>2</v>
      </c>
      <c r="B31" s="101" t="s">
        <v>126</v>
      </c>
      <c r="C31" s="107" t="s">
        <v>127</v>
      </c>
      <c r="D31" s="109" t="s">
        <v>164</v>
      </c>
      <c r="E31" s="101" t="s">
        <v>163</v>
      </c>
      <c r="F31" s="116" t="s">
        <v>27</v>
      </c>
      <c r="G31" s="106">
        <v>3180</v>
      </c>
      <c r="H31" s="106">
        <v>3180</v>
      </c>
      <c r="I31" s="108">
        <v>0.25</v>
      </c>
      <c r="J31" s="13">
        <f t="shared" si="0"/>
        <v>795</v>
      </c>
      <c r="K31" s="12">
        <v>0</v>
      </c>
      <c r="L31" s="12">
        <v>0</v>
      </c>
      <c r="M31" s="13">
        <f t="shared" si="1"/>
        <v>795</v>
      </c>
      <c r="O31" s="100"/>
      <c r="Q31" s="100"/>
    </row>
    <row r="32" spans="1:17" ht="13.8" x14ac:dyDescent="0.25">
      <c r="A32" s="150" t="s">
        <v>0</v>
      </c>
      <c r="B32" s="151"/>
      <c r="C32" s="14"/>
      <c r="D32" s="15"/>
      <c r="E32" s="64">
        <f>SUM(E30:E31)</f>
        <v>833</v>
      </c>
      <c r="F32" s="15"/>
      <c r="G32" s="64">
        <f>SUM(G30:G31)</f>
        <v>22500</v>
      </c>
      <c r="H32" s="64">
        <f>SUM(H30:H31)</f>
        <v>21001</v>
      </c>
      <c r="I32" s="102"/>
      <c r="J32" s="17">
        <f>SUM(J30:J31)</f>
        <v>5250.25</v>
      </c>
      <c r="K32" s="16"/>
      <c r="L32" s="16"/>
      <c r="M32" s="17">
        <f>SUM(M30:M31)</f>
        <v>5250.25</v>
      </c>
      <c r="P32" s="66"/>
    </row>
    <row r="33" spans="1:14" ht="13.8" x14ac:dyDescent="0.3">
      <c r="A33" s="2" t="s">
        <v>17</v>
      </c>
      <c r="B33" s="3"/>
      <c r="C33" s="11"/>
      <c r="D33" s="11"/>
      <c r="E33" s="146" t="str">
        <f>Лист1!B3</f>
        <v>Пять тысяч двести пятьдесят долларов США, 25 центов.</v>
      </c>
      <c r="F33" s="147"/>
      <c r="G33" s="147"/>
      <c r="H33" s="147"/>
      <c r="I33" s="147"/>
      <c r="J33" s="147"/>
      <c r="K33" s="147"/>
      <c r="L33" s="147"/>
      <c r="M33" s="147"/>
    </row>
    <row r="34" spans="1:14" ht="20.2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</row>
    <row r="35" spans="1:14" ht="25.5" customHeight="1" x14ac:dyDescent="0.25">
      <c r="A35" s="144" t="s">
        <v>109</v>
      </c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26"/>
    </row>
    <row r="37" spans="1:14" ht="13.8" x14ac:dyDescent="0.25">
      <c r="A37" s="7" t="s">
        <v>28</v>
      </c>
      <c r="B37" s="7"/>
      <c r="D37" s="25" t="s">
        <v>157</v>
      </c>
      <c r="E37" s="24"/>
    </row>
    <row r="38" spans="1:14" ht="13.8" x14ac:dyDescent="0.25">
      <c r="A38" s="7"/>
      <c r="B38" s="9"/>
    </row>
    <row r="39" spans="1:14" ht="13.8" x14ac:dyDescent="0.25">
      <c r="A39" s="7" t="s">
        <v>18</v>
      </c>
      <c r="B39" s="9"/>
    </row>
    <row r="40" spans="1:14" ht="13.8" x14ac:dyDescent="0.25">
      <c r="A40" s="7"/>
      <c r="B40" s="9"/>
    </row>
    <row r="41" spans="1:14" ht="13.8" x14ac:dyDescent="0.25">
      <c r="A41" s="7" t="s">
        <v>29</v>
      </c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5:M35"/>
    <mergeCell ref="G15:M15"/>
    <mergeCell ref="G13:M13"/>
    <mergeCell ref="G14:M14"/>
    <mergeCell ref="E33:M33"/>
    <mergeCell ref="E28:E29"/>
    <mergeCell ref="C28:C29"/>
    <mergeCell ref="D28:D29"/>
    <mergeCell ref="A34:M34"/>
    <mergeCell ref="A32:B32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K40" sqref="K40:L42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30.08.2025г.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UFG-M-31 от  30.08.2025г.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833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19320</v>
      </c>
    </row>
    <row r="31" spans="1:9" ht="9" customHeight="1" x14ac:dyDescent="0.2">
      <c r="A31" s="74"/>
      <c r="B31" s="103">
        <f>+Инвойс!A31</f>
        <v>2</v>
      </c>
      <c r="C31" s="103" t="str">
        <f>+Инвойс!E31</f>
        <v>-</v>
      </c>
      <c r="D31" s="103" t="str">
        <f>+Инвойс!D31</f>
        <v>навалом</v>
      </c>
      <c r="E31" s="103"/>
      <c r="F31" s="103" t="str">
        <f>+Инвойс!B31</f>
        <v>Дыни свежие</v>
      </c>
      <c r="G31" s="104" t="str">
        <f>+Инвойс!C31</f>
        <v>0807190001</v>
      </c>
      <c r="H31" s="103"/>
      <c r="I31" s="105">
        <f>+Инвойс!G31</f>
        <v>3180</v>
      </c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"Легион Сибирь Плюс" 10609030 - т/п Новосибирский западный 630052, Новосибирская обл., г. Новосибирск, ул. Толмачевская, д. 1/1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30.08.2025г.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50290HBA/500825BA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D46" sqref="D46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50290HBA/500825BA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30.08.2025г.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UFG-M-31 от  30.08.2025г.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833</v>
      </c>
      <c r="G18" s="167" t="str">
        <f>+CMR!F30</f>
        <v>Дыни свежие</v>
      </c>
      <c r="H18" s="167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19320</v>
      </c>
    </row>
    <row r="20" spans="2:10" ht="13.5" customHeight="1" x14ac:dyDescent="0.3">
      <c r="B20" s="83"/>
      <c r="E20" s="123"/>
      <c r="F20" s="118" t="str">
        <f>+Инвойс!E31</f>
        <v>-</v>
      </c>
      <c r="G20" s="167" t="str">
        <f>+CMR!F31</f>
        <v>Дыни свежие</v>
      </c>
      <c r="H20" s="167"/>
      <c r="I20" s="119"/>
      <c r="J20" s="120"/>
    </row>
    <row r="21" spans="2:10" ht="13.5" customHeight="1" x14ac:dyDescent="0.3">
      <c r="B21" s="83" t="s">
        <v>104</v>
      </c>
      <c r="E21" s="123"/>
      <c r="F21" s="121" t="str">
        <f>+Инвойс!D31</f>
        <v>навалом</v>
      </c>
      <c r="G21" s="161" t="str">
        <f>+Инвойс!C31</f>
        <v>0807190001</v>
      </c>
      <c r="H21" s="162"/>
      <c r="I21" s="122" t="s">
        <v>103</v>
      </c>
      <c r="J21" s="120">
        <f>+Инвойс!G31</f>
        <v>3180</v>
      </c>
    </row>
    <row r="22" spans="2:10" ht="12.75" customHeight="1" x14ac:dyDescent="0.3">
      <c r="B22" s="83"/>
      <c r="E22" s="123"/>
      <c r="F22" s="118"/>
      <c r="G22" s="167"/>
      <c r="H22" s="167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7"/>
      <c r="H24" s="167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7"/>
      <c r="H26" s="167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7"/>
      <c r="H28" s="167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7"/>
      <c r="H30" s="167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7"/>
      <c r="H32" s="167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7"/>
      <c r="H34" s="167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7"/>
      <c r="H36" s="167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7"/>
      <c r="H38" s="167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7"/>
      <c r="H42" s="167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9"/>
      <c r="H44" s="169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>
        <v>833</v>
      </c>
      <c r="E47" s="143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3"/>
  <sheetViews>
    <sheetView topLeftCell="A7" zoomScale="85" zoomScaleNormal="85" workbookViewId="0">
      <selection activeCell="D33" sqref="D3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165</v>
      </c>
      <c r="C1" s="174"/>
      <c r="D1" s="174"/>
      <c r="E1" s="174"/>
      <c r="F1" s="134" t="str">
        <f>+Инвойс!F1</f>
        <v xml:space="preserve"> 30.08.2025г.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GR-UF-01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OOO UCHQIZIL FRUITS EXPORT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3.8" x14ac:dyDescent="0.25">
      <c r="A6" s="172" t="str">
        <f>+Инвойс!A6</f>
        <v>РЕСПУБЛИКА УЗБЕКИСТАН. СУРХАНДАРЬИНСКАЯ ОБЛАСТЬ,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72" t="str">
        <f>+Инвойс!A7</f>
        <v>ТЕРМИЗСКИЙ РАЙОН,ЯНГИХАЯТ МФЙ, УЛИЦА БОГИ ШАМОЛ, 20-А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>в АКБ“KAPITAL BANK”  МФО: 01158  Swift: KACHUZ22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72" t="str">
        <f>+Инвойс!A9</f>
        <v>Доллар США: 20208840207293094001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72" t="str">
        <f>+Инвойс!A10</f>
        <v>Корреспондирующий банк (RUB): АКБ "Азия Инвест Банк" (АО) :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72" t="str">
        <f>+Инвойс!A11</f>
        <v>SWIFT:ASIJRUMM / БИК 044525234,</v>
      </c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OOO UCHQIZIL FRUITS EXPORT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72" t="str">
        <f>+Инвойс!A15</f>
        <v>РЕСПУБЛИКА УЗБЕКИСТАН. СУРХАНДАРЬИНСКАЯ ОБЛАСТЬ,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72" t="str">
        <f>+Инвойс!A16</f>
        <v>ТЕРМИЗСКИЙ РАЙОН,ЯНГИХАЯТ МФЙ, УЛИЦА БОГИ ШАМОЛ, 20-А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>в АКБ“KAPITAL BANK”  МФО: 01158  Swift: KACHUZ22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72" t="str">
        <f>+Инвойс!A18</f>
        <v>Доллар США: 20208840207293094001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72" t="str">
        <f>+Инвойс!A19</f>
        <v>Корреспондирующий банк (RUB): АКБ "Азия Инвест Банк" (АО) :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72" t="str">
        <f>+Инвойс!A20</f>
        <v>SWIFT:ASIJRUMM / БИК 044525234,</v>
      </c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50290HBA/500825BA</v>
      </c>
      <c r="F26" s="156"/>
      <c r="G26" s="156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833</v>
      </c>
      <c r="F30" s="116" t="str">
        <f>+Инвойс!F30</f>
        <v>кг</v>
      </c>
      <c r="G30" s="106">
        <f>+Инвойс!G30</f>
        <v>19320</v>
      </c>
      <c r="H30" s="106">
        <f>+Инвойс!H30</f>
        <v>17821</v>
      </c>
      <c r="I30" s="108">
        <f>+Инвойс!I30</f>
        <v>0.25</v>
      </c>
      <c r="J30" s="13">
        <f>+Инвойс!J30</f>
        <v>4455.25</v>
      </c>
      <c r="K30" s="12">
        <v>0</v>
      </c>
      <c r="L30" s="12">
        <v>0</v>
      </c>
      <c r="M30" s="13">
        <f>+Инвойс!M30</f>
        <v>4455.25</v>
      </c>
      <c r="O30" s="100"/>
      <c r="Q30" s="100"/>
    </row>
    <row r="31" spans="1:17" ht="13.8" x14ac:dyDescent="0.25">
      <c r="A31" s="127">
        <f>+Инвойс!A31</f>
        <v>2</v>
      </c>
      <c r="B31" s="101" t="str">
        <f>+Инвойс!B31</f>
        <v>Дыни свежие</v>
      </c>
      <c r="C31" s="107" t="str">
        <f>+Инвойс!C31</f>
        <v>0807190001</v>
      </c>
      <c r="D31" s="115" t="str">
        <f>+Инвойс!D31</f>
        <v>навалом</v>
      </c>
      <c r="E31" s="101" t="str">
        <f>+Инвойс!E31</f>
        <v>-</v>
      </c>
      <c r="F31" s="116" t="str">
        <f>+Инвойс!F31</f>
        <v>кг</v>
      </c>
      <c r="G31" s="106">
        <f>+Инвойс!G31</f>
        <v>3180</v>
      </c>
      <c r="H31" s="106">
        <f>+Инвойс!H31</f>
        <v>3180</v>
      </c>
      <c r="I31" s="108">
        <f>+Инвойс!I31</f>
        <v>0.25</v>
      </c>
      <c r="J31" s="13">
        <f>+Инвойс!J31</f>
        <v>795</v>
      </c>
      <c r="K31" s="12">
        <v>0</v>
      </c>
      <c r="L31" s="12">
        <v>0</v>
      </c>
      <c r="M31" s="13">
        <f>+Инвойс!M31</f>
        <v>795</v>
      </c>
      <c r="O31" s="100"/>
      <c r="Q31" s="100"/>
    </row>
    <row r="32" spans="1:17" ht="13.8" x14ac:dyDescent="0.25">
      <c r="A32" s="150" t="s">
        <v>0</v>
      </c>
      <c r="B32" s="151"/>
      <c r="C32" s="14"/>
      <c r="D32" s="15"/>
      <c r="E32" s="64">
        <f>SUM(E30:E31)</f>
        <v>833</v>
      </c>
      <c r="F32" s="15"/>
      <c r="G32" s="64">
        <f>SUM(G30:G31)</f>
        <v>22500</v>
      </c>
      <c r="H32" s="64">
        <f>SUM(H30:H31)</f>
        <v>21001</v>
      </c>
      <c r="I32" s="102"/>
      <c r="J32" s="17">
        <f>SUM(J30:J31)</f>
        <v>5250.25</v>
      </c>
      <c r="K32" s="16"/>
      <c r="L32" s="16"/>
      <c r="M32" s="17">
        <f>SUM(M30:M31)</f>
        <v>5250.25</v>
      </c>
      <c r="P32" s="66"/>
    </row>
    <row r="33" spans="1:14" ht="13.8" x14ac:dyDescent="0.3">
      <c r="A33" s="2" t="s">
        <v>17</v>
      </c>
      <c r="B33" s="3"/>
      <c r="C33" s="11"/>
      <c r="D33" s="11"/>
      <c r="E33" s="146" t="str">
        <f>Лист1!B3</f>
        <v>Пять тысяч двести пятьдесят долларов США, 25 центов.</v>
      </c>
      <c r="F33" s="147"/>
      <c r="G33" s="147"/>
      <c r="H33" s="147"/>
      <c r="I33" s="147"/>
      <c r="J33" s="147"/>
      <c r="K33" s="147"/>
      <c r="L33" s="147"/>
      <c r="M33" s="147"/>
    </row>
    <row r="34" spans="1:14" ht="20.2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</row>
    <row r="35" spans="1:14" ht="25.5" customHeight="1" x14ac:dyDescent="0.25">
      <c r="A35" s="144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26"/>
    </row>
    <row r="37" spans="1:14" s="18" customFormat="1" ht="15.6" x14ac:dyDescent="0.3">
      <c r="A37" s="131" t="s">
        <v>158</v>
      </c>
      <c r="B37" s="131"/>
      <c r="D37" s="18" t="str">
        <f>+Инвойс!D37</f>
        <v>ЭШТЕМИРОВ Х.Х</v>
      </c>
      <c r="E37" s="132"/>
      <c r="G37" s="129" t="s">
        <v>130</v>
      </c>
      <c r="H37" s="18" t="str">
        <f>Инвойс!G5</f>
        <v>ООО «ГРИН ВОРЛД»</v>
      </c>
      <c r="K37" s="133" t="s">
        <v>147</v>
      </c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7"/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4:M34"/>
    <mergeCell ref="A35:M35"/>
    <mergeCell ref="G28:H28"/>
    <mergeCell ref="I28:I29"/>
    <mergeCell ref="K28:L28"/>
    <mergeCell ref="M28:M29"/>
    <mergeCell ref="A32:B32"/>
    <mergeCell ref="E33:M33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128</v>
      </c>
    </row>
    <row r="5" spans="1:10" ht="39.6" x14ac:dyDescent="0.25">
      <c r="A5" s="126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6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6" t="s">
        <v>119</v>
      </c>
    </row>
    <row r="10" spans="1:10" x14ac:dyDescent="0.25">
      <c r="A10" s="126"/>
      <c r="E10" s="18" t="s">
        <v>134</v>
      </c>
      <c r="J10" s="25" t="s">
        <v>135</v>
      </c>
    </row>
    <row r="11" spans="1:10" ht="52.8" x14ac:dyDescent="0.25">
      <c r="A11" s="126" t="s">
        <v>159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6" t="s">
        <v>120</v>
      </c>
    </row>
    <row r="15" spans="1:10" ht="39.6" x14ac:dyDescent="0.25">
      <c r="A15" s="126" t="s">
        <v>121</v>
      </c>
    </row>
    <row r="17" spans="1:1" ht="39.6" x14ac:dyDescent="0.25">
      <c r="A17" s="126" t="s">
        <v>122</v>
      </c>
    </row>
    <row r="19" spans="1:1" ht="39.6" x14ac:dyDescent="0.25">
      <c r="A19" s="128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Инвойс!M32</f>
        <v>5250.25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двести пятьдесят долларов США, 25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45899</v>
      </c>
      <c r="O3" s="178"/>
      <c r="P3">
        <f ca="1">DAY(N3)</f>
        <v>30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двести пятьдесят долларов США, 25 центов. (в т.ч. НДС - 357,79)</v>
      </c>
      <c r="H4" s="32"/>
      <c r="I4" s="32"/>
      <c r="J4" s="32"/>
      <c r="K4" s="179" t="str">
        <f ca="1">CONCATENATE(" «  ",P3,"  »  ",Q3,"  ",R3," г.")</f>
        <v xml:space="preserve"> «  30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двести пятьдесят долларов США, 25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двести пятьдесят долларов США, 25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пятьдесят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25 центов.</v>
      </c>
      <c r="D12" s="47"/>
      <c r="E12" s="48"/>
      <c r="M12" s="50">
        <f ca="1">TODAY()</f>
        <v>45899</v>
      </c>
    </row>
    <row r="13" spans="1:19" s="43" customFormat="1" x14ac:dyDescent="0.25">
      <c r="A13" s="49"/>
      <c r="D13" s="51"/>
      <c r="E13" s="52">
        <f>TRUNC(E2)</f>
        <v>5250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525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5">
      <c r="A29" s="54">
        <f>E13</f>
        <v>5250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250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25</v>
      </c>
      <c r="C31" s="59">
        <f>TRUNC(A31/10)</f>
        <v>2</v>
      </c>
      <c r="E31" s="56" t="str">
        <f>IF(OR(C31=1,C31=0),"",IF(C31=2,E35,IF(C31=3,E36,IF(C31=4,E37,IF(C31=5,E38,IF(C31=6,E39,IF(C31=7,E40,IF(C31=8,E41,E42))))))))</f>
        <v xml:space="preserve">двадцать </v>
      </c>
      <c r="H31" s="47"/>
    </row>
    <row r="32" spans="1:9" s="43" customFormat="1" x14ac:dyDescent="0.25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2025-08-30T05:56:18Z</cp:lastPrinted>
  <dcterms:created xsi:type="dcterms:W3CDTF">1996-10-14T23:33:28Z</dcterms:created>
  <dcterms:modified xsi:type="dcterms:W3CDTF">2025-08-30T05:57:15Z</dcterms:modified>
</cp:coreProperties>
</file>