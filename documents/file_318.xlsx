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536B7F0-AF57-4974-9EFB-4240708A35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<sst xmlns="http://schemas.openxmlformats.org/spreadsheetml/2006/main" count="209" uniqueCount="163">
  <si>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</si>
  <si>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</si>
  <si>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</si>
  <si>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</si>
  <si>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</si>
  <si>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</si>
  <si>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</si>
  <si>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</si>
  <si>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</si>
  <si>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</si>
  <si>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</si>
  <si>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</si>
  <si>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</si>
  <si>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</si>
  <si>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</si>
  <si>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</si>
  <si>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</si>
  <si>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</si>
  <si>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</si>
  <si>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</si>
  <si>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</si>
  <si>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</si>
  <si>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</si>
  <si>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</si>
  <si>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</si>
  <si>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</si>
  <si>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</si>
  <si>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</si>
  <si>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</si>
  <si>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</si>
  <si>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</si>
  <si>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</si>
  <si>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</si>
  <si>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</si>
  <si>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</si>
  <si>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</si>
  <si>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</si>
  <si>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</si>
  <si>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</si>
  <si>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</si>
  <si>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</si>
  <si>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</si>
  <si>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</si>
  <si>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</si>
  <si>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</si>
  <si>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</si>
  <si>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</si>
  <si>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</si>
  <si>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</si>
  <si>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</si>
  <si>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</si>
  <si>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</si>
  <si>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</si>
  <si>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</si>
  <si>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</si>
  <si>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</si>
  <si>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</si>
  <si>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</si>
  <si>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</si>
  <si>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</si>
  <si>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</si>
  <si>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</si>
  <si>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</si>
  <si>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</si>
  <si>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</si>
  <si>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</si>
  <si>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</si>
  <si>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</si>
  <si>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</si>
  <si>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</si>
  <si>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</si>
  <si>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</si>
  <si>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</si>
  <si>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</si>
  <si>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</si>
  <si>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</si>
  <si>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</si>
  <si>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</si>
  <si>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</si>
  <si>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</si>
  <si>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</si>
  <si>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</si>
  <si>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</si>
  <si>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</si>
  <si>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</si>
  <si>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</si>
  <si>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</si>
  <si>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</si>
  <si>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</si>
  <si>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</si>
  <si>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</si>
  <si>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</si>
  <si>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</si>
  <si>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</si>
  <si>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</si>
  <si>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</si>
  <si>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</si>
  <si>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</si>
  <si>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</si>
  <si>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</si>
  <si>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</si>
  <si>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</si>
  <si>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</si>
  <si>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</si>
  <si>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</si>
  <si>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</si>
  <si>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</si>
  <si>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</si>
  <si>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</si>
  <si>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</si>
  <si>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</si>
  <si>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</si>
  <si>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</si>
  <si>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</si>
  <si>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</si>
  <si>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</si>
  <si>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</si>
  <si>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</si>
  <si>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</si>
  <si>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</si>
  <si>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</si>
  <si>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</si>
  <si>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</si>
  <si>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</si>
  <si>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</si>
  <si>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</si>
  <si>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</si>
  <si>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</si>
  <si>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</si>
  <si>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</si>
  <si>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</si>
  <si>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</si>
  <si>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</si>
  <si>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</si>
  <si>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</si>
  <si>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</si>
  <si>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</si>
  <si>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</si>
  <si>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</si>
  <si>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</si>
  <si>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</si>
  <si>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</si>
  <si>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</si>
  <si>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</si>
  <si>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</si>
  <si>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</si>
  <si>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</si>
  <si>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</si>
  <si>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</si>
  <si>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</si>
  <si>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</si>
  <si>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</si>
  <si>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</si>
  <si>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</si>
  <si>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</si>
  <si>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</si>
  <si>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</si>
  <si>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</si>
  <si>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</si>
  <si>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 xml:space="preserve"> 31.08.2025г.</t>
  </si>
  <si>
    <t xml:space="preserve">ИНВОЙС № GWG-N-1 от </t>
  </si>
  <si>
    <t>40630TBA/400334AA</t>
  </si>
  <si>
    <t xml:space="preserve">СПЕЦИФИКАЦИЯ № GWG-N-1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</si>
</sst>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160</v>
      </c>
      <c r="D1" s="136"/>
      <c r="E1" s="136"/>
      <c r="F1" s="135" t="s">
        <v>159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150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149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151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152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149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151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152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121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980</v>
      </c>
      <c r="F30" s="110" t="s">
        <v>27</v>
      </c>
      <c r="G30" s="106">
        <v>21000</v>
      </c>
      <c r="H30" s="106">
        <v>19236</v>
      </c>
      <c r="I30" s="108">
        <v>0.25</v>
      </c>
      <c r="J30" s="13">
        <f t="shared" ref="J30" si="0">H30*I30</f>
        <v>4809</v>
      </c>
      <c r="K30" s="12">
        <v>0</v>
      </c>
      <c r="L30" s="12">
        <v>0</v>
      </c>
      <c r="M30" s="13">
        <f t="shared" ref="M30" si="1">J30</f>
        <v>4809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21000</v>
      </c>
      <c r="H31" s="64">
        <f>SUM(H30:H30)</f>
        <v>19236</v>
      </c>
      <c r="I31" s="102"/>
      <c r="J31" s="17">
        <f>SUM(J30:J30)</f>
        <v>4809</v>
      </c>
      <c r="K31" s="16"/>
      <c r="L31" s="16"/>
      <c r="M31" s="17">
        <f>SUM(M30:M30)</f>
        <v>4809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восемьсот девять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GWG-N-1 от  31.08.2025г.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"ОМАС" 10610050 - т/п Омский 
644117, Омская обл., г. Омск, ул. 3-я Молодежная, д. 6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31.08.2025г.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40630TBA/400334AA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G21" sqref="G21:H2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40630TBA/400334AA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GWG-N-1 от  31.08.2025г.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21000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980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5" zoomScale="85" zoomScaleNormal="85" workbookViewId="0">
      <selection activeCell="B35" sqref="B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5" t="str">
        <f>+Инвойс!F1</f>
        <v xml:space="preserve"> 31.08.2025г.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40630TBA/400334AA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9.4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21000</v>
      </c>
      <c r="H30" s="106">
        <f>+Инвойс!H30</f>
        <v>19236</v>
      </c>
      <c r="I30" s="108">
        <f>+Инвойс!I30</f>
        <v>0.25</v>
      </c>
      <c r="J30" s="13">
        <f>+Инвойс!J30</f>
        <v>4809</v>
      </c>
      <c r="K30" s="12">
        <v>0</v>
      </c>
      <c r="L30" s="12">
        <v>0</v>
      </c>
      <c r="M30" s="13">
        <f>+Инвойс!M30</f>
        <v>4809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21000</v>
      </c>
      <c r="H31" s="64">
        <f>SUM(H30:H30)</f>
        <v>19236</v>
      </c>
      <c r="I31" s="102"/>
      <c r="J31" s="17">
        <f>SUM(J30:J30)</f>
        <v>4809</v>
      </c>
      <c r="K31" s="16"/>
      <c r="L31" s="16"/>
      <c r="M31" s="17">
        <f>SUM(M30:M30)</f>
        <v>4809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восемьсот девять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158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146</v>
      </c>
    </row>
    <row r="12" spans="1:10" x14ac:dyDescent="0.25">
      <c r="E12" s="18" t="s">
        <v>147</v>
      </c>
      <c r="J12" s="25" t="s">
        <v>148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4809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восемьсот девять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восемьсот девять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восемьсот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восемьсот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восемьсот девять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4809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5">
      <c r="A28" s="54">
        <f>TRUNC(A29/10)</f>
        <v>480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4809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809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2025-08-31T10:29:46Z</cp:lastPrinted>
  <dcterms:created xsi:type="dcterms:W3CDTF">1996-10-14T23:33:28Z</dcterms:created>
  <dcterms:modified xsi:type="dcterms:W3CDTF">2025-08-31T10:30:05Z</dcterms:modified>
</cp:coreProperties>
</file>