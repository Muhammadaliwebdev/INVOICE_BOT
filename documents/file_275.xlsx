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CC2171E-1840-4A3D-A053-11A8D69E4E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<sst xmlns="http://schemas.openxmlformats.org/spreadsheetml/2006/main" count="209" uniqueCount="163">
  <si>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</si>
  <si>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</si>
  <si>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</si>
  <si>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</si>
  <si>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</si>
  <si>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</si>
  <si>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</si>
  <si>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</si>
  <si>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</si>
  <si>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</si>
  <si>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</si>
  <si>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</si>
  <si>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</si>
  <si>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</si>
  <si>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</si>
  <si>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</si>
  <si>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</si>
  <si>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</si>
  <si>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</si>
  <si>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</si>
  <si>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</si>
  <si>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</si>
  <si>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</si>
  <si>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</si>
  <si>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</si>
  <si>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</si>
  <si>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</si>
  <si>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</si>
  <si>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</si>
  <si>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</si>
  <si>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</si>
  <si>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</si>
  <si>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</si>
  <si>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</si>
  <si>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</si>
  <si>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</si>
  <si>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</si>
  <si>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</si>
  <si>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</si>
  <si>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</si>
  <si>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</si>
  <si>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</si>
  <si>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</si>
  <si>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</si>
  <si>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</si>
  <si>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</si>
  <si>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</si>
  <si>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</si>
  <si>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</si>
  <si>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</si>
  <si>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</si>
  <si>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</si>
  <si>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</si>
  <si>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</si>
  <si>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</si>
  <si>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</si>
  <si>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</si>
  <si>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</si>
  <si>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</si>
  <si>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</si>
  <si>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</si>
  <si>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</si>
  <si>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</si>
  <si>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</si>
  <si>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</si>
  <si>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</si>
  <si>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</si>
  <si>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</si>
  <si>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</si>
  <si>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</si>
  <si>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</si>
  <si>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</si>
  <si>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</si>
  <si>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</si>
  <si>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</si>
  <si>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</si>
  <si>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</si>
  <si>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</si>
  <si>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</si>
  <si>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</si>
  <si>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</si>
  <si>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</si>
  <si>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</si>
  <si>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</si>
  <si>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</si>
  <si>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</si>
  <si>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</si>
  <si>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</si>
  <si>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</si>
  <si>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</si>
  <si>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</si>
  <si>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</si>
  <si>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</si>
  <si>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</si>
  <si>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</si>
  <si>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</si>
  <si>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</si>
  <si>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</si>
  <si>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</si>
  <si>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</si>
  <si>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</si>
  <si>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</si>
  <si>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</si>
  <si>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</si>
  <si>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</si>
  <si>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</si>
  <si>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</si>
  <si>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</si>
  <si>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</si>
  <si>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</si>
  <si>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</si>
  <si>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</si>
  <si>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</si>
  <si>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</si>
  <si>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</si>
  <si>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</si>
  <si>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</si>
  <si>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</si>
  <si>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</si>
  <si>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</si>
  <si>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</si>
  <si>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</si>
  <si>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</si>
  <si>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</si>
  <si>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</si>
  <si>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</si>
  <si>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</si>
  <si>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</si>
  <si>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</si>
  <si>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</si>
  <si>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</si>
  <si>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</si>
  <si>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</si>
  <si>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</si>
  <si>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</si>
  <si>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</si>
  <si>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</si>
  <si>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</si>
  <si>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</si>
  <si>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</si>
  <si>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</si>
  <si>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</si>
  <si>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</si>
  <si>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</si>
  <si>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</si>
  <si>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</si>
  <si>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</si>
  <si>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</si>
  <si>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</si>
  <si>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>к контракту № GR-POL-01 от 22.08.2025 года</t>
  </si>
  <si>
    <t>ООО «POLARIUM»</t>
  </si>
  <si>
    <t>Республика Узбекистан. Ташкентская область, Бекабадский район,</t>
  </si>
  <si>
    <t>махалля Зафар, Гулистан МФЙ, улица Мустакиллик, дом 1</t>
  </si>
  <si>
    <t>в АКБ «TURON BANK» МФО 00446</t>
  </si>
  <si>
    <t>в/с: 20208840907287520001 (доллар США)</t>
  </si>
  <si>
    <t>SWIFT: TURONUZ22</t>
  </si>
  <si>
    <t>ИНН: 312302455</t>
  </si>
  <si>
    <t>Юнусов Х.Р</t>
  </si>
  <si>
    <t>Директор:  ООО «POLARIUM»</t>
  </si>
  <si>
    <t xml:space="preserve">ИНВОЙС № PLG-A-31 от </t>
  </si>
  <si>
    <t xml:space="preserve"> 29.08.2025г.</t>
  </si>
  <si>
    <t>10B445LB/106449BA</t>
  </si>
  <si>
    <t xml:space="preserve">СПЕЦИФИКАЦИЯ № PLG-A-31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</si>
</sst>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840441</xdr:colOff>
      <xdr:row>36</xdr:row>
      <xdr:rowOff>78442</xdr:rowOff>
    </xdr:from>
    <xdr:to>
      <xdr:col>4</xdr:col>
      <xdr:colOff>78441</xdr:colOff>
      <xdr:row>50</xdr:row>
      <xdr:rowOff>100669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EB4BA6-AA8D-423C-B195-6FEC8478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29" y="20226618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37</xdr:row>
      <xdr:rowOff>11208</xdr:rowOff>
    </xdr:from>
    <xdr:to>
      <xdr:col>5</xdr:col>
      <xdr:colOff>287992</xdr:colOff>
      <xdr:row>39</xdr:row>
      <xdr:rowOff>135033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D59B72-7957-4247-A881-58C11E5C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4" y="20349884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336176</xdr:colOff>
      <xdr:row>36</xdr:row>
      <xdr:rowOff>100853</xdr:rowOff>
    </xdr:from>
    <xdr:to>
      <xdr:col>9</xdr:col>
      <xdr:colOff>522754</xdr:colOff>
      <xdr:row>48</xdr:row>
      <xdr:rowOff>28106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21E113-14B2-44AF-B91C-0C8D29A6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735" y="19128441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123265</xdr:colOff>
      <xdr:row>36</xdr:row>
      <xdr:rowOff>56029</xdr:rowOff>
    </xdr:from>
    <xdr:to>
      <xdr:col>3</xdr:col>
      <xdr:colOff>89647</xdr:colOff>
      <xdr:row>50</xdr:row>
      <xdr:rowOff>78258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CC2D46-EF8F-4B76-AD2B-958ADCA4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83617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627532</xdr:colOff>
      <xdr:row>36</xdr:row>
      <xdr:rowOff>179295</xdr:rowOff>
    </xdr:from>
    <xdr:to>
      <xdr:col>4</xdr:col>
      <xdr:colOff>175934</xdr:colOff>
      <xdr:row>39</xdr:row>
      <xdr:rowOff>112621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55712B-E0E6-4F8F-8C0D-C0FDEA44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8" y="19206883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4" t="s">
        <v>159</v>
      </c>
      <c r="D1" s="154"/>
      <c r="E1" s="154"/>
      <c r="F1" s="153" t="s">
        <v>160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">
        <v>149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">
        <v>150</v>
      </c>
      <c r="B5" s="155"/>
      <c r="C5" s="155"/>
      <c r="D5" s="155"/>
      <c r="E5" s="155"/>
      <c r="F5" s="6"/>
      <c r="G5" s="148" t="s">
        <v>140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151</v>
      </c>
      <c r="B6" s="142"/>
      <c r="C6" s="142"/>
      <c r="D6" s="142"/>
      <c r="E6" s="142"/>
      <c r="F6" s="7"/>
      <c r="G6" s="141" t="s">
        <v>141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42" t="s">
        <v>152</v>
      </c>
      <c r="B7" s="142"/>
      <c r="C7" s="142"/>
      <c r="D7" s="142"/>
      <c r="E7" s="142"/>
      <c r="F7" s="63"/>
      <c r="G7" s="141" t="s">
        <v>142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154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155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156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4" t="s">
        <v>146</v>
      </c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">
        <v>150</v>
      </c>
      <c r="B14" s="155"/>
      <c r="C14" s="155"/>
      <c r="D14" s="155"/>
      <c r="E14" s="155"/>
      <c r="F14" s="6"/>
      <c r="G14" s="148" t="s">
        <v>140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">
        <v>151</v>
      </c>
      <c r="B15" s="142"/>
      <c r="C15" s="142"/>
      <c r="D15" s="142"/>
      <c r="E15" s="142"/>
      <c r="F15" s="7"/>
      <c r="G15" s="141" t="s">
        <v>141</v>
      </c>
      <c r="H15" s="141"/>
      <c r="I15" s="141"/>
      <c r="J15" s="141"/>
      <c r="K15" s="141"/>
      <c r="L15" s="141"/>
      <c r="M15" s="141"/>
    </row>
    <row r="16" spans="1:15" ht="13.8" x14ac:dyDescent="0.25">
      <c r="A16" s="142" t="s">
        <v>152</v>
      </c>
      <c r="B16" s="142"/>
      <c r="C16" s="142"/>
      <c r="D16" s="142"/>
      <c r="E16" s="142"/>
      <c r="F16" s="63"/>
      <c r="G16" s="141" t="s">
        <v>142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154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155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156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4" t="s">
        <v>146</v>
      </c>
      <c r="H21" s="144"/>
      <c r="I21" s="144"/>
      <c r="J21" s="144"/>
      <c r="K21" s="144"/>
      <c r="L21" s="144"/>
      <c r="M21" s="144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8" t="s">
        <v>116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">
        <v>138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161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950</v>
      </c>
      <c r="F30" s="110" t="s">
        <v>27</v>
      </c>
      <c r="G30" s="106">
        <v>22900</v>
      </c>
      <c r="H30" s="106">
        <v>21190</v>
      </c>
      <c r="I30" s="108">
        <v>0.25</v>
      </c>
      <c r="J30" s="13">
        <f t="shared" ref="J30" si="0">H30*I30</f>
        <v>5297.5</v>
      </c>
      <c r="K30" s="12">
        <v>0</v>
      </c>
      <c r="L30" s="12">
        <v>0</v>
      </c>
      <c r="M30" s="13">
        <f t="shared" ref="M30" si="1">J30</f>
        <v>5297.5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950</v>
      </c>
      <c r="F31" s="15"/>
      <c r="G31" s="64">
        <f>SUM(G30:G30)</f>
        <v>22900</v>
      </c>
      <c r="H31" s="64">
        <f>SUM(H30:H30)</f>
        <v>21190</v>
      </c>
      <c r="I31" s="102"/>
      <c r="J31" s="17">
        <f>SUM(J30:J30)</f>
        <v>5297.5</v>
      </c>
      <c r="K31" s="16"/>
      <c r="L31" s="16"/>
      <c r="M31" s="17">
        <f>SUM(M30:M30)</f>
        <v>5297.5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двести девяносто семь долларов США, 50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 t="s">
        <v>109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I41" sqref="I41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«POLARIUM»</v>
      </c>
    </row>
    <row r="3" spans="1:11" ht="11.25" customHeight="1" x14ac:dyDescent="0.2">
      <c r="B3" s="70" t="str">
        <f>+Инвойс!A6</f>
        <v>Республика Узбекистан. Ташкентская область, Бекабадский район,</v>
      </c>
    </row>
    <row r="4" spans="1:11" ht="11.25" customHeight="1" x14ac:dyDescent="0.2">
      <c r="B4" s="70" t="str">
        <f>+Инвойс!A7</f>
        <v>махалля Зафар, Гулистан МФЙ, улица Мустакиллик, дом 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29.08.2025г.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PLG-A-31 от  29.08.2025г.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22900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"Агротерминал-Таможня" 10606060 - т/п Красноярский 660131, Красноярский край, г. Красноярск, ул. Ястынская, д. 47, стр. 12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29.08.2025г.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10B445LB/106449BA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G29" sqref="G29:H29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8" t="s">
        <v>96</v>
      </c>
      <c r="C2" s="168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9" t="str">
        <f>+Инвойс!E26</f>
        <v>10B445LB/106449BA</v>
      </c>
      <c r="C14" s="169"/>
      <c r="D14" s="169"/>
      <c r="E14" s="169"/>
      <c r="F14" s="169"/>
      <c r="G14" s="169"/>
      <c r="H14" s="170" t="s">
        <v>107</v>
      </c>
      <c r="I14" s="170"/>
      <c r="J14" s="88" t="str">
        <f>+Инвойс!F1</f>
        <v xml:space="preserve"> 29.08.2025г.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1" t="str">
        <f>+CMR!B24</f>
        <v>ИНВОЙС № PLG-A-31 от  29.08.2025г.</v>
      </c>
      <c r="I15" s="171"/>
      <c r="J15" s="171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950</v>
      </c>
      <c r="G18" s="163" t="str">
        <f>+CMR!F30</f>
        <v>Дыни свежие</v>
      </c>
      <c r="H18" s="163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22900</v>
      </c>
    </row>
    <row r="20" spans="2:10" ht="13.5" customHeight="1" x14ac:dyDescent="0.3">
      <c r="B20" s="83"/>
      <c r="E20" s="123"/>
      <c r="F20" s="118"/>
      <c r="G20" s="163"/>
      <c r="H20" s="163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3"/>
      <c r="H22" s="163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3"/>
      <c r="H24" s="163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3"/>
      <c r="H26" s="163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3"/>
      <c r="H28" s="163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3"/>
      <c r="H30" s="163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3"/>
      <c r="H32" s="163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3"/>
      <c r="H34" s="163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3"/>
      <c r="H36" s="163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3"/>
      <c r="H38" s="163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3"/>
      <c r="H42" s="163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5"/>
      <c r="H44" s="165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f>+F18+F20+F22+F24+F26+F28+F30+F32+F34+F36+F38+F40+F42</f>
        <v>950</v>
      </c>
      <c r="E47" s="167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0" zoomScale="85" zoomScaleNormal="85" workbookViewId="0">
      <selection activeCell="A34" sqref="A34:M34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53" t="str">
        <f>+Инвойс!F1</f>
        <v xml:space="preserve"> 29.08.2025г.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tr">
        <f>+Инвойс!C2</f>
        <v>к контракту № GR-POL-01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tr">
        <f>+Инвойс!A5</f>
        <v>ООО «POLARIUM»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3.8" x14ac:dyDescent="0.25">
      <c r="A6" s="143" t="str">
        <f>+Инвойс!A6</f>
        <v>Республика Узбекистан. Ташкентская область, Бекабадский район,</v>
      </c>
      <c r="B6" s="143"/>
      <c r="C6" s="143"/>
      <c r="D6" s="143"/>
      <c r="E6" s="143"/>
      <c r="F6" s="7"/>
      <c r="G6" s="173" t="str">
        <f>+Инвойс!G6</f>
        <v xml:space="preserve">454106, ЧЕЛЯБИНСКАЯ ОБЛАСТЬ, Г ЧЕЛЯБИНСК, </v>
      </c>
      <c r="H6" s="173"/>
      <c r="I6" s="173"/>
      <c r="J6" s="173"/>
      <c r="K6" s="173"/>
      <c r="L6" s="173"/>
      <c r="M6" s="173"/>
      <c r="N6" s="4"/>
    </row>
    <row r="7" spans="1:15" ht="13.8" x14ac:dyDescent="0.25">
      <c r="A7" s="143" t="str">
        <f>+Инвойс!A7</f>
        <v>махалля Зафар, Гулистан МФЙ, улица Мустакиллик, дом 1</v>
      </c>
      <c r="B7" s="143"/>
      <c r="C7" s="143"/>
      <c r="D7" s="143"/>
      <c r="E7" s="143"/>
      <c r="F7" s="63"/>
      <c r="G7" s="173" t="str">
        <f>+Инвойс!G7</f>
        <v>УЛ ОСТРОВСКОГО, Д. 36, КВ. 176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43" t="str">
        <f>+Инвойс!A8</f>
        <v>в АКБ «TURON BANK» МФО 00446</v>
      </c>
      <c r="B8" s="143"/>
      <c r="C8" s="143"/>
      <c r="D8" s="143"/>
      <c r="E8" s="143"/>
      <c r="F8" s="63"/>
      <c r="G8" s="173" t="str">
        <f>+Инвойс!G8</f>
        <v>ИНН/ КПП 7448223299 / 744801001</v>
      </c>
      <c r="H8" s="173"/>
      <c r="I8" s="173"/>
      <c r="J8" s="173"/>
      <c r="K8" s="173"/>
      <c r="L8" s="173"/>
      <c r="M8" s="173"/>
    </row>
    <row r="9" spans="1:15" ht="13.8" x14ac:dyDescent="0.25">
      <c r="A9" s="143" t="str">
        <f>+Инвойс!A9</f>
        <v>в/с: 20208840907287520001 (доллар США)</v>
      </c>
      <c r="B9" s="143"/>
      <c r="C9" s="143"/>
      <c r="D9" s="143"/>
      <c r="E9" s="143"/>
      <c r="F9" s="7"/>
      <c r="G9" s="173" t="str">
        <f>+Инвойс!G9</f>
        <v>р/с 40702810000000024357</v>
      </c>
      <c r="H9" s="173"/>
      <c r="I9" s="173"/>
      <c r="J9" s="173"/>
      <c r="K9" s="173"/>
      <c r="L9" s="173"/>
      <c r="M9" s="173"/>
      <c r="O9" s="7"/>
    </row>
    <row r="10" spans="1:15" ht="13.8" x14ac:dyDescent="0.25">
      <c r="A10" s="143" t="str">
        <f>+Инвойс!A10</f>
        <v>SWIFT: TURONUZ22</v>
      </c>
      <c r="B10" s="143"/>
      <c r="C10" s="143"/>
      <c r="D10" s="143"/>
      <c r="E10" s="143"/>
      <c r="F10" s="7"/>
      <c r="G10" s="173" t="str">
        <f>+Инвойс!G10</f>
        <v>Корр. счет: 30101810445250000234</v>
      </c>
      <c r="H10" s="173"/>
      <c r="I10" s="173"/>
      <c r="J10" s="173"/>
      <c r="K10" s="173"/>
      <c r="L10" s="173"/>
      <c r="M10" s="173"/>
    </row>
    <row r="11" spans="1:15" ht="13.8" x14ac:dyDescent="0.25">
      <c r="A11" s="143" t="str">
        <f>+Инвойс!A11</f>
        <v>ИНН: 312302455</v>
      </c>
      <c r="B11" s="143"/>
      <c r="C11" s="143"/>
      <c r="D11" s="143"/>
      <c r="E11" s="143"/>
      <c r="F11" s="7"/>
      <c r="G11" s="173" t="str">
        <f>+Инвойс!G11</f>
        <v>Азия-Инвест Банк (АО) г. Москва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tr">
        <f>+Инвойс!A14</f>
        <v>ООО «POLARIUM»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tr">
        <f>+Инвойс!A15</f>
        <v>Республика Узбекистан. Ташкентская область, Бекабадский район,</v>
      </c>
      <c r="B15" s="143"/>
      <c r="C15" s="143"/>
      <c r="D15" s="143"/>
      <c r="E15" s="143"/>
      <c r="F15" s="7"/>
      <c r="G15" s="173" t="str">
        <f>+Инвойс!G15</f>
        <v xml:space="preserve">454106, ЧЕЛЯБИНСКАЯ ОБЛАСТЬ, Г ЧЕЛЯБИНСК, </v>
      </c>
      <c r="H15" s="173"/>
      <c r="I15" s="173"/>
      <c r="J15" s="173"/>
      <c r="K15" s="173"/>
      <c r="L15" s="173"/>
      <c r="M15" s="173"/>
    </row>
    <row r="16" spans="1:15" ht="13.8" x14ac:dyDescent="0.25">
      <c r="A16" s="143" t="str">
        <f>+Инвойс!A16</f>
        <v>махалля Зафар, Гулистан МФЙ, улица Мустакиллик, дом 1</v>
      </c>
      <c r="B16" s="143"/>
      <c r="C16" s="143"/>
      <c r="D16" s="143"/>
      <c r="E16" s="143"/>
      <c r="F16" s="63"/>
      <c r="G16" s="173" t="str">
        <f>+Инвойс!G16</f>
        <v>УЛ ОСТРОВСКОГО, Д. 36, КВ. 176</v>
      </c>
      <c r="H16" s="173"/>
      <c r="I16" s="173"/>
      <c r="J16" s="173"/>
      <c r="K16" s="173"/>
      <c r="L16" s="173"/>
      <c r="M16" s="173"/>
    </row>
    <row r="17" spans="1:17" ht="15" customHeight="1" x14ac:dyDescent="0.25">
      <c r="A17" s="143" t="str">
        <f>+Инвойс!A17</f>
        <v>в АКБ «TURON BANK» МФО 00446</v>
      </c>
      <c r="B17" s="143"/>
      <c r="C17" s="143"/>
      <c r="D17" s="143"/>
      <c r="E17" s="143"/>
      <c r="F17" s="63"/>
      <c r="G17" s="173" t="str">
        <f>+Инвойс!G17</f>
        <v>ИНН/ КПП 7448223299 / 744801001</v>
      </c>
      <c r="H17" s="173"/>
      <c r="I17" s="173"/>
      <c r="J17" s="173"/>
      <c r="K17" s="173"/>
      <c r="L17" s="173"/>
      <c r="M17" s="173"/>
    </row>
    <row r="18" spans="1:17" ht="13.8" x14ac:dyDescent="0.25">
      <c r="A18" s="143" t="str">
        <f>+Инвойс!A18</f>
        <v>в/с: 20208840907287520001 (доллар США)</v>
      </c>
      <c r="B18" s="143"/>
      <c r="C18" s="143"/>
      <c r="D18" s="143"/>
      <c r="E18" s="143"/>
      <c r="F18" s="7"/>
      <c r="G18" s="173" t="str">
        <f>+Инвойс!G18</f>
        <v>р/с 40702810000000024357</v>
      </c>
      <c r="H18" s="173"/>
      <c r="I18" s="173"/>
      <c r="J18" s="173"/>
      <c r="K18" s="173"/>
      <c r="L18" s="173"/>
      <c r="M18" s="173"/>
    </row>
    <row r="19" spans="1:17" ht="13.8" x14ac:dyDescent="0.25">
      <c r="A19" s="143" t="str">
        <f>+Инвойс!A19</f>
        <v>SWIFT: TURONUZ22</v>
      </c>
      <c r="B19" s="143"/>
      <c r="C19" s="143"/>
      <c r="D19" s="143"/>
      <c r="E19" s="143"/>
      <c r="F19" s="7"/>
      <c r="G19" s="173" t="str">
        <f>+Инвойс!G19</f>
        <v>Корр. счет: 30101810445250000234</v>
      </c>
      <c r="H19" s="173"/>
      <c r="I19" s="173"/>
      <c r="J19" s="173"/>
      <c r="K19" s="173"/>
      <c r="L19" s="173"/>
      <c r="M19" s="173"/>
    </row>
    <row r="20" spans="1:17" ht="13.8" x14ac:dyDescent="0.25">
      <c r="A20" s="143" t="str">
        <f>+Инвойс!A20</f>
        <v>ИНН: 312302455</v>
      </c>
      <c r="B20" s="143"/>
      <c r="C20" s="143"/>
      <c r="D20" s="143"/>
      <c r="E20" s="143"/>
      <c r="F20" s="7"/>
      <c r="G20" s="173" t="str">
        <f>+Инвойс!G20</f>
        <v>Азия-Инвест Банк (АО) г. Москва</v>
      </c>
      <c r="H20" s="173"/>
      <c r="I20" s="173"/>
      <c r="J20" s="173"/>
      <c r="K20" s="173"/>
      <c r="L20" s="173"/>
      <c r="M20" s="173"/>
    </row>
    <row r="21" spans="1:17" ht="13.8" x14ac:dyDescent="0.25">
      <c r="A21" s="143"/>
      <c r="B21" s="143"/>
      <c r="C21" s="143"/>
      <c r="D21" s="143"/>
      <c r="E21" s="143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4" t="s">
        <v>115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10B445LB/106449BA</v>
      </c>
      <c r="F26" s="140"/>
      <c r="G26" s="140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6.4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950</v>
      </c>
      <c r="F30" s="116" t="str">
        <f>+Инвойс!F30</f>
        <v>кг</v>
      </c>
      <c r="G30" s="106">
        <f>+Инвойс!G30</f>
        <v>22900</v>
      </c>
      <c r="H30" s="106">
        <f>+Инвойс!H30</f>
        <v>21190</v>
      </c>
      <c r="I30" s="108">
        <f>+Инвойс!I30</f>
        <v>0.25</v>
      </c>
      <c r="J30" s="13">
        <f>+Инвойс!J30</f>
        <v>5297.5</v>
      </c>
      <c r="K30" s="12">
        <v>0</v>
      </c>
      <c r="L30" s="12">
        <v>0</v>
      </c>
      <c r="M30" s="13">
        <f>+Инвойс!M30</f>
        <v>5297.5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950</v>
      </c>
      <c r="F31" s="15"/>
      <c r="G31" s="64">
        <f>SUM(G30:G30)</f>
        <v>22900</v>
      </c>
      <c r="H31" s="64">
        <f>SUM(H30:H30)</f>
        <v>21190</v>
      </c>
      <c r="I31" s="102"/>
      <c r="J31" s="17">
        <f>SUM(J30:J30)</f>
        <v>5297.5</v>
      </c>
      <c r="K31" s="16"/>
      <c r="L31" s="16"/>
      <c r="M31" s="17">
        <f>SUM(M30:M30)</f>
        <v>5297.5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двести девяносто семь долларов США, 50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6" x14ac:dyDescent="0.3">
      <c r="A36" s="131" t="s">
        <v>158</v>
      </c>
      <c r="B36" s="131"/>
      <c r="D36" s="18" t="str">
        <f>+Инвойс!D36</f>
        <v>Юнусов Х.Р</v>
      </c>
      <c r="E36" s="132"/>
      <c r="G36" s="129" t="s">
        <v>130</v>
      </c>
      <c r="H36" s="18" t="str">
        <f>Инвойс!G5</f>
        <v>ООО «ГРИН ВОРЛД»</v>
      </c>
      <c r="K36" s="133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128</v>
      </c>
    </row>
    <row r="5" spans="1:10" ht="39.6" x14ac:dyDescent="0.25">
      <c r="A5" s="126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6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134</v>
      </c>
      <c r="J10" s="25" t="s">
        <v>135</v>
      </c>
    </row>
    <row r="11" spans="1:10" ht="52.8" x14ac:dyDescent="0.25">
      <c r="A11" s="126" t="s">
        <v>148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5297.5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двести девяносто семь долларов США, 50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45898</v>
      </c>
      <c r="O3" s="178"/>
      <c r="P3">
        <f ca="1">DAY(N3)</f>
        <v>29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двести девяносто семь долларов США, 50 центов. (в т.ч. НДС - 357,79)</v>
      </c>
      <c r="H4" s="32"/>
      <c r="I4" s="32"/>
      <c r="J4" s="32"/>
      <c r="K4" s="179" t="str">
        <f ca="1">CONCATENATE(" «  ",P3,"  »  ",Q3,"  ",R3," г.")</f>
        <v xml:space="preserve"> «  29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двести девяносто семь долларов США, 50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двести девяносто семь долларов США, 50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девяносто семь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50 центов.</v>
      </c>
      <c r="D12" s="47"/>
      <c r="E12" s="48"/>
      <c r="M12" s="50">
        <f ca="1">TODAY()</f>
        <v>45898</v>
      </c>
    </row>
    <row r="13" spans="1:19" s="43" customFormat="1" x14ac:dyDescent="0.25">
      <c r="A13" s="49"/>
      <c r="D13" s="51"/>
      <c r="E13" s="52">
        <f>TRUNC(E2)</f>
        <v>5297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529</v>
      </c>
      <c r="B28" s="58">
        <f>TRUNC(RIGHT(A28))</f>
        <v>9</v>
      </c>
      <c r="C28" s="51">
        <f>IF(B28=1,"",B28)</f>
        <v>9</v>
      </c>
      <c r="E28" s="56" t="str">
        <f>IF(OR(C28=0,B28=1),"",IF(C28=2,E35,IF(C28=3,E36,IF(C28=4,E37,IF(C28=5,E38,IF(C28=6,E39,IF(C28=7,E40,IF(C28=8,E41,E42))))))))</f>
        <v xml:space="preserve">девяносто </v>
      </c>
      <c r="G28" s="47"/>
    </row>
    <row r="29" spans="1:9" s="43" customFormat="1" x14ac:dyDescent="0.25">
      <c r="A29" s="54">
        <f>E13</f>
        <v>5297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297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2025-08-29T15:40:54Z</cp:lastPrinted>
  <dcterms:created xsi:type="dcterms:W3CDTF">1996-10-14T23:33:28Z</dcterms:created>
  <dcterms:modified xsi:type="dcterms:W3CDTF">2025-08-29T15:40:58Z</dcterms:modified>
</cp:coreProperties>
</file>