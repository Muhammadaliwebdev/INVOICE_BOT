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31" i="2" l="1"/>
  <c r="J30" i="2" l="1"/>
  <c r="M30" i="2" s="1"/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H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<sst xmlns="http://schemas.openxmlformats.org/spreadsheetml/2006/main" count="202" uniqueCount="165">
  <si>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</si>
  <si>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</si>
  <si>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</si>
  <si>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</si>
  <si>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</si>
  <si>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</si>
  <si>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</si>
  <si>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</si>
  <si>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</si>
  <si>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</si>
  <si>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</si>
  <si>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</si>
  <si>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</si>
  <si>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</si>
  <si>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</si>
  <si>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</si>
  <si>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</si>
  <si>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</si>
  <si>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</si>
  <si>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</si>
  <si>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</si>
  <si>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</si>
  <si>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</si>
  <si>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</si>
  <si>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</si>
  <si>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</si>
  <si>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</si>
  <si>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</si>
  <si>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</si>
  <si>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</si>
  <si>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</si>
  <si>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</si>
  <si>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</si>
  <si>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</si>
  <si>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</si>
  <si>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</si>
  <si>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</si>
  <si>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</si>
  <si>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</si>
  <si>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</si>
  <si>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</si>
  <si>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</si>
  <si>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</si>
  <si>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</si>
  <si>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</si>
  <si>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</si>
  <si>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</si>
  <si>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</si>
  <si>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</si>
  <si>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</si>
  <si>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</si>
  <si>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</si>
  <si>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</si>
  <si>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</si>
  <si>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</si>
  <si>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</si>
  <si>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</si>
  <si>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</si>
  <si>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</si>
  <si>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</si>
  <si>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</si>
  <si>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</si>
  <si>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</si>
  <si>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</si>
  <si>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</si>
  <si>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</si>
  <si>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</si>
  <si>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</si>
  <si>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</si>
  <si>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</si>
  <si>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</si>
  <si>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</si>
  <si>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</si>
  <si>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</si>
  <si>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</si>
  <si>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</si>
  <si>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</si>
  <si>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</si>
  <si>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</si>
  <si>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</si>
  <si>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</si>
  <si>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</si>
  <si>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</si>
  <si>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</si>
  <si>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</si>
  <si>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</si>
  <si>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</si>
  <si>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</si>
  <si>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</si>
  <si>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</si>
  <si>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</si>
  <si>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</si>
  <si>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</si>
  <si>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</si>
  <si>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</si>
  <si>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</si>
  <si>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</si>
  <si>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</si>
  <si>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</si>
  <si>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</si>
  <si>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</si>
  <si>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</si>
  <si>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</si>
  <si>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</si>
  <si>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</si>
  <si>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</si>
  <si>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</si>
  <si>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</si>
  <si>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</si>
  <si>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</si>
  <si>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</si>
  <si>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</si>
  <si>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</si>
  <si>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</si>
  <si>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</si>
  <si>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</si>
  <si>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</si>
  <si>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</si>
  <si>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</si>
  <si>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</si>
  <si>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</si>
  <si>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</si>
  <si>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</si>
  <si>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</si>
  <si>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</si>
  <si>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</si>
  <si>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</si>
  <si>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</si>
  <si>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</si>
  <si>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</si>
  <si>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</si>
  <si>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</si>
  <si>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</si>
  <si>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</si>
  <si>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</si>
  <si>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</si>
  <si>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</si>
  <si>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</si>
  <si>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</si>
  <si>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</si>
  <si>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</si>
  <si>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</si>
  <si>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</si>
  <si>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</si>
  <si>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</si>
  <si>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</si>
  <si>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</si>
  <si>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</si>
  <si>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</si>
  <si>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</si>
  <si>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</si>
  <si>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</si>
  <si>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</si>
  <si>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</si>
  <si>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</si>
  <si>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</si>
  <si>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</si>
  <si>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</si>
  <si>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</si>
  <si>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</si>
  <si>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>ИНН: 312294736</t>
  </si>
  <si>
    <t xml:space="preserve">ИНВОЙС № EXZ-F-16 от </t>
  </si>
  <si>
    <t xml:space="preserve"> 10.09.2025г.</t>
  </si>
  <si>
    <t xml:space="preserve">СПЕЦИФИКАЦИЯ № EXZ-F-16 от </t>
  </si>
  <si>
    <t>30N222VA/304312AA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</si>
</sst>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0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161</v>
      </c>
      <c r="D1" s="135"/>
      <c r="E1" s="135"/>
      <c r="F1" s="134" t="s">
        <v>162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5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160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960</v>
      </c>
      <c r="F30" s="110" t="s">
        <v>27</v>
      </c>
      <c r="G30" s="106">
        <v>23048</v>
      </c>
      <c r="H30" s="106">
        <v>21320</v>
      </c>
      <c r="I30" s="108">
        <v>0.2</v>
      </c>
      <c r="J30" s="13">
        <f t="shared" ref="J30" si="0">H30*I30</f>
        <v>4264</v>
      </c>
      <c r="K30" s="12">
        <v>0</v>
      </c>
      <c r="L30" s="12">
        <v>0</v>
      </c>
      <c r="M30" s="13">
        <f t="shared" ref="M30" si="1">J30</f>
        <v>4264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23048</v>
      </c>
      <c r="H31" s="64">
        <f>SUM(H30:H30)</f>
        <v>21320</v>
      </c>
      <c r="I31" s="102"/>
      <c r="J31" s="17">
        <f>SUM(J30:J30)</f>
        <v>4264</v>
      </c>
      <c r="K31" s="16"/>
      <c r="L31" s="16"/>
      <c r="M31" s="17">
        <f>SUM(M30:M30)</f>
        <v>4264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двести шестьдесят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EXZ-F-16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23048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30N222VA/304312AA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30N222VA/304312AA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EXZ-F-16 от  10.09.2025г.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960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23048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960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163</v>
      </c>
      <c r="C1" s="174"/>
      <c r="D1" s="174"/>
      <c r="E1" s="174"/>
      <c r="F1" s="134" t="str">
        <f>+Инвойс!F1</f>
        <v xml:space="preserve"> 10.09.2025г.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30N222VA/304312AA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23048</v>
      </c>
      <c r="H30" s="106">
        <f>+Инвойс!H30</f>
        <v>21320</v>
      </c>
      <c r="I30" s="108">
        <f>+Инвойс!I30</f>
        <v>0.2</v>
      </c>
      <c r="J30" s="13">
        <f>+Инвойс!J30</f>
        <v>4264</v>
      </c>
      <c r="K30" s="12">
        <v>0</v>
      </c>
      <c r="L30" s="12">
        <v>0</v>
      </c>
      <c r="M30" s="13">
        <f>+Инвойс!M30</f>
        <v>4264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23048</v>
      </c>
      <c r="H31" s="64">
        <f>SUM(H30:H30)</f>
        <v>21320</v>
      </c>
      <c r="I31" s="102"/>
      <c r="J31" s="17">
        <f>SUM(J30:J30)</f>
        <v>4264</v>
      </c>
      <c r="K31" s="16"/>
      <c r="L31" s="16"/>
      <c r="M31" s="17">
        <f>SUM(M30:M30)</f>
        <v>4264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двести шестьдесят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4264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шестьдесят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двести шестьдесят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шестьдесят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шестьдесят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шестьдесят четыре доллара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4264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4264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264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2025-09-10T08:06:26Z</cp:lastPrinted>
  <dcterms:created xsi:type="dcterms:W3CDTF">1996-10-14T23:33:28Z</dcterms:created>
  <dcterms:modified xsi:type="dcterms:W3CDTF">2025-09-10T08:06:28Z</dcterms:modified>
</cp:coreProperties>
</file>