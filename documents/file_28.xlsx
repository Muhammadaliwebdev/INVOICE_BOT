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1EC6A5D-8E06-4591-B7C3-850FA406D9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<sst xmlns="http://schemas.openxmlformats.org/spreadsheetml/2006/main" count="208" uniqueCount="170">
  <si>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</si>
  <si>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</si>
  <si>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</si>
  <si>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</si>
  <si>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</si>
  <si>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</si>
  <si>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</si>
  <si>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</si>
  <si>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</si>
  <si>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</si>
  <si>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</si>
  <si>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</si>
  <si>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</si>
  <si>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</si>
  <si>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</si>
  <si>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</si>
  <si>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</si>
  <si>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</si>
  <si>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</si>
  <si>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</si>
  <si>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</si>
  <si>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</si>
  <si>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</si>
  <si>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</si>
  <si>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</si>
  <si>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</si>
  <si>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</si>
  <si>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</si>
  <si>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</si>
  <si>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</si>
  <si>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</si>
  <si>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</si>
  <si>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</si>
  <si>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</si>
  <si>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</si>
  <si>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</si>
  <si>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</si>
  <si>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</si>
  <si>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</si>
  <si>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</si>
  <si>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</si>
  <si>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</si>
  <si>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</si>
  <si>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</si>
  <si>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</si>
  <si>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</si>
  <si>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</si>
  <si>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</si>
  <si>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</si>
  <si>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</si>
  <si>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</si>
  <si>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</si>
  <si>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</si>
  <si>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</si>
  <si>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</si>
  <si>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</si>
  <si>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</si>
  <si>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</si>
  <si>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</si>
  <si>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</si>
  <si>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</si>
  <si>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</si>
  <si>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</si>
  <si>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</si>
  <si>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</si>
  <si>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</si>
  <si>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</si>
  <si>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</si>
  <si>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</si>
  <si>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</si>
  <si>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</si>
  <si>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</si>
  <si>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</si>
  <si>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</si>
  <si>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</si>
  <si>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</si>
  <si>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</si>
  <si>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</si>
  <si>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</si>
  <si>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</si>
  <si>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</si>
  <si>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</si>
  <si>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</si>
  <si>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</si>
  <si>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</si>
  <si>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</si>
  <si>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</si>
  <si>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</si>
  <si>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</si>
  <si>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</si>
  <si>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</si>
  <si>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</si>
  <si>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</si>
  <si>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</si>
  <si>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</si>
  <si>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</si>
  <si>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</si>
  <si>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</si>
  <si>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</si>
  <si>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</si>
  <si>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</si>
  <si>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</si>
  <si>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</si>
  <si>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</si>
  <si>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</si>
  <si>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</si>
  <si>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</si>
  <si>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</si>
  <si>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</si>
  <si>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</si>
  <si>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</si>
  <si>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</si>
  <si>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</si>
  <si>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</si>
  <si>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</si>
  <si>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</si>
  <si>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</si>
  <si>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</si>
  <si>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</si>
  <si>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</si>
  <si>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</si>
  <si>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</si>
  <si>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</si>
  <si>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</si>
  <si>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</si>
  <si>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</si>
  <si>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</si>
  <si>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</si>
  <si>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</si>
  <si>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</si>
  <si>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</si>
  <si>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</si>
  <si>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</si>
  <si>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</si>
  <si>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</si>
  <si>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</si>
  <si>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</si>
  <si>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</si>
  <si>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</si>
  <si>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</si>
  <si>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</si>
  <si>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</si>
  <si>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</si>
  <si>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</si>
  <si>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</si>
  <si>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</si>
  <si>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</si>
  <si>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</si>
  <si>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OOO “BMB МAX”</t>
  </si>
  <si>
    <t>Республика Узбекистан. Ташкентская область,</t>
  </si>
  <si>
    <t>Бекабадский район, МФЙ Найман, улица Мусаффо, дом 107</t>
  </si>
  <si>
    <t>ИНН: 309774620</t>
  </si>
  <si>
    <t>в “Узсаноаткурилиш” Банк операционный  МФО 00440</t>
  </si>
  <si>
    <t>Х/Р: 20208840605606798003</t>
  </si>
  <si>
    <t>Х/Р: 20208000005606798001 / Х/Р: 20208840605606798003</t>
  </si>
  <si>
    <t>Номуротов Ш.В</t>
  </si>
  <si>
    <t>Директор:  ООО «BMB МАХ»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</si>
  <si>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</si>
  <si>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</si>
  <si>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</si>
  <si>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</si>
  <si>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</si>
  <si>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</si>
  <si>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</si>
  <si>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BMR-2025 от 16.08.2025 года</t>
  </si>
  <si>
    <t xml:space="preserve">ИНВОЙС № BMX-A-47 от </t>
  </si>
  <si>
    <t xml:space="preserve"> 24.08.2025г.</t>
  </si>
  <si>
    <t>60911OBA/603308AA</t>
  </si>
  <si>
    <t xml:space="preserve">СПЕЦИФИКАЦИЯ № BMX-A-47 от </t>
  </si>
  <si>
    <t>/г. Владивосток/ г.Кемерово / г. Пенза / г. Краснодар / г.Пятигорск / г.Воронеж / /г.Нижневартовск/г.Нижний Новгород/г.Киров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</si>
</sst>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1086969</xdr:colOff>
      <xdr:row>36</xdr:row>
      <xdr:rowOff>89646</xdr:rowOff>
    </xdr:from>
    <xdr:to>
      <xdr:col>3</xdr:col>
      <xdr:colOff>470645</xdr:colOff>
      <xdr:row>48</xdr:row>
      <xdr:rowOff>67235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54955D8-1DC4-4292-A576-37FBC9A89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557" y="20428322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526677</xdr:colOff>
      <xdr:row>35</xdr:row>
      <xdr:rowOff>145677</xdr:rowOff>
    </xdr:from>
    <xdr:to>
      <xdr:col>2</xdr:col>
      <xdr:colOff>649942</xdr:colOff>
      <xdr:row>47</xdr:row>
      <xdr:rowOff>78443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41363D3-5BA9-4FDF-B20C-DA62D965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265" y="19162059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165</v>
      </c>
      <c r="D1" s="133"/>
      <c r="E1" s="133"/>
      <c r="F1" s="132" t="s">
        <v>166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164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148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40" t="s">
        <v>149</v>
      </c>
      <c r="B6" s="141"/>
      <c r="C6" s="141"/>
      <c r="D6" s="141"/>
      <c r="E6" s="141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41" t="s">
        <v>150</v>
      </c>
      <c r="B7" s="141"/>
      <c r="C7" s="141"/>
      <c r="D7" s="141"/>
      <c r="E7" s="141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">
        <v>148</v>
      </c>
      <c r="B14" s="134"/>
      <c r="C14" s="134"/>
      <c r="D14" s="134"/>
      <c r="E14" s="134"/>
      <c r="F14" s="6"/>
      <c r="G14" s="136" t="s">
        <v>124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40" t="s">
        <v>149</v>
      </c>
      <c r="B15" s="141"/>
      <c r="C15" s="141"/>
      <c r="D15" s="141"/>
      <c r="E15" s="141"/>
      <c r="F15" s="7"/>
      <c r="G15" s="138" t="s">
        <v>125</v>
      </c>
      <c r="H15" s="141"/>
      <c r="I15" s="141"/>
      <c r="J15" s="141"/>
      <c r="K15" s="141"/>
      <c r="L15" s="141"/>
      <c r="M15" s="141"/>
    </row>
    <row r="16" spans="1:15" ht="13.8" x14ac:dyDescent="0.25">
      <c r="A16" s="141" t="s">
        <v>150</v>
      </c>
      <c r="B16" s="141"/>
      <c r="C16" s="141"/>
      <c r="D16" s="141"/>
      <c r="E16" s="141"/>
      <c r="F16" s="63"/>
      <c r="G16" s="138" t="s">
        <v>126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2" t="s">
        <v>117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">
        <v>163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167</v>
      </c>
      <c r="F26" s="154"/>
      <c r="G26" s="154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27.6" x14ac:dyDescent="0.25">
      <c r="A30" s="127">
        <v>1</v>
      </c>
      <c r="B30" s="101" t="s">
        <v>134</v>
      </c>
      <c r="C30" s="107" t="s">
        <v>135</v>
      </c>
      <c r="D30" s="109" t="s">
        <v>112</v>
      </c>
      <c r="E30" s="101">
        <v>900</v>
      </c>
      <c r="F30" s="110" t="s">
        <v>27</v>
      </c>
      <c r="G30" s="106">
        <v>23000</v>
      </c>
      <c r="H30" s="106">
        <v>21380</v>
      </c>
      <c r="I30" s="108">
        <v>0.2</v>
      </c>
      <c r="J30" s="13">
        <f t="shared" ref="J30" si="0">H30*I30</f>
        <v>4276</v>
      </c>
      <c r="K30" s="12">
        <v>0</v>
      </c>
      <c r="L30" s="12">
        <v>0</v>
      </c>
      <c r="M30" s="13">
        <f t="shared" ref="M30" si="1">J30</f>
        <v>4276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4276</v>
      </c>
      <c r="K31" s="16"/>
      <c r="L31" s="16"/>
      <c r="M31" s="17">
        <f>SUM(M30:M30)</f>
        <v>4276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семьдесят шесть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 t="s">
        <v>109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6">
    <mergeCell ref="I28:I29"/>
    <mergeCell ref="G28:H28"/>
    <mergeCell ref="C23:M23"/>
    <mergeCell ref="E26:G26"/>
    <mergeCell ref="G7:M7"/>
    <mergeCell ref="A7:E7"/>
    <mergeCell ref="A15:E15"/>
    <mergeCell ref="A16:E1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zoomScale="115" zoomScaleNormal="115" workbookViewId="0">
      <selection activeCell="F4" sqref="F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МAX”</v>
      </c>
    </row>
    <row r="3" spans="1:11" ht="11.25" customHeight="1" x14ac:dyDescent="0.2">
      <c r="B3" s="70" t="str">
        <f>+Инвойс!A6</f>
        <v>Республика Узбекистан. Ташкентская область,</v>
      </c>
    </row>
    <row r="4" spans="1:11" ht="11.25" customHeight="1" x14ac:dyDescent="0.2">
      <c r="B4" s="70" t="str">
        <f>+Инвойс!A7</f>
        <v>Бекабадский район, МФЙ Найман, улица Мусаффо, дом 107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BMX-A-47 от  24.08.2025г.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107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8" t="str">
        <f>+C22</f>
        <v xml:space="preserve"> 24.08.2025г.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60911OBA/603308AA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24" sqref="G24:H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60911OBA/603308AA</v>
      </c>
      <c r="C14" s="162"/>
      <c r="D14" s="162"/>
      <c r="E14" s="162"/>
      <c r="F14" s="162"/>
      <c r="G14" s="162"/>
      <c r="H14" s="163" t="s">
        <v>108</v>
      </c>
      <c r="I14" s="163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BMX-A-47 от  24.08.2025г.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900</v>
      </c>
      <c r="G18" s="165" t="str">
        <f>+CMR!F30</f>
        <v>Дыни свежие</v>
      </c>
      <c r="H18" s="165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9" t="str">
        <f>+Инвойс!C30</f>
        <v>0807190001</v>
      </c>
      <c r="H19" s="160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5"/>
      <c r="H20" s="165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9"/>
      <c r="H21" s="160"/>
      <c r="I21" s="122"/>
      <c r="J21" s="120"/>
    </row>
    <row r="22" spans="2:10" ht="12.75" customHeight="1" x14ac:dyDescent="0.3">
      <c r="B22" s="83"/>
      <c r="E22" s="123"/>
      <c r="F22" s="118"/>
      <c r="G22" s="165"/>
      <c r="H22" s="165"/>
      <c r="I22" s="119"/>
      <c r="J22" s="120"/>
    </row>
    <row r="23" spans="2:10" ht="14.25" customHeight="1" x14ac:dyDescent="0.3">
      <c r="B23" s="83"/>
      <c r="E23" s="123"/>
      <c r="F23" s="121"/>
      <c r="G23" s="159"/>
      <c r="H23" s="160"/>
      <c r="I23" s="122"/>
      <c r="J23" s="120"/>
    </row>
    <row r="24" spans="2:10" ht="12.75" customHeight="1" x14ac:dyDescent="0.3">
      <c r="B24" s="87"/>
      <c r="E24" s="123"/>
      <c r="F24" s="118"/>
      <c r="G24" s="165"/>
      <c r="H24" s="165"/>
      <c r="I24" s="119"/>
      <c r="J24" s="120"/>
    </row>
    <row r="25" spans="2:10" ht="12.75" customHeight="1" x14ac:dyDescent="0.3">
      <c r="B25" s="87"/>
      <c r="E25" s="123"/>
      <c r="F25" s="121"/>
      <c r="G25" s="159"/>
      <c r="H25" s="160"/>
      <c r="I25" s="122"/>
      <c r="J25" s="120"/>
    </row>
    <row r="26" spans="2:10" ht="12" customHeight="1" x14ac:dyDescent="0.3">
      <c r="B26" s="87"/>
      <c r="E26" s="123"/>
      <c r="F26" s="118"/>
      <c r="G26" s="165"/>
      <c r="H26" s="165"/>
      <c r="I26" s="119"/>
      <c r="J26" s="120"/>
    </row>
    <row r="27" spans="2:10" ht="14.25" customHeight="1" x14ac:dyDescent="0.3">
      <c r="B27" s="87"/>
      <c r="E27" s="123"/>
      <c r="F27" s="121"/>
      <c r="G27" s="159"/>
      <c r="H27" s="160"/>
      <c r="I27" s="122"/>
      <c r="J27" s="120"/>
    </row>
    <row r="28" spans="2:10" ht="12.75" customHeight="1" x14ac:dyDescent="0.3">
      <c r="B28" s="87"/>
      <c r="E28" s="123"/>
      <c r="F28" s="118"/>
      <c r="G28" s="165"/>
      <c r="H28" s="165"/>
      <c r="I28" s="119"/>
      <c r="J28" s="120"/>
    </row>
    <row r="29" spans="2:10" ht="12.75" customHeight="1" x14ac:dyDescent="0.3">
      <c r="B29" s="87"/>
      <c r="E29" s="123"/>
      <c r="F29" s="121"/>
      <c r="G29" s="159"/>
      <c r="H29" s="160"/>
      <c r="I29" s="122"/>
      <c r="J29" s="120"/>
    </row>
    <row r="30" spans="2:10" ht="12.75" customHeight="1" x14ac:dyDescent="0.3">
      <c r="B30" s="87"/>
      <c r="E30" s="123"/>
      <c r="F30" s="118"/>
      <c r="G30" s="165"/>
      <c r="H30" s="165"/>
      <c r="I30" s="119"/>
      <c r="J30" s="120"/>
    </row>
    <row r="31" spans="2:10" ht="13.5" customHeight="1" x14ac:dyDescent="0.3">
      <c r="B31" s="87"/>
      <c r="E31" s="123"/>
      <c r="F31" s="121"/>
      <c r="G31" s="159"/>
      <c r="H31" s="160"/>
      <c r="I31" s="122"/>
      <c r="J31" s="120"/>
    </row>
    <row r="32" spans="2:10" ht="13.5" customHeight="1" x14ac:dyDescent="0.3">
      <c r="B32" s="87"/>
      <c r="E32" s="123"/>
      <c r="F32" s="118"/>
      <c r="G32" s="165"/>
      <c r="H32" s="165"/>
      <c r="I32" s="119"/>
      <c r="J32" s="120"/>
    </row>
    <row r="33" spans="2:10" ht="13.5" customHeight="1" x14ac:dyDescent="0.3">
      <c r="B33" s="87"/>
      <c r="E33" s="123"/>
      <c r="F33" s="121"/>
      <c r="G33" s="159"/>
      <c r="H33" s="160"/>
      <c r="I33" s="122"/>
      <c r="J33" s="120"/>
    </row>
    <row r="34" spans="2:10" ht="13.5" customHeight="1" x14ac:dyDescent="0.3">
      <c r="B34" s="87"/>
      <c r="E34" s="123"/>
      <c r="F34" s="118"/>
      <c r="G34" s="165"/>
      <c r="H34" s="165"/>
      <c r="I34" s="119"/>
      <c r="J34" s="120"/>
    </row>
    <row r="35" spans="2:10" ht="12.75" customHeight="1" x14ac:dyDescent="0.3">
      <c r="B35" s="87"/>
      <c r="E35" s="123"/>
      <c r="F35" s="121"/>
      <c r="G35" s="159"/>
      <c r="H35" s="160"/>
      <c r="I35" s="122"/>
      <c r="J35" s="120"/>
    </row>
    <row r="36" spans="2:10" x14ac:dyDescent="0.3">
      <c r="B36" s="87"/>
      <c r="E36" s="123"/>
      <c r="F36" s="118"/>
      <c r="G36" s="165"/>
      <c r="H36" s="165"/>
      <c r="I36" s="119"/>
      <c r="J36" s="120"/>
    </row>
    <row r="37" spans="2:10" ht="13.5" customHeight="1" x14ac:dyDescent="0.3">
      <c r="B37" s="87"/>
      <c r="E37" s="123"/>
      <c r="F37" s="121"/>
      <c r="G37" s="159"/>
      <c r="H37" s="160"/>
      <c r="I37" s="122"/>
      <c r="J37" s="120"/>
    </row>
    <row r="38" spans="2:10" x14ac:dyDescent="0.3">
      <c r="B38" s="87"/>
      <c r="E38" s="123"/>
      <c r="F38" s="118"/>
      <c r="G38" s="165"/>
      <c r="H38" s="165"/>
      <c r="I38" s="119"/>
      <c r="J38" s="120"/>
    </row>
    <row r="39" spans="2:10" ht="13.5" customHeight="1" x14ac:dyDescent="0.3">
      <c r="B39" s="87"/>
      <c r="E39" s="123"/>
      <c r="F39" s="121"/>
      <c r="G39" s="159"/>
      <c r="H39" s="160"/>
      <c r="I39" s="122"/>
      <c r="J39" s="120"/>
    </row>
    <row r="40" spans="2:10" ht="14.25" hidden="1" customHeight="1" x14ac:dyDescent="0.3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3">
      <c r="B41" s="87"/>
      <c r="E41" s="123"/>
      <c r="F41" s="121"/>
      <c r="G41" s="159"/>
      <c r="H41" s="160"/>
      <c r="I41" s="122"/>
      <c r="J41" s="120"/>
    </row>
    <row r="42" spans="2:10" hidden="1" x14ac:dyDescent="0.3">
      <c r="B42" s="87"/>
      <c r="E42" s="123"/>
      <c r="F42" s="118"/>
      <c r="G42" s="165"/>
      <c r="H42" s="165"/>
      <c r="I42" s="119"/>
      <c r="J42" s="120"/>
    </row>
    <row r="43" spans="2:10" x14ac:dyDescent="0.3">
      <c r="B43" s="87"/>
      <c r="E43" s="123"/>
      <c r="F43" s="121"/>
      <c r="G43" s="159"/>
      <c r="H43" s="160"/>
      <c r="I43" s="122"/>
      <c r="J43" s="120"/>
    </row>
    <row r="44" spans="2:10" ht="9" customHeight="1" x14ac:dyDescent="0.3">
      <c r="B44" s="87"/>
      <c r="E44" s="95"/>
      <c r="F44" s="92"/>
      <c r="G44" s="167"/>
      <c r="H44" s="167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f>+F18+F20+F22+F24+F26+F28+F30+F32+F34+F36+F38+F40+F42</f>
        <v>900</v>
      </c>
      <c r="E47" s="169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168</v>
      </c>
      <c r="C1" s="172"/>
      <c r="D1" s="172"/>
      <c r="E1" s="172"/>
      <c r="F1" s="132" t="str">
        <f>+Инвойс!F1</f>
        <v xml:space="preserve"> 24.08.2025г.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BMR-2025 от 16.08.2025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МAX”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40" t="str">
        <f>+Инвойс!A6</f>
        <v>Республика Узбекистан. Ташкентская область,</v>
      </c>
      <c r="B6" s="140"/>
      <c r="C6" s="140"/>
      <c r="D6" s="140"/>
      <c r="E6" s="140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40" t="str">
        <f>+Инвойс!A7</f>
        <v>Бекабадский район, МФЙ Найман, улица Мусаффо, дом 107</v>
      </c>
      <c r="B7" s="140"/>
      <c r="C7" s="140"/>
      <c r="D7" s="140"/>
      <c r="E7" s="140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40" t="str">
        <f>+Инвойс!A8</f>
        <v>в “Узсаноаткурилиш” Банк операционный  МФО 00440</v>
      </c>
      <c r="B8" s="140"/>
      <c r="C8" s="140"/>
      <c r="D8" s="140"/>
      <c r="E8" s="140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40" t="str">
        <f>+Инвойс!A9</f>
        <v>Х/Р: 20208000005606798001 / Х/Р: 20208840605606798003</v>
      </c>
      <c r="B9" s="140"/>
      <c r="C9" s="140"/>
      <c r="D9" s="140"/>
      <c r="E9" s="140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40" t="str">
        <f>+Инвойс!A10</f>
        <v>Х/Р: 20208840605606798003</v>
      </c>
      <c r="B10" s="140"/>
      <c r="C10" s="140"/>
      <c r="D10" s="140"/>
      <c r="E10" s="140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40" t="str">
        <f>+Инвойс!A11</f>
        <v>ИНН: 309774620</v>
      </c>
      <c r="B11" s="140"/>
      <c r="C11" s="140"/>
      <c r="D11" s="140"/>
      <c r="E11" s="140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tr">
        <f>+Инвойс!A14</f>
        <v>OOO “BMB МAX”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40" t="str">
        <f>+Инвойс!A15</f>
        <v>Республика Узбекистан. Ташкентская область,</v>
      </c>
      <c r="B15" s="140"/>
      <c r="C15" s="140"/>
      <c r="D15" s="140"/>
      <c r="E15" s="140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40" t="str">
        <f>+Инвойс!A16</f>
        <v>Бекабадский район, МФЙ Найман, улица Мусаффо, дом 107</v>
      </c>
      <c r="B16" s="140"/>
      <c r="C16" s="140"/>
      <c r="D16" s="140"/>
      <c r="E16" s="140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40" t="str">
        <f>+Инвойс!A17</f>
        <v>в “Узсаноаткурилиш” Банк операционный  МФО 00440</v>
      </c>
      <c r="B17" s="140"/>
      <c r="C17" s="140"/>
      <c r="D17" s="140"/>
      <c r="E17" s="140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40" t="str">
        <f>+Инвойс!A18</f>
        <v>Х/Р: 20208000005606798001 / Х/Р: 20208840605606798003</v>
      </c>
      <c r="B18" s="140"/>
      <c r="C18" s="140"/>
      <c r="D18" s="140"/>
      <c r="E18" s="140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40" t="str">
        <f>+Инвойс!A19</f>
        <v>Х/Р: 20208840605606798003</v>
      </c>
      <c r="B19" s="140"/>
      <c r="C19" s="140"/>
      <c r="D19" s="140"/>
      <c r="E19" s="140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40" t="str">
        <f>+Инвойс!A20</f>
        <v>ИНН: 309774620</v>
      </c>
      <c r="B20" s="140"/>
      <c r="C20" s="140"/>
      <c r="D20" s="140"/>
      <c r="E20" s="140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40"/>
      <c r="B21" s="140"/>
      <c r="C21" s="140"/>
      <c r="D21" s="140"/>
      <c r="E21" s="140"/>
      <c r="G21" s="7"/>
      <c r="H21" s="23"/>
      <c r="I21" s="23"/>
      <c r="J21" s="23"/>
    </row>
    <row r="22" spans="1:17" ht="43.5" customHeight="1" x14ac:dyDescent="0.3">
      <c r="A22" s="1" t="s">
        <v>132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115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60911OBA/603308AA</v>
      </c>
      <c r="F26" s="154"/>
      <c r="G26" s="154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30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900</v>
      </c>
      <c r="F30" s="116" t="str">
        <f>+Инвойс!F30</f>
        <v>кг</v>
      </c>
      <c r="G30" s="106">
        <f>+Инвойс!G30</f>
        <v>23000</v>
      </c>
      <c r="H30" s="106">
        <f>+Инвойс!H30</f>
        <v>21380</v>
      </c>
      <c r="I30" s="108">
        <f>+Инвойс!I30</f>
        <v>0.2</v>
      </c>
      <c r="J30" s="13">
        <f>+Инвойс!J30</f>
        <v>4276</v>
      </c>
      <c r="K30" s="12">
        <v>0</v>
      </c>
      <c r="L30" s="12">
        <v>0</v>
      </c>
      <c r="M30" s="13">
        <f>+Инвойс!M30</f>
        <v>4276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4276</v>
      </c>
      <c r="K31" s="16"/>
      <c r="L31" s="16"/>
      <c r="M31" s="17">
        <f>SUM(M30:M30)</f>
        <v>4276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семьдесят шесть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5.6" x14ac:dyDescent="0.3">
      <c r="A36" s="7" t="s">
        <v>156</v>
      </c>
      <c r="B36" s="7"/>
      <c r="D36" s="25" t="str">
        <f>+Инвойс!D36</f>
        <v>Номуротов Ш.В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D4" sqref="D4:E4"/>
    </sheetView>
  </sheetViews>
  <sheetFormatPr defaultRowHeight="13.2" x14ac:dyDescent="0.25"/>
  <cols>
    <col min="1" max="1" width="48.6640625" bestFit="1" customWidth="1"/>
  </cols>
  <sheetData>
    <row r="1" spans="1:9" ht="39.6" x14ac:dyDescent="0.25">
      <c r="A1" s="126" t="s">
        <v>116</v>
      </c>
    </row>
    <row r="2" spans="1:9" x14ac:dyDescent="0.25">
      <c r="D2" s="18" t="s">
        <v>137</v>
      </c>
      <c r="I2" s="25" t="s">
        <v>157</v>
      </c>
    </row>
    <row r="3" spans="1:9" ht="52.8" x14ac:dyDescent="0.25">
      <c r="A3" s="131" t="s">
        <v>136</v>
      </c>
    </row>
    <row r="4" spans="1:9" x14ac:dyDescent="0.25">
      <c r="D4" s="18" t="s">
        <v>163</v>
      </c>
      <c r="I4" s="25" t="s">
        <v>158</v>
      </c>
    </row>
    <row r="5" spans="1:9" ht="39.6" x14ac:dyDescent="0.25">
      <c r="A5" s="126" t="s">
        <v>117</v>
      </c>
    </row>
    <row r="6" spans="1:9" x14ac:dyDescent="0.25">
      <c r="D6" s="18" t="s">
        <v>159</v>
      </c>
      <c r="I6" s="25" t="s">
        <v>160</v>
      </c>
    </row>
    <row r="7" spans="1:9" ht="52.8" x14ac:dyDescent="0.25">
      <c r="A7" s="126" t="s">
        <v>118</v>
      </c>
    </row>
    <row r="8" spans="1:9" x14ac:dyDescent="0.25">
      <c r="D8" s="18" t="s">
        <v>161</v>
      </c>
      <c r="I8" s="25" t="s">
        <v>162</v>
      </c>
    </row>
    <row r="9" spans="1:9" ht="52.8" x14ac:dyDescent="0.25">
      <c r="A9" s="126" t="s">
        <v>119</v>
      </c>
    </row>
    <row r="10" spans="1:9" x14ac:dyDescent="0.25">
      <c r="A10" s="126"/>
    </row>
    <row r="11" spans="1:9" ht="52.8" x14ac:dyDescent="0.25">
      <c r="A11" s="126" t="s">
        <v>120</v>
      </c>
    </row>
    <row r="13" spans="1:9" ht="52.8" x14ac:dyDescent="0.25">
      <c r="A13" s="126" t="s">
        <v>121</v>
      </c>
    </row>
    <row r="15" spans="1:9" ht="39.6" x14ac:dyDescent="0.25">
      <c r="A15" s="126" t="s">
        <v>122</v>
      </c>
    </row>
    <row r="17" spans="1:1" ht="39.6" x14ac:dyDescent="0.25">
      <c r="A17" s="126" t="s">
        <v>123</v>
      </c>
    </row>
    <row r="19" spans="1:1" ht="39.6" x14ac:dyDescent="0.25">
      <c r="A19" s="128" t="s">
        <v>131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4276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семьдесят шесть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45893</v>
      </c>
      <c r="O3" s="176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семьдесят шесть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семьдесят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семьдесят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семьдесят шесть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4276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4276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276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2025-08-24T09:27:09Z</cp:lastPrinted>
  <dcterms:created xsi:type="dcterms:W3CDTF">1996-10-14T23:33:28Z</dcterms:created>
  <dcterms:modified xsi:type="dcterms:W3CDTF">2025-08-24T09:27:13Z</dcterms:modified>
</cp:coreProperties>
</file>