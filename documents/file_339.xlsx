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D8A6EF1-5CF0-4D7F-8F5B-A3E6A3E06A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M38" i="2" l="1"/>
  <c r="G37" i="7" l="1"/>
  <c r="G51" i="7"/>
  <c r="G50" i="7"/>
  <c r="A37" i="7"/>
  <c r="L30" i="7"/>
  <c r="K30" i="7"/>
  <c r="I30" i="7"/>
  <c r="F30" i="7"/>
  <c r="E30" i="7"/>
  <c r="D30" i="7"/>
  <c r="C30" i="7"/>
  <c r="B30" i="7"/>
  <c r="A30" i="7"/>
  <c r="E26" i="7"/>
  <c r="C24" i="7"/>
  <c r="G15" i="7"/>
  <c r="G16" i="7"/>
  <c r="G17" i="7"/>
  <c r="G18" i="7"/>
  <c r="G19" i="7"/>
  <c r="G20" i="7"/>
  <c r="G14" i="7"/>
  <c r="G11" i="7"/>
  <c r="G10" i="7"/>
  <c r="G9" i="7"/>
  <c r="G8" i="7"/>
  <c r="G7" i="7"/>
  <c r="G6" i="7"/>
  <c r="G5" i="7"/>
  <c r="A20" i="7"/>
  <c r="A19" i="7"/>
  <c r="A18" i="7"/>
  <c r="A17" i="7"/>
  <c r="A16" i="7"/>
  <c r="A15" i="7"/>
  <c r="A14" i="7"/>
  <c r="A11" i="7"/>
  <c r="A10" i="7"/>
  <c r="A9" i="7"/>
  <c r="A8" i="7"/>
  <c r="A7" i="7"/>
  <c r="A6" i="7"/>
  <c r="A5" i="7"/>
  <c r="C2" i="7"/>
  <c r="F1" i="7"/>
  <c r="E31" i="7" l="1"/>
  <c r="G30" i="7" l="1"/>
  <c r="H30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M31" i="7" l="1"/>
  <c r="M40" i="2"/>
  <c r="E2" i="3"/>
  <c r="E13" i="3" s="1"/>
  <c r="A29" i="3" s="1"/>
  <c r="A28" i="3" s="1"/>
  <c r="B28" i="3" s="1"/>
  <c r="A27" i="3" l="1"/>
  <c r="A25" i="3" s="1"/>
  <c r="B29" i="3"/>
  <c r="E29" i="3" s="1"/>
  <c r="A31" i="3"/>
  <c r="C31" i="3" s="1"/>
  <c r="C32" i="3" s="1"/>
  <c r="E32" i="3" s="1"/>
  <c r="C28" i="3"/>
  <c r="E28" i="3" s="1"/>
  <c r="E31" i="3" l="1"/>
  <c r="A12" i="3"/>
  <c r="B27" i="3"/>
  <c r="E30" i="3" s="1"/>
  <c r="C29" i="3"/>
  <c r="F29" i="3" s="1"/>
  <c r="B25" i="3"/>
  <c r="E25" i="3" s="1"/>
  <c r="A24" i="3"/>
  <c r="D29" i="3" l="1"/>
  <c r="C27" i="3"/>
  <c r="E27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<sst xmlns="http://schemas.openxmlformats.org/spreadsheetml/2006/main" count="223" uniqueCount="181">
  <si>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</si>
  <si>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</si>
  <si>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</si>
  <si>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</si>
  <si>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</si>
  <si>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</si>
  <si>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</si>
  <si>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</si>
  <si>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</si>
  <si>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</si>
  <si>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</si>
  <si>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</si>
  <si>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</si>
  <si>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</si>
  <si>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</si>
  <si>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</si>
  <si>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</si>
  <si>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</si>
  <si>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</si>
  <si>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</si>
  <si>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</si>
  <si>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</si>
  <si>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</si>
  <si>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</si>
  <si>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</si>
  <si>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</si>
  <si>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</si>
  <si>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</si>
  <si>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</si>
  <si>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</si>
  <si>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</si>
  <si>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</si>
  <si>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</si>
  <si>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</si>
  <si>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</si>
  <si>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</si>
  <si>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</si>
  <si>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</si>
  <si>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</si>
  <si>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</si>
  <si>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</si>
  <si>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</si>
  <si>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</si>
  <si>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</si>
  <si>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</si>
  <si>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</si>
  <si>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</si>
  <si>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</si>
  <si>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</si>
  <si>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</si>
  <si>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</si>
  <si>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</si>
  <si>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</si>
  <si>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</si>
  <si>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</si>
  <si>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</si>
  <si>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</si>
  <si>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</si>
  <si>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</si>
  <si>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</si>
  <si>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</si>
  <si>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</si>
  <si>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</si>
  <si>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</si>
  <si>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</si>
  <si>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</si>
  <si>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</si>
  <si>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</si>
  <si>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</si>
  <si>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</si>
  <si>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</si>
  <si>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</si>
  <si>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</si>
  <si>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</si>
  <si>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</si>
  <si>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</si>
  <si>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</si>
  <si>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</si>
  <si>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</si>
  <si>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</si>
  <si>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</si>
  <si>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</si>
  <si>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</si>
  <si>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</si>
  <si>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</si>
  <si>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</si>
  <si>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</si>
  <si>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</si>
  <si>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</si>
  <si>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</si>
  <si>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</si>
  <si>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</si>
  <si>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</si>
  <si>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</si>
  <si>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</si>
  <si>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</si>
  <si>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</si>
  <si>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</si>
  <si>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</si>
  <si>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</si>
  <si>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</si>
  <si>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</si>
  <si>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</si>
  <si>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</si>
  <si>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</si>
  <si>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</si>
  <si>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</si>
  <si>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</si>
  <si>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</si>
  <si>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</si>
  <si>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</si>
  <si>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</si>
  <si>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</si>
  <si>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</si>
  <si>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</si>
  <si>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</si>
  <si>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</si>
  <si>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</si>
  <si>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</si>
  <si>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Пласт. ящик</t>
  </si>
  <si>
    <t>Код там. Поста 10412160 Оренбургская таможня т/п Соль-Илецкий, адрес 461504 г.Соль-Илецк, ул. Украинская, д.2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</si>
  <si>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</si>
  <si>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г.Новосибирск, ч/з Новосибирский з/т пост, г.Новосибирск, ул.Толмачевская, д.1/1. код поста 10609030</t>
  </si>
  <si>
    <t>СВХ ООО "ОМАС" (код поста 10610050) 644117, Омская обл., г. Омск, ул. 3-я Молодежная,
№ лицензии: 10610/150515/10055/2</t>
  </si>
  <si>
    <t>т/п "Астраханский" Код поста 10311020, 414042, г. Астрахань, Трусовский р-н. ул. Мосина, д. 1Аlic. 10013/200111/10112/12 dđ 09/02/2021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</si>
  <si>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</si>
  <si>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т/п Тольяттинский код поста 10412110 4450043 Самарская обл. г.Тольятти Автозаводский р-н. ул. Вокзальная д.2 СВХ «ГРИНЛАЙН»</t>
  </si>
  <si>
    <t>г.Самара/ г.Уфа / /г. Иркутск /г.Омск /г. Ижевск/ Российская федерация</t>
  </si>
  <si>
    <t>0806101001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</si>
  <si>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</si>
  <si>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</si>
  <si>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</si>
  <si>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</si>
  <si>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к контракту № АG/B-2/0725 от 25.07.2025 года</t>
  </si>
  <si>
    <t>ООО “AAZZ GROUP”</t>
  </si>
  <si>
    <t xml:space="preserve">Респyблика Узбекистан, Хорезмская область, </t>
  </si>
  <si>
    <t>Ургенчский р-н, Мевазор МФИ, улица Мустакиллик, д.6/2</t>
  </si>
  <si>
    <r>
      <t xml:space="preserve">Р/с 20208840707099612003  </t>
    </r>
    <r>
      <rPr>
        <sz val="11"/>
        <color indexed="8"/>
        <rFont val="Times New Roman"/>
        <family val="1"/>
        <charset val="204"/>
      </rPr>
      <t>(USD)</t>
    </r>
    <r>
      <rPr>
        <sz val="11"/>
        <rFont val="Times New Roman"/>
        <family val="1"/>
        <charset val="204"/>
      </rPr>
      <t xml:space="preserve">  </t>
    </r>
  </si>
  <si>
    <t xml:space="preserve">Банк: АКБ «Гарант Банк » </t>
  </si>
  <si>
    <t>МФО: 00439; SWIFTCode: JSCSUZ22</t>
  </si>
  <si>
    <t>Курбаниезов А.А.</t>
  </si>
  <si>
    <t>ООО «БЕНУА»</t>
  </si>
  <si>
    <t>199004, г. Санкт-Петербург, наб. Макарова, д. 14,</t>
  </si>
  <si>
    <t>литера А, пом. 1-Н, рабочее место 11.</t>
  </si>
  <si>
    <t xml:space="preserve">ОГРН 1247800053544 / ИНН: 7801734052 / 780101001 </t>
  </si>
  <si>
    <t xml:space="preserve">Счет получателя (RUB)№ 40702810302100012537 </t>
  </si>
  <si>
    <t>Банк: Азия-Инвест Банк (АО) Свифт: ASIJRUMM</t>
  </si>
  <si>
    <t xml:space="preserve">К/С 21002840900090007001 Банк-корреспондент: УЗНАЦБАНК </t>
  </si>
  <si>
    <t xml:space="preserve">                    Узбекистан Ташкент</t>
  </si>
  <si>
    <t xml:space="preserve">                Ташкент</t>
  </si>
  <si>
    <t>ИНН: 311440436</t>
  </si>
  <si>
    <t xml:space="preserve">ИНН: 311440436 </t>
  </si>
  <si>
    <t>DAP - с Казыгурт , Республика Казахстан</t>
  </si>
  <si>
    <t>MAYSKIY</t>
  </si>
  <si>
    <t>ILICH</t>
  </si>
  <si>
    <t>YALLAMA</t>
  </si>
  <si>
    <t>DOUT-OTA</t>
  </si>
  <si>
    <t>DAP - с Атамакен, Республика Казахстан</t>
  </si>
  <si>
    <t>DAP - с Жибек Жолы , Республика Казахстан</t>
  </si>
  <si>
    <t>DAP - с Акжигит , Республика Казахстан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</si>
  <si>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</si>
  <si>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</si>
  <si>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</si>
  <si>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Исаков И.Н.</t>
  </si>
  <si>
    <t>Дуденков П.А.</t>
  </si>
  <si>
    <t>Наименование услуги</t>
  </si>
  <si>
    <t>Маршрут</t>
  </si>
  <si>
    <t>Стоимость услуги (доллар США)</t>
  </si>
  <si>
    <t xml:space="preserve">Экспедиторские услуги </t>
  </si>
  <si>
    <t xml:space="preserve">Транспортно-экспедиторские услуги по территории Узбекистана с экспортными документами </t>
  </si>
  <si>
    <t>Транспортно-экспедиторские услуги по территории ЕАЭС</t>
  </si>
  <si>
    <t>ИТОГО ПО УСЛУГАМ</t>
  </si>
  <si>
    <t>ИТОГО ПО ИНВОЙСУ</t>
  </si>
  <si>
    <t>DAP - г. Москва, Российская Федерация (согласно Incoterms 2010)</t>
  </si>
  <si>
    <t>ИНВОЙС № AGB-106 от</t>
  </si>
  <si>
    <t xml:space="preserve"> 01.09.2025г.</t>
  </si>
  <si>
    <t>90120NBA/907327AA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</si>
  <si>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600 кг.</t>
  </si>
  <si>
    <t>Спецификация № AGB-106 от</t>
  </si>
  <si>
    <r>
      <t xml:space="preserve">Ташкент, Узбекистан - КПП </t>
    </r>
    <r>
      <rPr>
        <b/>
        <i/>
        <sz val="9"/>
        <rFont val="Times New Roman"/>
        <family val="1"/>
        <charset val="204"/>
      </rPr>
      <t>Акжигит</t>
    </r>
    <r>
      <rPr>
        <b/>
        <i/>
        <sz val="9"/>
        <rFont val="Times New Roman"/>
        <family val="1"/>
      </rPr>
      <t>, Казахстан, 50 км</t>
    </r>
  </si>
  <si>
    <r>
      <t xml:space="preserve">КПП </t>
    </r>
    <r>
      <rPr>
        <b/>
        <i/>
        <sz val="9"/>
        <rFont val="Times New Roman"/>
        <family val="1"/>
        <charset val="204"/>
      </rPr>
      <t>Акжигит</t>
    </r>
    <r>
      <rPr>
        <b/>
        <i/>
        <sz val="9"/>
        <rFont val="Times New Roman"/>
        <family val="1"/>
      </rPr>
      <t>, Казахстан - г. Москва, Россия, 3440 км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</si>
</sst>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rgb="FFFF0000"/>
      <name val="Arial"/>
      <family val="2"/>
      <charset val="204"/>
    </font>
    <font>
      <b/>
      <sz val="11"/>
      <color rgb="FF000000"/>
      <name val="Times New Roman"/>
      <family val="1"/>
      <charset val="204"/>
    </font>
    <font>
      <b/>
      <i/>
      <sz val="9"/>
      <name val="Times New Roman"/>
      <family val="1"/>
    </font>
    <font>
      <b/>
      <i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97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15" fillId="0" borderId="2" xfId="0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4" fontId="1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5" fillId="0" borderId="0" xfId="0" applyFont="1"/>
    <xf numFmtId="1" fontId="14" fillId="0" borderId="3" xfId="2" applyNumberFormat="1" applyFont="1" applyBorder="1" applyAlignment="1">
      <alignment horizontal="center" vertical="center" wrapText="1"/>
    </xf>
    <xf numFmtId="0" fontId="76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1" fillId="0" borderId="1" xfId="0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 wrapText="1"/>
    </xf>
    <xf numFmtId="4" fontId="7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" fontId="78" fillId="0" borderId="1" xfId="0" applyNumberFormat="1" applyFont="1" applyBorder="1" applyAlignment="1">
      <alignment horizontal="center" vertical="center"/>
    </xf>
    <xf numFmtId="0" fontId="78" fillId="0" borderId="2" xfId="0" applyFont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0" fontId="78" fillId="0" borderId="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77" fillId="0" borderId="2" xfId="0" applyFont="1" applyBorder="1" applyAlignment="1">
      <alignment horizontal="center" vertical="center"/>
    </xf>
    <xf numFmtId="0" fontId="77" fillId="0" borderId="7" xfId="0" applyFont="1" applyBorder="1" applyAlignment="1">
      <alignment horizontal="center" vertical="center"/>
    </xf>
    <xf numFmtId="0" fontId="77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wrapText="1"/>
    </xf>
    <xf numFmtId="0" fontId="2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1199029</xdr:colOff>
      <xdr:row>44</xdr:row>
      <xdr:rowOff>180974</xdr:rowOff>
    </xdr:from>
    <xdr:to>
      <xdr:col>3</xdr:col>
      <xdr:colOff>480127</xdr:colOff>
      <xdr:row>56</xdr:row>
      <xdr:rowOff>78441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617" y="23130621"/>
          <a:ext cx="2093775" cy="1948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468966</xdr:colOff>
      <xdr:row>44</xdr:row>
      <xdr:rowOff>145676</xdr:rowOff>
    </xdr:from>
    <xdr:to>
      <xdr:col>4</xdr:col>
      <xdr:colOff>395264</xdr:colOff>
      <xdr:row>47</xdr:row>
      <xdr:rowOff>98744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231" y="23095323"/>
          <a:ext cx="654680" cy="524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37</xdr:row>
      <xdr:rowOff>70036</xdr:rowOff>
    </xdr:from>
    <xdr:to>
      <xdr:col>2</xdr:col>
      <xdr:colOff>706734</xdr:colOff>
      <xdr:row>48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22815736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595033</xdr:colOff>
      <xdr:row>37</xdr:row>
      <xdr:rowOff>57150</xdr:rowOff>
    </xdr:from>
    <xdr:to>
      <xdr:col>3</xdr:col>
      <xdr:colOff>475130</xdr:colOff>
      <xdr:row>39</xdr:row>
      <xdr:rowOff>175372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433" y="22802850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361950</xdr:colOff>
      <xdr:row>36</xdr:row>
      <xdr:rowOff>38100</xdr:rowOff>
    </xdr:from>
    <xdr:to>
      <xdr:col>12</xdr:col>
      <xdr:colOff>38100</xdr:colOff>
      <xdr:row>47</xdr:row>
      <xdr:rowOff>115322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72" t="13640" r="13726" b="13791"/>
        <a:stretch/>
      </xdr:blipFill>
      <xdr:spPr bwMode="auto">
        <a:xfrm>
          <a:off x="5886450" y="22583775"/>
          <a:ext cx="2057400" cy="2029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9526</xdr:colOff>
      <xdr:row>36</xdr:row>
      <xdr:rowOff>142875</xdr:rowOff>
    </xdr:from>
    <xdr:to>
      <xdr:col>13</xdr:col>
      <xdr:colOff>162465</xdr:colOff>
      <xdr:row>40</xdr:row>
      <xdr:rowOff>142875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6" y="22688550"/>
          <a:ext cx="1229264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50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67" t="s">
        <v>174</v>
      </c>
      <c r="D1" s="167"/>
      <c r="E1" s="167"/>
      <c r="F1" s="166" t="s">
        <v>175</v>
      </c>
      <c r="G1" s="166"/>
      <c r="H1" s="166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68" t="s">
        <v>133</v>
      </c>
      <c r="D2" s="168"/>
      <c r="E2" s="168"/>
      <c r="F2" s="168"/>
      <c r="G2" s="168"/>
      <c r="H2" s="168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58" t="s">
        <v>19</v>
      </c>
      <c r="B4" s="158"/>
      <c r="C4" s="158"/>
      <c r="D4" s="158"/>
      <c r="E4" s="158"/>
      <c r="G4" s="158" t="s">
        <v>20</v>
      </c>
      <c r="H4" s="158"/>
      <c r="I4" s="158"/>
      <c r="J4" s="158"/>
      <c r="K4" s="158"/>
      <c r="L4" s="158"/>
      <c r="M4" s="158"/>
    </row>
    <row r="5" spans="1:15" ht="14.25" customHeight="1" x14ac:dyDescent="0.25">
      <c r="A5" s="169" t="s">
        <v>134</v>
      </c>
      <c r="B5" s="169"/>
      <c r="C5" s="169"/>
      <c r="D5" s="169"/>
      <c r="E5" s="169"/>
      <c r="F5" s="6"/>
      <c r="G5" s="160" t="s">
        <v>141</v>
      </c>
      <c r="H5" s="160"/>
      <c r="I5" s="160"/>
      <c r="J5" s="160"/>
      <c r="K5" s="160"/>
      <c r="L5" s="160"/>
      <c r="M5" s="160"/>
    </row>
    <row r="6" spans="1:15" ht="13.8" x14ac:dyDescent="0.25">
      <c r="A6" s="123" t="s">
        <v>135</v>
      </c>
      <c r="B6" s="123"/>
      <c r="C6" s="123"/>
      <c r="D6" s="123"/>
      <c r="E6" s="123"/>
      <c r="F6" s="7"/>
      <c r="G6" s="156" t="s">
        <v>142</v>
      </c>
      <c r="H6" s="156"/>
      <c r="I6" s="156"/>
      <c r="J6" s="156"/>
      <c r="K6" s="156"/>
      <c r="L6" s="156"/>
      <c r="M6" s="156"/>
      <c r="N6" s="4"/>
    </row>
    <row r="7" spans="1:15" ht="13.8" x14ac:dyDescent="0.25">
      <c r="A7" s="123" t="s">
        <v>136</v>
      </c>
      <c r="B7" s="123"/>
      <c r="C7" s="123"/>
      <c r="D7" s="123"/>
      <c r="E7" s="123"/>
      <c r="F7" s="63"/>
      <c r="G7" s="156" t="s">
        <v>143</v>
      </c>
      <c r="H7" s="156"/>
      <c r="I7" s="156"/>
      <c r="J7" s="156"/>
      <c r="K7" s="156"/>
      <c r="L7" s="156"/>
      <c r="M7" s="156"/>
    </row>
    <row r="8" spans="1:15" ht="15" customHeight="1" x14ac:dyDescent="0.25">
      <c r="A8" s="8" t="s">
        <v>137</v>
      </c>
      <c r="B8" s="8"/>
      <c r="C8" s="8"/>
      <c r="D8" s="8"/>
      <c r="E8" s="8"/>
      <c r="F8" s="63"/>
      <c r="G8" s="157" t="s">
        <v>144</v>
      </c>
      <c r="H8" s="157"/>
      <c r="I8" s="157"/>
      <c r="J8" s="157"/>
      <c r="K8" s="157"/>
      <c r="L8" s="157"/>
      <c r="M8" s="157"/>
    </row>
    <row r="9" spans="1:15" ht="13.8" x14ac:dyDescent="0.25">
      <c r="A9" s="8" t="s">
        <v>138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3" t="s">
        <v>139</v>
      </c>
      <c r="B10" s="123"/>
      <c r="C10" s="123"/>
      <c r="D10" s="123"/>
      <c r="E10" s="123"/>
      <c r="F10" s="7"/>
      <c r="G10" s="7" t="s">
        <v>145</v>
      </c>
      <c r="H10" s="23"/>
      <c r="I10" s="23"/>
      <c r="J10" s="23"/>
      <c r="K10" s="23"/>
      <c r="L10" s="23"/>
      <c r="M10" s="23"/>
    </row>
    <row r="11" spans="1:15" ht="13.8" x14ac:dyDescent="0.25">
      <c r="A11" s="123" t="s">
        <v>150</v>
      </c>
      <c r="B11" s="8"/>
      <c r="C11" s="8"/>
      <c r="D11" s="8"/>
      <c r="E11" s="8"/>
      <c r="F11" s="7"/>
      <c r="G11" s="7" t="s">
        <v>147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65"/>
      <c r="B12" s="165"/>
      <c r="C12" s="165"/>
      <c r="D12" s="165"/>
      <c r="E12" s="8"/>
      <c r="F12" s="7"/>
      <c r="G12" s="165"/>
      <c r="H12" s="165"/>
      <c r="I12" s="165"/>
      <c r="J12" s="165"/>
      <c r="K12" s="165"/>
      <c r="L12" s="165"/>
      <c r="M12" s="165"/>
    </row>
    <row r="13" spans="1:15" ht="24" customHeight="1" x14ac:dyDescent="0.35">
      <c r="A13" s="158" t="s">
        <v>31</v>
      </c>
      <c r="B13" s="158"/>
      <c r="C13" s="158"/>
      <c r="D13" s="158"/>
      <c r="E13" s="158"/>
      <c r="G13" s="158" t="s">
        <v>21</v>
      </c>
      <c r="H13" s="159"/>
      <c r="I13" s="159"/>
      <c r="J13" s="159"/>
      <c r="K13" s="159"/>
      <c r="L13" s="159"/>
      <c r="M13" s="159"/>
    </row>
    <row r="14" spans="1:15" ht="14.25" customHeight="1" x14ac:dyDescent="0.25">
      <c r="A14" s="169" t="s">
        <v>134</v>
      </c>
      <c r="B14" s="169"/>
      <c r="C14" s="169"/>
      <c r="D14" s="169"/>
      <c r="E14" s="169"/>
      <c r="F14" s="6"/>
      <c r="G14" s="160" t="s">
        <v>106</v>
      </c>
      <c r="H14" s="160"/>
      <c r="I14" s="160"/>
      <c r="J14" s="160"/>
      <c r="K14" s="160"/>
      <c r="L14" s="160"/>
      <c r="M14" s="160"/>
    </row>
    <row r="15" spans="1:15" ht="13.95" customHeight="1" x14ac:dyDescent="0.25">
      <c r="A15" s="123" t="s">
        <v>135</v>
      </c>
      <c r="B15" s="123"/>
      <c r="C15" s="123"/>
      <c r="D15" s="123"/>
      <c r="E15" s="123"/>
      <c r="F15" s="7"/>
      <c r="G15" s="156" t="s">
        <v>107</v>
      </c>
      <c r="H15" s="157"/>
      <c r="I15" s="157"/>
      <c r="J15" s="157"/>
      <c r="K15" s="157"/>
      <c r="L15" s="157"/>
      <c r="M15" s="157"/>
    </row>
    <row r="16" spans="1:15" ht="13.8" x14ac:dyDescent="0.25">
      <c r="A16" s="123" t="s">
        <v>136</v>
      </c>
      <c r="B16" s="123"/>
      <c r="C16" s="123"/>
      <c r="D16" s="123"/>
      <c r="E16" s="123"/>
      <c r="F16" s="63"/>
      <c r="G16" s="156" t="s">
        <v>108</v>
      </c>
      <c r="H16" s="156"/>
      <c r="I16" s="156"/>
      <c r="J16" s="156"/>
      <c r="K16" s="156"/>
      <c r="L16" s="156"/>
      <c r="M16" s="156"/>
    </row>
    <row r="17" spans="1:17" ht="15" customHeight="1" x14ac:dyDescent="0.25">
      <c r="A17" s="8" t="s">
        <v>137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138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3" t="s">
        <v>139</v>
      </c>
      <c r="B19" s="123"/>
      <c r="C19" s="123"/>
      <c r="D19" s="123"/>
      <c r="E19" s="123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123" t="s">
        <v>151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64.2" customHeight="1" x14ac:dyDescent="0.25">
      <c r="A21" s="165"/>
      <c r="B21" s="165"/>
      <c r="C21" s="165"/>
      <c r="D21" s="165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2" t="s">
        <v>130</v>
      </c>
      <c r="D23" s="152"/>
      <c r="E23" s="152"/>
      <c r="F23" s="152"/>
      <c r="G23" s="152"/>
      <c r="H23" s="152"/>
      <c r="I23" s="152"/>
      <c r="J23" s="152"/>
      <c r="K23" s="152"/>
      <c r="L23" s="152"/>
      <c r="M23" s="152"/>
    </row>
    <row r="24" spans="1:17" ht="15.6" x14ac:dyDescent="0.3">
      <c r="A24" s="20" t="s">
        <v>22</v>
      </c>
      <c r="C24" s="18" t="s">
        <v>173</v>
      </c>
      <c r="D24" s="127"/>
      <c r="E24" s="127"/>
      <c r="F24" s="127"/>
      <c r="G24" s="127"/>
      <c r="H24" s="127"/>
      <c r="I24" s="127"/>
      <c r="J24" s="127"/>
      <c r="K24" s="127"/>
      <c r="L24" s="127"/>
      <c r="M24" s="127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">
        <v>176</v>
      </c>
      <c r="F26" s="154"/>
      <c r="G26" s="154"/>
      <c r="J26" s="21"/>
    </row>
    <row r="27" spans="1:17" ht="34.5" customHeight="1" x14ac:dyDescent="0.25">
      <c r="A27" s="67" t="s">
        <v>118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0" t="s">
        <v>7</v>
      </c>
      <c r="H28" s="151"/>
      <c r="I28" s="148" t="s">
        <v>8</v>
      </c>
      <c r="J28" s="110" t="s">
        <v>9</v>
      </c>
      <c r="K28" s="150" t="s">
        <v>10</v>
      </c>
      <c r="L28" s="151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0" t="s">
        <v>12</v>
      </c>
      <c r="H29" s="110" t="s">
        <v>13</v>
      </c>
      <c r="I29" s="149"/>
      <c r="J29" s="111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4">
        <v>1</v>
      </c>
      <c r="B30" s="100" t="s">
        <v>129</v>
      </c>
      <c r="C30" s="106" t="s">
        <v>128</v>
      </c>
      <c r="D30" s="108" t="s">
        <v>119</v>
      </c>
      <c r="E30" s="100">
        <v>2300</v>
      </c>
      <c r="F30" s="114" t="s">
        <v>27</v>
      </c>
      <c r="G30" s="105">
        <v>22650</v>
      </c>
      <c r="H30" s="105">
        <v>21040</v>
      </c>
      <c r="I30" s="107">
        <v>0.95</v>
      </c>
      <c r="J30" s="13">
        <f t="shared" ref="J30" si="0">H30*I30</f>
        <v>19988</v>
      </c>
      <c r="K30" s="12">
        <v>0</v>
      </c>
      <c r="L30" s="12">
        <v>0</v>
      </c>
      <c r="M30" s="13">
        <f t="shared" ref="M30" si="1">J30</f>
        <v>19988</v>
      </c>
      <c r="O30" s="99"/>
      <c r="Q30" s="99"/>
    </row>
    <row r="31" spans="1:17" ht="13.8" x14ac:dyDescent="0.25">
      <c r="A31" s="163" t="s">
        <v>0</v>
      </c>
      <c r="B31" s="164"/>
      <c r="C31" s="14"/>
      <c r="D31" s="15"/>
      <c r="E31" s="64">
        <f>SUM(E30:E30)</f>
        <v>2300</v>
      </c>
      <c r="F31" s="15"/>
      <c r="G31" s="64">
        <f>SUM(G30:G30)</f>
        <v>22650</v>
      </c>
      <c r="H31" s="64">
        <f>SUM(H30:H30)</f>
        <v>21040</v>
      </c>
      <c r="I31" s="101"/>
      <c r="J31" s="17">
        <f>SUM(J30:J30)</f>
        <v>19988</v>
      </c>
      <c r="K31" s="16"/>
      <c r="L31" s="16"/>
      <c r="M31" s="17">
        <f>SUM(M30:M30)</f>
        <v>19988</v>
      </c>
      <c r="P31" s="66"/>
    </row>
    <row r="32" spans="1:17" ht="13.8" x14ac:dyDescent="0.3">
      <c r="A32" s="2" t="s">
        <v>17</v>
      </c>
      <c r="B32" s="3"/>
      <c r="C32" s="11"/>
      <c r="D32" s="11"/>
      <c r="E32" s="161" t="str">
        <f>Лист1!B3</f>
        <v>Девятнадцать тысяч девятьсот восемьдесят восемь долларов США, 00 центов.</v>
      </c>
      <c r="F32" s="162"/>
      <c r="G32" s="162"/>
      <c r="H32" s="162"/>
      <c r="I32" s="162"/>
      <c r="J32" s="162"/>
      <c r="K32" s="162"/>
      <c r="L32" s="162"/>
      <c r="M32" s="162"/>
    </row>
    <row r="33" spans="1:14" ht="13.8" x14ac:dyDescent="0.3">
      <c r="A33" s="2"/>
      <c r="B33" s="3"/>
      <c r="C33" s="11"/>
      <c r="D33" s="11"/>
      <c r="E33" s="125"/>
      <c r="F33" s="126"/>
      <c r="G33" s="126"/>
      <c r="H33" s="126"/>
      <c r="I33" s="126"/>
      <c r="J33" s="126"/>
      <c r="K33" s="126"/>
      <c r="L33" s="126"/>
      <c r="M33" s="126"/>
    </row>
    <row r="34" spans="1:14" ht="24" x14ac:dyDescent="0.25">
      <c r="A34" s="132" t="s">
        <v>1</v>
      </c>
      <c r="B34" s="132" t="s">
        <v>165</v>
      </c>
      <c r="C34" s="140" t="s">
        <v>166</v>
      </c>
      <c r="D34" s="141"/>
      <c r="E34" s="141"/>
      <c r="F34" s="141"/>
      <c r="G34" s="141"/>
      <c r="H34" s="141"/>
      <c r="I34" s="141"/>
      <c r="J34" s="141"/>
      <c r="K34" s="141"/>
      <c r="L34" s="142"/>
      <c r="M34" s="133" t="s">
        <v>167</v>
      </c>
    </row>
    <row r="35" spans="1:14" ht="13.8" x14ac:dyDescent="0.25">
      <c r="A35" s="132">
        <v>1</v>
      </c>
      <c r="B35" s="132" t="s">
        <v>168</v>
      </c>
      <c r="C35" s="143"/>
      <c r="D35" s="144"/>
      <c r="E35" s="144"/>
      <c r="F35" s="144"/>
      <c r="G35" s="144"/>
      <c r="H35" s="144"/>
      <c r="I35" s="144"/>
      <c r="J35" s="144"/>
      <c r="K35" s="144"/>
      <c r="L35" s="145"/>
      <c r="M35" s="134">
        <v>100</v>
      </c>
    </row>
    <row r="36" spans="1:14" ht="55.2" x14ac:dyDescent="0.25">
      <c r="A36" s="132">
        <v>2</v>
      </c>
      <c r="B36" s="135" t="s">
        <v>169</v>
      </c>
      <c r="C36" s="143" t="s">
        <v>179</v>
      </c>
      <c r="D36" s="144"/>
      <c r="E36" s="144"/>
      <c r="F36" s="144"/>
      <c r="G36" s="144"/>
      <c r="H36" s="144"/>
      <c r="I36" s="144"/>
      <c r="J36" s="144"/>
      <c r="K36" s="144"/>
      <c r="L36" s="145"/>
      <c r="M36" s="134">
        <v>150</v>
      </c>
    </row>
    <row r="37" spans="1:14" ht="27.6" x14ac:dyDescent="0.25">
      <c r="A37" s="132">
        <v>3</v>
      </c>
      <c r="B37" s="135" t="s">
        <v>170</v>
      </c>
      <c r="C37" s="143" t="s">
        <v>180</v>
      </c>
      <c r="D37" s="144"/>
      <c r="E37" s="144"/>
      <c r="F37" s="144"/>
      <c r="G37" s="144"/>
      <c r="H37" s="144"/>
      <c r="I37" s="144"/>
      <c r="J37" s="144"/>
      <c r="K37" s="144"/>
      <c r="L37" s="145"/>
      <c r="M37" s="134">
        <v>10320</v>
      </c>
    </row>
    <row r="38" spans="1:14" ht="13.8" x14ac:dyDescent="0.25">
      <c r="A38" s="146" t="s">
        <v>171</v>
      </c>
      <c r="B38" s="147"/>
      <c r="C38" s="143"/>
      <c r="D38" s="144"/>
      <c r="E38" s="144"/>
      <c r="F38" s="144"/>
      <c r="G38" s="144"/>
      <c r="H38" s="144"/>
      <c r="I38" s="144"/>
      <c r="J38" s="144"/>
      <c r="K38" s="144"/>
      <c r="L38" s="145"/>
      <c r="M38" s="134">
        <f>M35+M36+M37</f>
        <v>10570</v>
      </c>
    </row>
    <row r="39" spans="1:14" ht="13.8" x14ac:dyDescent="0.3">
      <c r="A39" s="2"/>
      <c r="B39" s="3"/>
      <c r="C39" s="11"/>
      <c r="D39" s="11"/>
      <c r="E39" s="125"/>
      <c r="F39" s="126"/>
      <c r="G39" s="126"/>
      <c r="H39" s="126"/>
      <c r="I39" s="126"/>
      <c r="J39" s="126"/>
      <c r="K39" s="126"/>
      <c r="L39" s="126"/>
      <c r="M39" s="126"/>
    </row>
    <row r="40" spans="1:14" ht="30.9" customHeight="1" x14ac:dyDescent="0.25">
      <c r="A40" s="137" t="s">
        <v>172</v>
      </c>
      <c r="B40" s="138"/>
      <c r="C40" s="137" t="s">
        <v>173</v>
      </c>
      <c r="D40" s="139"/>
      <c r="E40" s="139"/>
      <c r="F40" s="139"/>
      <c r="G40" s="139"/>
      <c r="H40" s="139"/>
      <c r="I40" s="139"/>
      <c r="J40" s="139"/>
      <c r="K40" s="139"/>
      <c r="L40" s="138"/>
      <c r="M40" s="136">
        <f>M38+M31</f>
        <v>30558</v>
      </c>
    </row>
    <row r="41" spans="1:14" x14ac:dyDescent="0.25">
      <c r="A41" s="155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</row>
    <row r="42" spans="1:14" ht="25.5" customHeight="1" x14ac:dyDescent="0.25">
      <c r="A42" s="155" t="s">
        <v>177</v>
      </c>
      <c r="B42" s="155"/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26"/>
    </row>
    <row r="44" spans="1:14" ht="13.8" x14ac:dyDescent="0.25">
      <c r="A44" s="7" t="s">
        <v>28</v>
      </c>
      <c r="B44" s="7"/>
      <c r="D44" s="25" t="s">
        <v>140</v>
      </c>
      <c r="E44" s="24"/>
    </row>
    <row r="45" spans="1:14" ht="13.8" x14ac:dyDescent="0.25">
      <c r="A45" s="7"/>
      <c r="B45" s="9"/>
    </row>
    <row r="46" spans="1:14" ht="30.9" customHeight="1" x14ac:dyDescent="0.25">
      <c r="A46" s="7" t="s">
        <v>18</v>
      </c>
      <c r="B46" s="9"/>
    </row>
    <row r="47" spans="1:14" ht="13.8" x14ac:dyDescent="0.25">
      <c r="A47" s="7"/>
      <c r="B47" s="9"/>
    </row>
    <row r="48" spans="1:14" ht="13.8" x14ac:dyDescent="0.25">
      <c r="A48" s="7" t="s">
        <v>29</v>
      </c>
      <c r="B48" s="9"/>
    </row>
    <row r="49" spans="1:2" ht="13.8" x14ac:dyDescent="0.25">
      <c r="A49" s="8"/>
      <c r="B49" s="9"/>
    </row>
    <row r="50" spans="1:2" x14ac:dyDescent="0.25">
      <c r="A50" s="4"/>
    </row>
  </sheetData>
  <mergeCells count="43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G7:M7"/>
    <mergeCell ref="G8:M8"/>
    <mergeCell ref="A42:M42"/>
    <mergeCell ref="G15:M15"/>
    <mergeCell ref="G13:M13"/>
    <mergeCell ref="G14:M14"/>
    <mergeCell ref="E32:M32"/>
    <mergeCell ref="E28:E29"/>
    <mergeCell ref="C28:C29"/>
    <mergeCell ref="D28:D29"/>
    <mergeCell ref="A41:M41"/>
    <mergeCell ref="A31:B31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  <mergeCell ref="A40:B40"/>
    <mergeCell ref="C40:L40"/>
    <mergeCell ref="C34:L34"/>
    <mergeCell ref="C35:L35"/>
    <mergeCell ref="C36:L36"/>
    <mergeCell ref="C37:L37"/>
    <mergeCell ref="A38:B38"/>
    <mergeCell ref="C38:L38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22" zoomScale="115" zoomScaleNormal="115" workbookViewId="0">
      <selection activeCell="F40" sqref="F4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“AAZZ GROUP”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«БЕНУА»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125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117</v>
      </c>
    </row>
    <row r="15" spans="1:11" ht="7.5" hidden="1" customHeight="1" x14ac:dyDescent="0.2"/>
    <row r="16" spans="1:11" ht="12" customHeight="1" x14ac:dyDescent="0.2">
      <c r="B16" s="70" t="s">
        <v>127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70" t="str">
        <f>+CONCATENATE(Инвойс!C1,Инвойс!F1)</f>
        <v>ИНВОЙС № AGB-106 от 01.09.2025г.</v>
      </c>
      <c r="C24" s="170"/>
      <c r="D24" s="170"/>
      <c r="E24" s="73"/>
      <c r="F24" s="73"/>
      <c r="G24" s="73"/>
      <c r="H24" s="73"/>
      <c r="I24" s="73"/>
    </row>
    <row r="25" spans="1:9" x14ac:dyDescent="0.2">
      <c r="B25" s="171" t="s">
        <v>115</v>
      </c>
      <c r="C25" s="171"/>
      <c r="D25" s="171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2300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22650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72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72"/>
      <c r="D45" s="172"/>
    </row>
    <row r="46" spans="1:9" ht="11.25" customHeight="1" x14ac:dyDescent="0.2">
      <c r="B46" s="172"/>
      <c r="C46" s="172"/>
      <c r="D46" s="172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149</v>
      </c>
      <c r="D49" s="173" t="str">
        <f>+C22</f>
        <v xml:space="preserve"> 01.09.2025г.</v>
      </c>
      <c r="E49" s="173"/>
      <c r="F49" s="173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90120NBA/907327AA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5" zoomScaleNormal="100" workbookViewId="0">
      <selection activeCell="G29" sqref="G29:H2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81" t="s">
        <v>96</v>
      </c>
      <c r="C2" s="181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82" t="str">
        <f>+Инвойс!E26</f>
        <v>90120NBA/907327AA</v>
      </c>
      <c r="C14" s="182"/>
      <c r="D14" s="182"/>
      <c r="E14" s="182"/>
      <c r="F14" s="182"/>
      <c r="G14" s="182"/>
      <c r="H14" s="183" t="s">
        <v>116</v>
      </c>
      <c r="I14" s="183"/>
      <c r="J14" s="88" t="str">
        <f>+Инвойс!F1</f>
        <v xml:space="preserve"> 01.09.2025г.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84" t="str">
        <f>+CMR!B24</f>
        <v>ИНВОЙС № AGB-106 от 01.09.2025г.</v>
      </c>
      <c r="I15" s="184"/>
      <c r="J15" s="184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5"/>
      <c r="F18" s="116">
        <f>+Инвойс!E30</f>
        <v>2300</v>
      </c>
      <c r="G18" s="176" t="str">
        <f>+CMR!F30</f>
        <v>Виноград свежий столовых сортов</v>
      </c>
      <c r="H18" s="176"/>
      <c r="I18" s="117"/>
      <c r="J18" s="118"/>
    </row>
    <row r="19" spans="2:10" ht="11.25" customHeight="1" x14ac:dyDescent="0.3">
      <c r="B19" s="91"/>
      <c r="E19" s="115"/>
      <c r="F19" s="119" t="str">
        <f>+Инвойс!D30</f>
        <v>Пласт. ящик</v>
      </c>
      <c r="G19" s="174" t="str">
        <f>+Инвойс!C30</f>
        <v>0806101001</v>
      </c>
      <c r="H19" s="175"/>
      <c r="I19" s="120" t="s">
        <v>103</v>
      </c>
      <c r="J19" s="118">
        <f>+Инвойс!G30</f>
        <v>22650</v>
      </c>
    </row>
    <row r="20" spans="2:10" ht="13.5" customHeight="1" x14ac:dyDescent="0.3">
      <c r="B20" s="83"/>
      <c r="E20" s="121"/>
      <c r="F20" s="116"/>
      <c r="G20" s="176"/>
      <c r="H20" s="176"/>
      <c r="I20" s="117"/>
      <c r="J20" s="118"/>
    </row>
    <row r="21" spans="2:10" ht="13.5" customHeight="1" x14ac:dyDescent="0.3">
      <c r="B21" s="83" t="s">
        <v>104</v>
      </c>
      <c r="E21" s="121"/>
      <c r="F21" s="119"/>
      <c r="G21" s="174"/>
      <c r="H21" s="175"/>
      <c r="I21" s="120"/>
      <c r="J21" s="118"/>
    </row>
    <row r="22" spans="2:10" ht="12.75" customHeight="1" x14ac:dyDescent="0.3">
      <c r="B22" s="83"/>
      <c r="E22" s="121"/>
      <c r="F22" s="116"/>
      <c r="G22" s="176"/>
      <c r="H22" s="176"/>
      <c r="I22" s="117"/>
      <c r="J22" s="118"/>
    </row>
    <row r="23" spans="2:10" ht="14.25" customHeight="1" x14ac:dyDescent="0.3">
      <c r="B23" s="83"/>
      <c r="E23" s="121"/>
      <c r="F23" s="119"/>
      <c r="G23" s="174"/>
      <c r="H23" s="175"/>
      <c r="I23" s="120"/>
      <c r="J23" s="118"/>
    </row>
    <row r="24" spans="2:10" ht="12.75" customHeight="1" x14ac:dyDescent="0.3">
      <c r="B24" s="87"/>
      <c r="E24" s="121"/>
      <c r="F24" s="116"/>
      <c r="G24" s="176"/>
      <c r="H24" s="176"/>
      <c r="I24" s="117"/>
      <c r="J24" s="118"/>
    </row>
    <row r="25" spans="2:10" ht="12.75" customHeight="1" x14ac:dyDescent="0.3">
      <c r="B25" s="87"/>
      <c r="E25" s="121"/>
      <c r="F25" s="119"/>
      <c r="G25" s="174"/>
      <c r="H25" s="175"/>
      <c r="I25" s="120"/>
      <c r="J25" s="118"/>
    </row>
    <row r="26" spans="2:10" ht="12" customHeight="1" x14ac:dyDescent="0.3">
      <c r="B26" s="87"/>
      <c r="E26" s="121"/>
      <c r="F26" s="116"/>
      <c r="G26" s="176"/>
      <c r="H26" s="176"/>
      <c r="I26" s="117"/>
      <c r="J26" s="118"/>
    </row>
    <row r="27" spans="2:10" ht="14.25" customHeight="1" x14ac:dyDescent="0.3">
      <c r="B27" s="87"/>
      <c r="E27" s="121"/>
      <c r="F27" s="119"/>
      <c r="G27" s="174"/>
      <c r="H27" s="175"/>
      <c r="I27" s="120"/>
      <c r="J27" s="118"/>
    </row>
    <row r="28" spans="2:10" ht="12.75" customHeight="1" x14ac:dyDescent="0.3">
      <c r="B28" s="87"/>
      <c r="E28" s="121"/>
      <c r="F28" s="116"/>
      <c r="G28" s="176"/>
      <c r="H28" s="176"/>
      <c r="I28" s="117"/>
      <c r="J28" s="118"/>
    </row>
    <row r="29" spans="2:10" ht="12.75" customHeight="1" x14ac:dyDescent="0.3">
      <c r="B29" s="87"/>
      <c r="E29" s="121"/>
      <c r="F29" s="119"/>
      <c r="G29" s="174"/>
      <c r="H29" s="175"/>
      <c r="I29" s="120"/>
      <c r="J29" s="118"/>
    </row>
    <row r="30" spans="2:10" ht="12.75" customHeight="1" x14ac:dyDescent="0.3">
      <c r="B30" s="87"/>
      <c r="E30" s="121"/>
      <c r="F30" s="116"/>
      <c r="G30" s="176"/>
      <c r="H30" s="176"/>
      <c r="I30" s="117"/>
      <c r="J30" s="118"/>
    </row>
    <row r="31" spans="2:10" ht="13.5" customHeight="1" x14ac:dyDescent="0.3">
      <c r="B31" s="87"/>
      <c r="E31" s="121"/>
      <c r="F31" s="119"/>
      <c r="G31" s="174"/>
      <c r="H31" s="175"/>
      <c r="I31" s="120"/>
      <c r="J31" s="118"/>
    </row>
    <row r="32" spans="2:10" ht="13.5" customHeight="1" x14ac:dyDescent="0.3">
      <c r="B32" s="87"/>
      <c r="E32" s="121"/>
      <c r="F32" s="116"/>
      <c r="G32" s="176"/>
      <c r="H32" s="176"/>
      <c r="I32" s="117"/>
      <c r="J32" s="118"/>
    </row>
    <row r="33" spans="2:10" ht="13.5" customHeight="1" x14ac:dyDescent="0.3">
      <c r="B33" s="87"/>
      <c r="E33" s="121"/>
      <c r="F33" s="119"/>
      <c r="G33" s="174"/>
      <c r="H33" s="175"/>
      <c r="I33" s="120"/>
      <c r="J33" s="118"/>
    </row>
    <row r="34" spans="2:10" ht="13.5" customHeight="1" x14ac:dyDescent="0.3">
      <c r="B34" s="87"/>
      <c r="E34" s="121"/>
      <c r="F34" s="116"/>
      <c r="G34" s="176"/>
      <c r="H34" s="176"/>
      <c r="I34" s="117"/>
      <c r="J34" s="118"/>
    </row>
    <row r="35" spans="2:10" ht="12.75" customHeight="1" x14ac:dyDescent="0.3">
      <c r="B35" s="87"/>
      <c r="E35" s="121"/>
      <c r="F35" s="119"/>
      <c r="G35" s="174"/>
      <c r="H35" s="175"/>
      <c r="I35" s="120"/>
      <c r="J35" s="118"/>
    </row>
    <row r="36" spans="2:10" x14ac:dyDescent="0.3">
      <c r="B36" s="87"/>
      <c r="E36" s="121"/>
      <c r="F36" s="116"/>
      <c r="G36" s="176"/>
      <c r="H36" s="176"/>
      <c r="I36" s="117"/>
      <c r="J36" s="118"/>
    </row>
    <row r="37" spans="2:10" ht="13.5" customHeight="1" x14ac:dyDescent="0.3">
      <c r="B37" s="87"/>
      <c r="E37" s="121"/>
      <c r="F37" s="119"/>
      <c r="G37" s="174"/>
      <c r="H37" s="175"/>
      <c r="I37" s="120"/>
      <c r="J37" s="118"/>
    </row>
    <row r="38" spans="2:10" x14ac:dyDescent="0.3">
      <c r="B38" s="87"/>
      <c r="E38" s="121"/>
      <c r="F38" s="116"/>
      <c r="G38" s="176"/>
      <c r="H38" s="176"/>
      <c r="I38" s="117"/>
      <c r="J38" s="118"/>
    </row>
    <row r="39" spans="2:10" ht="13.5" customHeight="1" x14ac:dyDescent="0.3">
      <c r="B39" s="87"/>
      <c r="E39" s="121"/>
      <c r="F39" s="119"/>
      <c r="G39" s="174"/>
      <c r="H39" s="175"/>
      <c r="I39" s="120"/>
      <c r="J39" s="118"/>
    </row>
    <row r="40" spans="2:10" ht="14.25" customHeight="1" x14ac:dyDescent="0.3">
      <c r="B40" s="87"/>
      <c r="E40" s="121"/>
      <c r="F40" s="116"/>
      <c r="G40" s="176"/>
      <c r="H40" s="176"/>
      <c r="I40" s="117"/>
      <c r="J40" s="118"/>
    </row>
    <row r="41" spans="2:10" ht="14.25" customHeight="1" x14ac:dyDescent="0.3">
      <c r="B41" s="87"/>
      <c r="E41" s="121"/>
      <c r="F41" s="119"/>
      <c r="G41" s="174"/>
      <c r="H41" s="175"/>
      <c r="I41" s="120"/>
      <c r="J41" s="118"/>
    </row>
    <row r="42" spans="2:10" x14ac:dyDescent="0.3">
      <c r="B42" s="87"/>
      <c r="E42" s="121"/>
      <c r="F42" s="116"/>
      <c r="G42" s="176"/>
      <c r="H42" s="176"/>
      <c r="I42" s="117"/>
      <c r="J42" s="118"/>
    </row>
    <row r="43" spans="2:10" x14ac:dyDescent="0.3">
      <c r="B43" s="87"/>
      <c r="E43" s="121"/>
      <c r="F43" s="119"/>
      <c r="G43" s="174"/>
      <c r="H43" s="175"/>
      <c r="I43" s="120"/>
      <c r="J43" s="118"/>
    </row>
    <row r="44" spans="2:10" ht="9" customHeight="1" x14ac:dyDescent="0.3">
      <c r="B44" s="87"/>
      <c r="E44" s="95"/>
      <c r="F44" s="92"/>
      <c r="G44" s="178"/>
      <c r="H44" s="178"/>
      <c r="I44" s="94"/>
      <c r="J44" s="122"/>
    </row>
    <row r="45" spans="2:10" ht="15" customHeight="1" x14ac:dyDescent="0.3">
      <c r="B45" s="87"/>
      <c r="E45" s="95"/>
      <c r="F45" s="92"/>
      <c r="G45" s="93"/>
      <c r="H45" s="94"/>
      <c r="I45" s="120"/>
      <c r="J45" s="118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9">
        <f>+F18+F20+F22+F24+F26+F28+F30+F32+F34+F36+F38+F40+F42</f>
        <v>2300</v>
      </c>
      <c r="E47" s="180"/>
    </row>
    <row r="48" spans="2:10" ht="17.25" customHeight="1" x14ac:dyDescent="0.3">
      <c r="B48" s="177" t="s">
        <v>105</v>
      </c>
      <c r="C48" s="177"/>
      <c r="D48" s="177"/>
      <c r="E48" s="177"/>
    </row>
    <row r="49" spans="2:5" ht="21.75" customHeight="1" x14ac:dyDescent="0.3">
      <c r="B49" s="177"/>
      <c r="C49" s="177"/>
      <c r="D49" s="177"/>
      <c r="E49" s="177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1"/>
  <sheetViews>
    <sheetView topLeftCell="A10" zoomScale="70" zoomScaleNormal="70" workbookViewId="0">
      <selection activeCell="C32" sqref="C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7" t="s">
        <v>178</v>
      </c>
      <c r="C1" s="167"/>
      <c r="D1" s="167"/>
      <c r="E1" s="167"/>
      <c r="F1" s="166" t="str">
        <f>+Инвойс!F1</f>
        <v xml:space="preserve"> 01.09.2025г.</v>
      </c>
      <c r="G1" s="166"/>
      <c r="H1" s="166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68" t="str">
        <f>+Инвойс!C2</f>
        <v>к контракту № АG/B-2/0725 от 25.07.2025 года</v>
      </c>
      <c r="D2" s="168"/>
      <c r="E2" s="168"/>
      <c r="F2" s="168"/>
      <c r="G2" s="168"/>
      <c r="H2" s="168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58" t="s">
        <v>19</v>
      </c>
      <c r="B4" s="158"/>
      <c r="C4" s="158"/>
      <c r="D4" s="158"/>
      <c r="E4" s="158"/>
      <c r="G4" s="158" t="s">
        <v>20</v>
      </c>
      <c r="H4" s="158"/>
      <c r="I4" s="158"/>
      <c r="J4" s="158"/>
      <c r="K4" s="158"/>
      <c r="L4" s="158"/>
      <c r="M4" s="158"/>
    </row>
    <row r="5" spans="1:15" ht="14.25" customHeight="1" x14ac:dyDescent="0.25">
      <c r="A5" s="169" t="str">
        <f>+Инвойс!A5</f>
        <v>ООО “AAZZ GROUP”</v>
      </c>
      <c r="B5" s="169"/>
      <c r="C5" s="169"/>
      <c r="D5" s="169"/>
      <c r="E5" s="169"/>
      <c r="F5" s="6"/>
      <c r="G5" s="160" t="str">
        <f>+Инвойс!G5</f>
        <v>ООО «БЕНУА»</v>
      </c>
      <c r="H5" s="160"/>
      <c r="I5" s="160"/>
      <c r="J5" s="160"/>
      <c r="K5" s="160"/>
      <c r="L5" s="160"/>
      <c r="M5" s="160"/>
    </row>
    <row r="6" spans="1:15" ht="13.8" x14ac:dyDescent="0.25">
      <c r="A6" s="186" t="str">
        <f>+Инвойс!A6</f>
        <v xml:space="preserve">Респyблика Узбекистан, Хорезмская область, </v>
      </c>
      <c r="B6" s="186"/>
      <c r="C6" s="186"/>
      <c r="D6" s="186"/>
      <c r="E6" s="186"/>
      <c r="F6" s="7"/>
      <c r="G6" s="185" t="str">
        <f>+Инвойс!G6</f>
        <v>199004, г. Санкт-Петербург, наб. Макарова, д. 14,</v>
      </c>
      <c r="H6" s="185"/>
      <c r="I6" s="185"/>
      <c r="J6" s="185"/>
      <c r="K6" s="185"/>
      <c r="L6" s="185"/>
      <c r="M6" s="185"/>
      <c r="N6" s="4"/>
    </row>
    <row r="7" spans="1:15" ht="13.8" x14ac:dyDescent="0.25">
      <c r="A7" s="186" t="str">
        <f>+Инвойс!A7</f>
        <v>Ургенчский р-н, Мевазор МФИ, улица Мустакиллик, д.6/2</v>
      </c>
      <c r="B7" s="186"/>
      <c r="C7" s="186"/>
      <c r="D7" s="186"/>
      <c r="E7" s="186"/>
      <c r="F7" s="63"/>
      <c r="G7" s="185" t="str">
        <f>+Инвойс!G7</f>
        <v>литера А, пом. 1-Н, рабочее место 11.</v>
      </c>
      <c r="H7" s="185"/>
      <c r="I7" s="185"/>
      <c r="J7" s="185"/>
      <c r="K7" s="185"/>
      <c r="L7" s="185"/>
      <c r="M7" s="185"/>
    </row>
    <row r="8" spans="1:15" ht="15" customHeight="1" x14ac:dyDescent="0.25">
      <c r="A8" s="186" t="str">
        <f>+Инвойс!A8</f>
        <v xml:space="preserve">Р/с 20208840707099612003  (USD)  </v>
      </c>
      <c r="B8" s="186"/>
      <c r="C8" s="186"/>
      <c r="D8" s="186"/>
      <c r="E8" s="186"/>
      <c r="F8" s="63"/>
      <c r="G8" s="185" t="str">
        <f>+Инвойс!G8</f>
        <v xml:space="preserve">ОГРН 1247800053544 / ИНН: 7801734052 / 780101001 </v>
      </c>
      <c r="H8" s="185"/>
      <c r="I8" s="185"/>
      <c r="J8" s="185"/>
      <c r="K8" s="185"/>
      <c r="L8" s="185"/>
      <c r="M8" s="185"/>
    </row>
    <row r="9" spans="1:15" ht="13.8" x14ac:dyDescent="0.25">
      <c r="A9" s="186" t="str">
        <f>+Инвойс!A9</f>
        <v xml:space="preserve">Банк: АКБ «Гарант Банк » </v>
      </c>
      <c r="B9" s="186"/>
      <c r="C9" s="186"/>
      <c r="D9" s="186"/>
      <c r="E9" s="186"/>
      <c r="F9" s="7"/>
      <c r="G9" s="185" t="str">
        <f>+Инвойс!G9</f>
        <v>Банк: Азия-Инвест Банк (АО) Свифт: ASIJRUMM</v>
      </c>
      <c r="H9" s="185"/>
      <c r="I9" s="185"/>
      <c r="J9" s="185"/>
      <c r="K9" s="185"/>
      <c r="L9" s="185"/>
      <c r="M9" s="185"/>
      <c r="O9" s="7"/>
    </row>
    <row r="10" spans="1:15" ht="13.8" x14ac:dyDescent="0.25">
      <c r="A10" s="186" t="str">
        <f>+Инвойс!A10</f>
        <v>МФО: 00439; SWIFTCode: JSCSUZ22</v>
      </c>
      <c r="B10" s="186"/>
      <c r="C10" s="186"/>
      <c r="D10" s="186"/>
      <c r="E10" s="186"/>
      <c r="F10" s="7"/>
      <c r="G10" s="185" t="str">
        <f>+Инвойс!G10</f>
        <v xml:space="preserve">Счет получателя (RUB)№ 40702810302100012537 </v>
      </c>
      <c r="H10" s="185"/>
      <c r="I10" s="185"/>
      <c r="J10" s="185"/>
      <c r="K10" s="185"/>
      <c r="L10" s="185"/>
      <c r="M10" s="185"/>
    </row>
    <row r="11" spans="1:15" ht="13.8" x14ac:dyDescent="0.25">
      <c r="A11" s="186" t="str">
        <f>+Инвойс!A11</f>
        <v>ИНН: 311440436</v>
      </c>
      <c r="B11" s="186"/>
      <c r="C11" s="186"/>
      <c r="D11" s="186"/>
      <c r="E11" s="186"/>
      <c r="F11" s="7"/>
      <c r="G11" s="185" t="str">
        <f>+Инвойс!G11</f>
        <v xml:space="preserve">К/С 21002840900090007001 Банк-корреспондент: УЗНАЦБАНК </v>
      </c>
      <c r="H11" s="185"/>
      <c r="I11" s="185"/>
      <c r="J11" s="185"/>
      <c r="K11" s="185"/>
      <c r="L11" s="185"/>
      <c r="M11" s="185"/>
    </row>
    <row r="12" spans="1:15" ht="60.6" customHeight="1" x14ac:dyDescent="0.25">
      <c r="A12" s="165"/>
      <c r="B12" s="165"/>
      <c r="C12" s="165"/>
      <c r="D12" s="165"/>
      <c r="E12" s="8"/>
      <c r="F12" s="7"/>
      <c r="G12" s="165"/>
      <c r="H12" s="165"/>
      <c r="I12" s="165"/>
      <c r="J12" s="165"/>
      <c r="K12" s="165"/>
      <c r="L12" s="165"/>
      <c r="M12" s="165"/>
    </row>
    <row r="13" spans="1:15" ht="24" customHeight="1" x14ac:dyDescent="0.35">
      <c r="A13" s="158" t="s">
        <v>31</v>
      </c>
      <c r="B13" s="158"/>
      <c r="C13" s="158"/>
      <c r="D13" s="158"/>
      <c r="E13" s="158"/>
      <c r="G13" s="158" t="s">
        <v>21</v>
      </c>
      <c r="H13" s="159"/>
      <c r="I13" s="159"/>
      <c r="J13" s="159"/>
      <c r="K13" s="159"/>
      <c r="L13" s="159"/>
      <c r="M13" s="159"/>
    </row>
    <row r="14" spans="1:15" ht="14.25" customHeight="1" x14ac:dyDescent="0.25">
      <c r="A14" s="169" t="str">
        <f>+Инвойс!A14</f>
        <v>ООО “AAZZ GROUP”</v>
      </c>
      <c r="B14" s="169"/>
      <c r="C14" s="169"/>
      <c r="D14" s="169"/>
      <c r="E14" s="169"/>
      <c r="F14" s="6"/>
      <c r="G14" s="160" t="str">
        <f>+Инвойс!G14</f>
        <v>OOO «Сармант-ЮГ»</v>
      </c>
      <c r="H14" s="160"/>
      <c r="I14" s="160"/>
      <c r="J14" s="160"/>
      <c r="K14" s="160"/>
      <c r="L14" s="160"/>
      <c r="M14" s="160"/>
    </row>
    <row r="15" spans="1:15" ht="13.95" customHeight="1" x14ac:dyDescent="0.25">
      <c r="A15" s="186" t="str">
        <f>+Инвойс!A15</f>
        <v xml:space="preserve">Респyблика Узбекистан, Хорезмская область, </v>
      </c>
      <c r="B15" s="186"/>
      <c r="C15" s="186"/>
      <c r="D15" s="186"/>
      <c r="E15" s="186"/>
      <c r="F15" s="7"/>
      <c r="G15" s="185" t="str">
        <f>+Инвойс!G15</f>
        <v xml:space="preserve">196006, город Санкт-Петербург, улица Новорощинская, </v>
      </c>
      <c r="H15" s="185"/>
      <c r="I15" s="185"/>
      <c r="J15" s="185"/>
      <c r="K15" s="185"/>
      <c r="L15" s="185"/>
      <c r="M15" s="185"/>
    </row>
    <row r="16" spans="1:15" ht="15" customHeight="1" x14ac:dyDescent="0.25">
      <c r="A16" s="186" t="str">
        <f>+Инвойс!A16</f>
        <v>Ургенчский р-н, Мевазор МФИ, улица Мустакиллик, д.6/2</v>
      </c>
      <c r="B16" s="186"/>
      <c r="C16" s="186"/>
      <c r="D16" s="186"/>
      <c r="E16" s="186"/>
      <c r="F16" s="63"/>
      <c r="G16" s="185" t="str">
        <f>+Инвойс!G16</f>
        <v>дом 4, литер А, 1Н помещение 363 офис 609-1</v>
      </c>
      <c r="H16" s="185"/>
      <c r="I16" s="185"/>
      <c r="J16" s="185"/>
      <c r="K16" s="185"/>
      <c r="L16" s="185"/>
      <c r="M16" s="185"/>
    </row>
    <row r="17" spans="1:17" ht="15" customHeight="1" x14ac:dyDescent="0.25">
      <c r="A17" s="186" t="str">
        <f>+Инвойс!A17</f>
        <v xml:space="preserve">Р/с 20208840707099612003  (USD)  </v>
      </c>
      <c r="B17" s="186"/>
      <c r="C17" s="186"/>
      <c r="D17" s="186"/>
      <c r="E17" s="186"/>
      <c r="F17" s="63"/>
      <c r="G17" s="185" t="str">
        <f>+Инвойс!G17</f>
        <v>р/с USD 40702810226710000073</v>
      </c>
      <c r="H17" s="185"/>
      <c r="I17" s="185"/>
      <c r="J17" s="185"/>
      <c r="K17" s="185"/>
      <c r="L17" s="185"/>
      <c r="M17" s="185"/>
    </row>
    <row r="18" spans="1:17" ht="15" customHeight="1" x14ac:dyDescent="0.25">
      <c r="A18" s="186" t="str">
        <f>+Инвойс!A18</f>
        <v xml:space="preserve">Банк: АКБ «Гарант Банк » </v>
      </c>
      <c r="B18" s="186"/>
      <c r="C18" s="186"/>
      <c r="D18" s="186"/>
      <c r="E18" s="186"/>
      <c r="F18" s="7"/>
      <c r="G18" s="185" t="str">
        <f>+Инвойс!G18</f>
        <v>Банк: Филиал «Центральный» Банка ВТБ (ПАО) в г. Москве</v>
      </c>
      <c r="H18" s="185"/>
      <c r="I18" s="185"/>
      <c r="J18" s="185"/>
      <c r="K18" s="185"/>
      <c r="L18" s="185"/>
      <c r="M18" s="185"/>
    </row>
    <row r="19" spans="1:17" ht="15" customHeight="1" x14ac:dyDescent="0.25">
      <c r="A19" s="186" t="str">
        <f>+Инвойс!A19</f>
        <v>МФО: 00439; SWIFTCode: JSCSUZ22</v>
      </c>
      <c r="B19" s="186"/>
      <c r="C19" s="186"/>
      <c r="D19" s="186"/>
      <c r="E19" s="186"/>
      <c r="F19" s="7"/>
      <c r="G19" s="185" t="str">
        <f>+Инвойс!G19</f>
        <v>SWIFT: VTBRRUM2MS2</v>
      </c>
      <c r="H19" s="185"/>
      <c r="I19" s="185"/>
      <c r="J19" s="185"/>
      <c r="K19" s="185"/>
      <c r="L19" s="185"/>
      <c r="M19" s="185"/>
    </row>
    <row r="20" spans="1:17" ht="15" customHeight="1" x14ac:dyDescent="0.25">
      <c r="A20" s="186" t="str">
        <f>+Инвойс!A20</f>
        <v xml:space="preserve">ИНН: 311440436 </v>
      </c>
      <c r="B20" s="186"/>
      <c r="C20" s="186"/>
      <c r="D20" s="186"/>
      <c r="E20" s="186"/>
      <c r="F20" s="7"/>
      <c r="G20" s="185" t="str">
        <f>+Инвойс!G20</f>
        <v>ИНН/КПП 7805640197/ 781001001 ОГРН 1147847003193</v>
      </c>
      <c r="H20" s="185"/>
      <c r="I20" s="185"/>
      <c r="J20" s="185"/>
      <c r="K20" s="185"/>
      <c r="L20" s="185"/>
      <c r="M20" s="185"/>
    </row>
    <row r="21" spans="1:17" ht="64.2" customHeight="1" x14ac:dyDescent="0.25">
      <c r="A21" s="165"/>
      <c r="B21" s="165"/>
      <c r="C21" s="165"/>
      <c r="D21" s="165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7" t="s">
        <v>160</v>
      </c>
      <c r="D23" s="187"/>
      <c r="E23" s="187"/>
      <c r="F23" s="187"/>
      <c r="G23" s="187"/>
      <c r="H23" s="187"/>
      <c r="I23" s="187"/>
      <c r="J23" s="187"/>
      <c r="K23" s="187"/>
      <c r="L23" s="187"/>
      <c r="M23" s="187"/>
    </row>
    <row r="24" spans="1:17" ht="15.6" x14ac:dyDescent="0.3">
      <c r="A24" s="20" t="s">
        <v>22</v>
      </c>
      <c r="C24" s="18" t="str">
        <f>+Инвойс!C24</f>
        <v>DAP - г. Москва, Российская Федерация (согласно Incoterms 2010)</v>
      </c>
      <c r="D24" s="127"/>
      <c r="E24" s="127"/>
      <c r="F24" s="127"/>
      <c r="G24" s="127"/>
      <c r="H24" s="127"/>
      <c r="I24" s="127"/>
      <c r="J24" s="127"/>
      <c r="K24" s="127"/>
      <c r="L24" s="127"/>
      <c r="M24" s="127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3" t="str">
        <f>+Инвойс!E26</f>
        <v>90120NBA/907327AA</v>
      </c>
      <c r="F26" s="154"/>
      <c r="G26" s="154"/>
      <c r="J26" s="21"/>
    </row>
    <row r="27" spans="1:17" ht="34.5" customHeight="1" x14ac:dyDescent="0.25">
      <c r="A27" s="67" t="s">
        <v>118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0" t="s">
        <v>7</v>
      </c>
      <c r="H28" s="151"/>
      <c r="I28" s="148" t="s">
        <v>8</v>
      </c>
      <c r="J28" s="110" t="s">
        <v>9</v>
      </c>
      <c r="K28" s="150" t="s">
        <v>10</v>
      </c>
      <c r="L28" s="151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0" t="s">
        <v>12</v>
      </c>
      <c r="H29" s="110" t="s">
        <v>13</v>
      </c>
      <c r="I29" s="149"/>
      <c r="J29" s="111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4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2300</v>
      </c>
      <c r="F30" s="109" t="str">
        <f>+Инвойс!F30</f>
        <v>кг</v>
      </c>
      <c r="G30" s="105">
        <f>+Инвойс!G30</f>
        <v>22650</v>
      </c>
      <c r="H30" s="105">
        <f>+Инвойс!H30</f>
        <v>21040</v>
      </c>
      <c r="I30" s="107">
        <f>+Инвойс!I30</f>
        <v>0.95</v>
      </c>
      <c r="J30" s="13">
        <f>+Инвойс!J30</f>
        <v>19988</v>
      </c>
      <c r="K30" s="12">
        <f>+Инвойс!K30</f>
        <v>0</v>
      </c>
      <c r="L30" s="12">
        <f>+Инвойс!L30</f>
        <v>0</v>
      </c>
      <c r="M30" s="13">
        <f>+Инвойс!M30</f>
        <v>19988</v>
      </c>
      <c r="O30" s="99"/>
      <c r="Q30" s="99"/>
    </row>
    <row r="31" spans="1:17" ht="13.8" x14ac:dyDescent="0.25">
      <c r="A31" s="163" t="s">
        <v>0</v>
      </c>
      <c r="B31" s="164"/>
      <c r="C31" s="14"/>
      <c r="D31" s="15"/>
      <c r="E31" s="64">
        <f>SUM(E30:E30)</f>
        <v>2300</v>
      </c>
      <c r="F31" s="15"/>
      <c r="G31" s="128">
        <f>+Инвойс!G31</f>
        <v>22650</v>
      </c>
      <c r="H31" s="128">
        <f>+Инвойс!H31</f>
        <v>21040</v>
      </c>
      <c r="I31" s="101"/>
      <c r="J31" s="13">
        <f>+Инвойс!J31</f>
        <v>19988</v>
      </c>
      <c r="K31" s="16"/>
      <c r="L31" s="16"/>
      <c r="M31" s="13">
        <f>+Инвойс!M31</f>
        <v>19988</v>
      </c>
      <c r="P31" s="66"/>
    </row>
    <row r="32" spans="1:17" ht="13.8" x14ac:dyDescent="0.3">
      <c r="A32" s="2" t="s">
        <v>17</v>
      </c>
      <c r="B32" s="3"/>
      <c r="C32" s="11"/>
      <c r="D32" s="11"/>
      <c r="E32" s="161" t="str">
        <f>Лист1!B3</f>
        <v>Девятнадцать тысяч девятьсот восемьдесят восемь долларов США, 00 центов.</v>
      </c>
      <c r="F32" s="162"/>
      <c r="G32" s="162"/>
      <c r="H32" s="162"/>
      <c r="I32" s="162"/>
      <c r="J32" s="162"/>
      <c r="K32" s="162"/>
      <c r="L32" s="162"/>
      <c r="M32" s="162"/>
    </row>
    <row r="33" spans="1:14" ht="13.8" x14ac:dyDescent="0.3">
      <c r="A33" s="2"/>
      <c r="B33" s="3"/>
      <c r="C33" s="11"/>
      <c r="D33" s="11"/>
      <c r="E33" s="125"/>
      <c r="F33" s="126"/>
      <c r="G33" s="126"/>
      <c r="H33" s="126"/>
      <c r="I33" s="126"/>
      <c r="J33" s="126"/>
      <c r="K33" s="126"/>
      <c r="L33" s="126"/>
      <c r="M33" s="126"/>
    </row>
    <row r="34" spans="1:14" x14ac:dyDescent="0.25">
      <c r="A34" s="155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</row>
    <row r="35" spans="1:14" x14ac:dyDescent="0.25">
      <c r="A35" s="155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26"/>
    </row>
    <row r="36" spans="1:14" ht="13.8" x14ac:dyDescent="0.25">
      <c r="A36" s="130" t="s">
        <v>161</v>
      </c>
      <c r="D36" s="18" t="s">
        <v>140</v>
      </c>
      <c r="G36" s="129" t="s">
        <v>162</v>
      </c>
      <c r="H36" s="129"/>
      <c r="L36" s="18" t="s">
        <v>164</v>
      </c>
    </row>
    <row r="37" spans="1:14" ht="13.8" x14ac:dyDescent="0.25">
      <c r="A37" s="130" t="str">
        <f>+Инвойс!A5</f>
        <v>ООО “AAZZ GROUP”</v>
      </c>
      <c r="B37" s="7"/>
      <c r="D37" s="25"/>
      <c r="E37" s="24"/>
      <c r="G37" s="18" t="str">
        <f>+Инвойс!G5</f>
        <v>ООО «БЕНУА»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  <row r="50" spans="7:12" x14ac:dyDescent="0.25">
      <c r="G50" s="18" t="str">
        <f>+Инвойс!G13</f>
        <v xml:space="preserve">Грузополучатель: </v>
      </c>
      <c r="L50" s="131" t="s">
        <v>163</v>
      </c>
    </row>
    <row r="51" spans="7:12" x14ac:dyDescent="0.25">
      <c r="G51" s="18" t="str">
        <f>+Инвойс!G14</f>
        <v>OOO «Сармант-ЮГ»</v>
      </c>
    </row>
  </sheetData>
  <mergeCells count="54">
    <mergeCell ref="F1:H1"/>
    <mergeCell ref="C2:H2"/>
    <mergeCell ref="A4:E4"/>
    <mergeCell ref="G4:M4"/>
    <mergeCell ref="A5:E5"/>
    <mergeCell ref="G5:M5"/>
    <mergeCell ref="A13:E13"/>
    <mergeCell ref="G13:M13"/>
    <mergeCell ref="G9:M9"/>
    <mergeCell ref="G10:M10"/>
    <mergeCell ref="G11:M11"/>
    <mergeCell ref="C23:M23"/>
    <mergeCell ref="A17:E17"/>
    <mergeCell ref="A18:E18"/>
    <mergeCell ref="A19:E19"/>
    <mergeCell ref="A20:E20"/>
    <mergeCell ref="A16:E16"/>
    <mergeCell ref="I28:I29"/>
    <mergeCell ref="E26:G26"/>
    <mergeCell ref="A28:A29"/>
    <mergeCell ref="B28:B29"/>
    <mergeCell ref="C28:C29"/>
    <mergeCell ref="D28:D29"/>
    <mergeCell ref="E28:E29"/>
    <mergeCell ref="F28:F29"/>
    <mergeCell ref="G28:H28"/>
    <mergeCell ref="G17:M17"/>
    <mergeCell ref="G18:M18"/>
    <mergeCell ref="G19:M19"/>
    <mergeCell ref="G20:M20"/>
    <mergeCell ref="G16:M16"/>
    <mergeCell ref="A21:D21"/>
    <mergeCell ref="A14:E14"/>
    <mergeCell ref="G14:M14"/>
    <mergeCell ref="G15:M15"/>
    <mergeCell ref="B1:E1"/>
    <mergeCell ref="A6:E6"/>
    <mergeCell ref="A7:E7"/>
    <mergeCell ref="A8:E8"/>
    <mergeCell ref="A9:E9"/>
    <mergeCell ref="A15:E15"/>
    <mergeCell ref="G6:M6"/>
    <mergeCell ref="G7:M7"/>
    <mergeCell ref="G8:M8"/>
    <mergeCell ref="A12:D12"/>
    <mergeCell ref="G12:M12"/>
    <mergeCell ref="A10:E10"/>
    <mergeCell ref="A11:E11"/>
    <mergeCell ref="A35:M35"/>
    <mergeCell ref="K28:L28"/>
    <mergeCell ref="M28:M29"/>
    <mergeCell ref="A31:B31"/>
    <mergeCell ref="E32:M32"/>
    <mergeCell ref="A34:M34"/>
  </mergeCells>
  <pageMargins left="0.7" right="0.7" top="0.75" bottom="0.75" header="0.3" footer="0.3"/>
  <pageSetup paperSize="9" scale="64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6"/>
  <sheetViews>
    <sheetView workbookViewId="0">
      <selection activeCell="N9" sqref="N9"/>
    </sheetView>
  </sheetViews>
  <sheetFormatPr defaultRowHeight="13.2" x14ac:dyDescent="0.25"/>
  <sheetData>
    <row r="1" spans="1:18" ht="30" customHeight="1" x14ac:dyDescent="0.25">
      <c r="A1" s="152" t="s">
        <v>120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</row>
    <row r="2" spans="1:18" x14ac:dyDescent="0.25">
      <c r="A2" s="18"/>
    </row>
    <row r="3" spans="1:18" ht="30.75" customHeight="1" x14ac:dyDescent="0.25">
      <c r="A3" s="152" t="s">
        <v>130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M3" s="18" t="s">
        <v>152</v>
      </c>
      <c r="R3" s="25" t="s">
        <v>153</v>
      </c>
    </row>
    <row r="5" spans="1:18" ht="24.75" customHeight="1" x14ac:dyDescent="0.25">
      <c r="A5" s="152" t="s">
        <v>114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M5" s="18" t="s">
        <v>157</v>
      </c>
      <c r="R5" s="25" t="s">
        <v>154</v>
      </c>
    </row>
    <row r="6" spans="1:18" x14ac:dyDescent="0.25">
      <c r="A6" s="18"/>
    </row>
    <row r="7" spans="1:18" ht="38.25" customHeight="1" x14ac:dyDescent="0.25">
      <c r="A7" s="152" t="s">
        <v>121</v>
      </c>
      <c r="B7" s="152"/>
      <c r="C7" s="152"/>
      <c r="D7" s="152"/>
      <c r="E7" s="152"/>
      <c r="F7" s="152"/>
      <c r="G7" s="152"/>
      <c r="H7" s="152"/>
      <c r="I7" s="152"/>
      <c r="J7" s="152"/>
      <c r="K7" s="152"/>
      <c r="M7" s="18" t="s">
        <v>158</v>
      </c>
      <c r="R7" s="25" t="s">
        <v>155</v>
      </c>
    </row>
    <row r="9" spans="1:18" ht="23.25" customHeight="1" x14ac:dyDescent="0.25">
      <c r="A9" s="152" t="s">
        <v>122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M9" s="18" t="s">
        <v>159</v>
      </c>
      <c r="R9" s="25" t="s">
        <v>156</v>
      </c>
    </row>
    <row r="10" spans="1:18" x14ac:dyDescent="0.25">
      <c r="A10" s="18"/>
    </row>
    <row r="11" spans="1:18" ht="27" customHeight="1" x14ac:dyDescent="0.25">
      <c r="A11" s="152" t="s">
        <v>123</v>
      </c>
      <c r="B11" s="152"/>
      <c r="C11" s="152"/>
      <c r="D11" s="152"/>
      <c r="E11" s="152"/>
      <c r="F11" s="152"/>
      <c r="G11" s="152"/>
      <c r="H11" s="152"/>
      <c r="I11" s="152"/>
      <c r="J11" s="152"/>
      <c r="K11" s="152"/>
    </row>
    <row r="13" spans="1:18" ht="25.5" customHeight="1" x14ac:dyDescent="0.25">
      <c r="A13" s="152" t="s">
        <v>124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</row>
    <row r="14" spans="1:18" x14ac:dyDescent="0.25">
      <c r="A14" s="18"/>
    </row>
    <row r="15" spans="1:18" ht="24.75" customHeight="1" x14ac:dyDescent="0.25">
      <c r="A15" s="152" t="s">
        <v>126</v>
      </c>
      <c r="B15" s="152"/>
      <c r="C15" s="152"/>
      <c r="D15" s="152"/>
      <c r="E15" s="152"/>
      <c r="F15" s="152"/>
      <c r="G15" s="152"/>
      <c r="H15" s="152"/>
      <c r="I15" s="152"/>
      <c r="J15" s="152"/>
      <c r="K15" s="152"/>
    </row>
    <row r="17" spans="1:14" ht="27.75" customHeight="1" x14ac:dyDescent="0.25">
      <c r="A17" s="189" t="s">
        <v>131</v>
      </c>
      <c r="B17" s="189"/>
      <c r="C17" s="189"/>
      <c r="D17" s="189"/>
      <c r="E17" s="189"/>
      <c r="F17" s="189"/>
      <c r="G17" s="189"/>
      <c r="H17" s="189"/>
      <c r="I17" s="189"/>
      <c r="J17" s="189"/>
      <c r="K17" s="189"/>
      <c r="M17" s="70"/>
    </row>
    <row r="18" spans="1:14" x14ac:dyDescent="0.25">
      <c r="A18" s="18"/>
      <c r="M18" s="70"/>
    </row>
    <row r="19" spans="1:14" ht="27.75" customHeight="1" x14ac:dyDescent="0.25">
      <c r="A19" s="189" t="s">
        <v>132</v>
      </c>
      <c r="B19" s="189"/>
      <c r="C19" s="189"/>
      <c r="D19" s="189"/>
      <c r="E19" s="189"/>
      <c r="F19" s="189"/>
      <c r="G19" s="189"/>
      <c r="H19" s="189"/>
      <c r="I19" s="189"/>
      <c r="J19" s="189"/>
      <c r="K19" s="189"/>
    </row>
    <row r="20" spans="1:14" x14ac:dyDescent="0.25">
      <c r="N20" s="188"/>
    </row>
    <row r="21" spans="1:14" ht="12.75" customHeight="1" x14ac:dyDescent="0.25">
      <c r="A21" s="152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N21" s="173"/>
    </row>
    <row r="22" spans="1:14" x14ac:dyDescent="0.25">
      <c r="A22" s="18"/>
    </row>
    <row r="25" spans="1:14" ht="12.75" customHeight="1" x14ac:dyDescent="0.25">
      <c r="A25" s="152"/>
      <c r="B25" s="152"/>
      <c r="C25" s="152"/>
      <c r="D25" s="152"/>
      <c r="E25" s="152"/>
      <c r="F25" s="152"/>
      <c r="G25" s="152"/>
      <c r="H25" s="152"/>
      <c r="I25" s="152"/>
      <c r="J25" s="152"/>
      <c r="K25" s="152"/>
    </row>
    <row r="26" spans="1:14" x14ac:dyDescent="0.25">
      <c r="A26" s="18"/>
    </row>
    <row r="29" spans="1:14" ht="12.75" customHeight="1" x14ac:dyDescent="0.25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</row>
    <row r="30" spans="1:14" x14ac:dyDescent="0.25">
      <c r="A30" s="18"/>
    </row>
    <row r="32" spans="1:14" x14ac:dyDescent="0.25">
      <c r="A32" s="189"/>
      <c r="B32" s="189"/>
      <c r="C32" s="189"/>
      <c r="D32" s="189"/>
      <c r="E32" s="189"/>
      <c r="F32" s="189"/>
      <c r="G32" s="189"/>
      <c r="H32" s="189"/>
      <c r="I32" s="189"/>
      <c r="J32" s="189"/>
      <c r="K32" s="189"/>
    </row>
    <row r="33" spans="1:11" x14ac:dyDescent="0.25">
      <c r="A33" s="18"/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89"/>
      <c r="B35" s="189"/>
      <c r="C35" s="189"/>
      <c r="D35" s="189"/>
      <c r="E35" s="189"/>
      <c r="F35" s="189"/>
      <c r="G35" s="189"/>
      <c r="H35" s="189"/>
      <c r="I35" s="189"/>
      <c r="J35" s="189"/>
      <c r="K35" s="189"/>
    </row>
    <row r="36" spans="1:11" x14ac:dyDescent="0.25">
      <c r="A36" s="18"/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6">
    <mergeCell ref="A32:K32"/>
    <mergeCell ref="A35:K35"/>
    <mergeCell ref="A1:K1"/>
    <mergeCell ref="A5:K5"/>
    <mergeCell ref="A9:K9"/>
    <mergeCell ref="A3:K3"/>
    <mergeCell ref="A7:K7"/>
    <mergeCell ref="A11:K11"/>
    <mergeCell ref="A15:K15"/>
    <mergeCell ref="A19:K19"/>
    <mergeCell ref="N20:N21"/>
    <mergeCell ref="A29:K29"/>
    <mergeCell ref="A13:K13"/>
    <mergeCell ref="A17:K17"/>
    <mergeCell ref="A21:K21"/>
    <mergeCell ref="A25:K25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92" t="s">
        <v>32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</row>
    <row r="2" spans="1:19" ht="15.6" x14ac:dyDescent="0.3">
      <c r="E2" s="27">
        <f>Инвойс!M31</f>
        <v>19988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Девятнадцать тысяч девятьсот восемьдесят восемь долларов США, 00 центов.</v>
      </c>
      <c r="E3" s="31"/>
      <c r="H3" s="32"/>
      <c r="J3" s="32"/>
      <c r="K3" s="32"/>
      <c r="L3" s="32"/>
      <c r="M3" s="33" t="s">
        <v>34</v>
      </c>
      <c r="N3" s="193">
        <f ca="1">TODAY()</f>
        <v>45901</v>
      </c>
      <c r="O3" s="193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Девятнадцать тысяч девятьсот восемьдесят восемь долларов США, 00 центов. (в т.ч. НДС - 357,79)</v>
      </c>
      <c r="H4" s="32"/>
      <c r="I4" s="32"/>
      <c r="J4" s="32"/>
      <c r="K4" s="194" t="str">
        <f ca="1">CONCATENATE(" «  ",P3,"  »  ",Q3,"  ",R3," г.")</f>
        <v xml:space="preserve"> «  1  »  сентября  2025 г.</v>
      </c>
      <c r="L4" s="194"/>
      <c r="M4" s="194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девятнадцать тысяч девятьсот восемьдесят восемь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девятнадцать тысяч девятьсот восемьдесят восемь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95" t="s">
        <v>38</v>
      </c>
      <c r="I7" s="195"/>
      <c r="J7" s="195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95"/>
      <c r="I8" s="195"/>
      <c r="J8" s="195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95"/>
      <c r="I9" s="195"/>
      <c r="J9" s="195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девятнадцать тысяч </v>
      </c>
      <c r="D10" s="47"/>
      <c r="E10" s="48"/>
      <c r="F10" s="41" t="str">
        <f>PROPER(F9)</f>
        <v>Д</v>
      </c>
      <c r="G10" s="42"/>
      <c r="H10" s="195"/>
      <c r="I10" s="195"/>
      <c r="J10" s="195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девятьсот восемьдесят восемь долларов США, </v>
      </c>
      <c r="D11" s="47"/>
      <c r="E11" s="48"/>
      <c r="H11" s="195"/>
      <c r="I11" s="195"/>
      <c r="J11" s="195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45901</v>
      </c>
    </row>
    <row r="13" spans="1:19" s="43" customFormat="1" x14ac:dyDescent="0.25">
      <c r="A13" s="49"/>
      <c r="D13" s="51"/>
      <c r="E13" s="52">
        <f>TRUNC(E2)</f>
        <v>19988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19</v>
      </c>
      <c r="B25" s="47">
        <f>TRUNC(RIGHT(A25))</f>
        <v>9</v>
      </c>
      <c r="C25" s="51">
        <f>IF(B24=1,B25+10,IF(B25=0,0,B25))</f>
        <v>19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 xml:space="preserve">девятнадцать </v>
      </c>
    </row>
    <row r="26" spans="1:9" s="43" customFormat="1" x14ac:dyDescent="0.25">
      <c r="A26" s="54"/>
      <c r="B26" s="47"/>
      <c r="C26" s="51"/>
      <c r="E26" s="57">
        <f>B23*100+B24*10+B25</f>
        <v>19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199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1998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19988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988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96" t="s">
        <v>81</v>
      </c>
      <c r="B44" s="196"/>
      <c r="C44" s="196"/>
      <c r="D44" s="196"/>
      <c r="E44" s="196"/>
      <c r="F44" s="196"/>
      <c r="G44" s="196"/>
      <c r="H44" s="196"/>
      <c r="I44" s="196"/>
      <c r="J44" s="191" t="s">
        <v>82</v>
      </c>
      <c r="K44" s="191"/>
    </row>
    <row r="45" spans="1:11" s="43" customFormat="1" x14ac:dyDescent="0.25">
      <c r="A45" s="196"/>
      <c r="B45" s="196"/>
      <c r="C45" s="196"/>
      <c r="D45" s="196"/>
      <c r="E45" s="196"/>
      <c r="F45" s="196"/>
      <c r="G45" s="196"/>
      <c r="H45" s="196"/>
      <c r="I45" s="196"/>
      <c r="J45" s="191"/>
      <c r="K45" s="191"/>
    </row>
    <row r="46" spans="1:11" s="43" customFormat="1" x14ac:dyDescent="0.25">
      <c r="B46" s="61"/>
      <c r="C46" s="61"/>
      <c r="G46" s="190" t="s">
        <v>83</v>
      </c>
      <c r="H46" s="190"/>
      <c r="I46" s="190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91" t="s">
        <v>85</v>
      </c>
      <c r="B100" s="191"/>
      <c r="C100" s="191"/>
      <c r="D100" s="191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2025-09-01T06:06:06Z</cp:lastPrinted>
  <dcterms:created xsi:type="dcterms:W3CDTF">1996-10-14T23:33:28Z</dcterms:created>
  <dcterms:modified xsi:type="dcterms:W3CDTF">2025-09-01T06:06:13Z</dcterms:modified>
</cp:coreProperties>
</file>