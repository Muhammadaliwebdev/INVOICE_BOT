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64E37171-E8D3-46B9-BFB5-F85DE07E75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1" i="7" l="1"/>
  <c r="A12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<sst xmlns="http://schemas.openxmlformats.org/spreadsheetml/2006/main" count="210" uniqueCount="171">
  <si>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</si>
  <si>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</si>
  <si>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</si>
  <si>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</si>
  <si>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</si>
  <si>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</si>
  <si>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</si>
  <si>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</si>
  <si>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</si>
  <si>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</si>
  <si>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</si>
  <si>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</si>
  <si>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</si>
  <si>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</si>
  <si>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</si>
  <si>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</si>
  <si>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</si>
  <si>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</si>
  <si>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</si>
  <si>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</si>
  <si>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</si>
  <si>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</si>
  <si>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</si>
  <si>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</si>
  <si>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</si>
  <si>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</si>
  <si>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</si>
  <si>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</si>
  <si>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</si>
  <si>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</si>
  <si>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</si>
  <si>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</si>
  <si>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</si>
  <si>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</si>
  <si>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</si>
  <si>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</si>
  <si>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</si>
  <si>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</si>
  <si>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</si>
  <si>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</si>
  <si>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</si>
  <si>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</si>
  <si>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</si>
  <si>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</si>
  <si>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</si>
  <si>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</si>
  <si>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</si>
  <si>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</si>
  <si>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</si>
  <si>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</si>
  <si>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</si>
  <si>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</si>
  <si>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</si>
  <si>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</si>
  <si>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</si>
  <si>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</si>
  <si>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</si>
  <si>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</si>
  <si>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</si>
  <si>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</si>
  <si>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</si>
  <si>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</si>
  <si>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</si>
  <si>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</si>
  <si>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</si>
  <si>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</si>
  <si>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</si>
  <si>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</si>
  <si>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</si>
  <si>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</si>
  <si>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</si>
  <si>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</si>
  <si>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</si>
  <si>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</si>
  <si>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</si>
  <si>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</si>
  <si>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</si>
  <si>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</si>
  <si>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</si>
  <si>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</si>
  <si>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</si>
  <si>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</si>
  <si>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</si>
  <si>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</si>
  <si>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</si>
  <si>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</si>
  <si>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</si>
  <si>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</si>
  <si>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</si>
  <si>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</si>
  <si>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</si>
  <si>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</si>
  <si>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</si>
  <si>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</si>
  <si>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</si>
  <si>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</si>
  <si>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</si>
  <si>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</si>
  <si>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</si>
  <si>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</si>
  <si>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</si>
  <si>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</si>
  <si>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</si>
  <si>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</si>
  <si>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</si>
  <si>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</si>
  <si>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</si>
  <si>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</si>
  <si>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</si>
  <si>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</si>
  <si>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</si>
  <si>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</si>
  <si>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</si>
  <si>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</si>
  <si>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</si>
  <si>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</si>
  <si>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</si>
  <si>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</si>
  <si>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</si>
  <si>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</si>
  <si>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</si>
  <si>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</si>
  <si>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</si>
  <si>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</si>
  <si>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</si>
  <si>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</si>
  <si>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</si>
  <si>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</si>
  <si>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</si>
  <si>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</si>
  <si>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</si>
  <si>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</si>
  <si>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</si>
  <si>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</si>
  <si>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</si>
  <si>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</si>
  <si>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</si>
  <si>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</si>
  <si>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</si>
  <si>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</si>
  <si>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</si>
  <si>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</si>
  <si>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</si>
  <si>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</si>
  <si>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</si>
  <si>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</si>
  <si>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</si>
  <si>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</si>
  <si>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</si>
  <si>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</si>
  <si>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</si>
  <si>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</si>
  <si>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</si>
  <si>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</si>
  <si>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</si>
  <si>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</si>
  <si>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 контракту № EX1908 от 19.08.2025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</si>
  <si>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</si>
  <si>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</si>
  <si>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</si>
  <si>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Доллар США: 20208840607280925001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</si>
  <si>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</si>
  <si>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</si>
  <si>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</si>
  <si>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</si>
  <si>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</si>
  <si>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</si>
  <si>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 xml:space="preserve"> 25.08.2025г.</t>
  </si>
  <si>
    <t xml:space="preserve">ИНВОЙС № EXR-F-19 от </t>
  </si>
  <si>
    <t>20231TAA/301092BA</t>
  </si>
  <si>
    <t xml:space="preserve">СПЕЦИФИКАЦИЯ № EXR-F-19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</si>
</sst>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3.jpeg"/><Relationship Id="rId5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918883</xdr:colOff>
      <xdr:row>36</xdr:row>
      <xdr:rowOff>123264</xdr:rowOff>
    </xdr:from>
    <xdr:to>
      <xdr:col>4</xdr:col>
      <xdr:colOff>19077</xdr:colOff>
      <xdr:row>52</xdr:row>
      <xdr:rowOff>33618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471" y="20461940"/>
          <a:ext cx="2641253" cy="258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568860</xdr:colOff>
      <xdr:row>36</xdr:row>
      <xdr:rowOff>78442</xdr:rowOff>
    </xdr:from>
    <xdr:to>
      <xdr:col>5</xdr:col>
      <xdr:colOff>235883</xdr:colOff>
      <xdr:row>39</xdr:row>
      <xdr:rowOff>181536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0125" y="20417118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257736</xdr:colOff>
      <xdr:row>36</xdr:row>
      <xdr:rowOff>100853</xdr:rowOff>
    </xdr:from>
    <xdr:to>
      <xdr:col>2</xdr:col>
      <xdr:colOff>505750</xdr:colOff>
      <xdr:row>50</xdr:row>
      <xdr:rowOff>11207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324" y="19318941"/>
          <a:ext cx="2321102" cy="2274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647302</xdr:colOff>
      <xdr:row>36</xdr:row>
      <xdr:rowOff>56030</xdr:rowOff>
    </xdr:from>
    <xdr:to>
      <xdr:col>4</xdr:col>
      <xdr:colOff>58578</xdr:colOff>
      <xdr:row>39</xdr:row>
      <xdr:rowOff>77355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978" y="19274118"/>
          <a:ext cx="879247" cy="59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168</v>
      </c>
      <c r="D1" s="135"/>
      <c r="E1" s="135"/>
      <c r="F1" s="134" t="s">
        <v>167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156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157</v>
      </c>
      <c r="B5" s="136"/>
      <c r="C5" s="136"/>
      <c r="D5" s="136"/>
      <c r="E5" s="136"/>
      <c r="F5" s="6"/>
      <c r="G5" s="138" t="s">
        <v>139</v>
      </c>
      <c r="H5" s="138"/>
      <c r="I5" s="138"/>
      <c r="J5" s="138"/>
      <c r="K5" s="138"/>
      <c r="L5" s="138"/>
      <c r="M5" s="138"/>
    </row>
    <row r="6" spans="1:15" ht="15" x14ac:dyDescent="0.25">
      <c r="A6" s="142" t="s">
        <v>158</v>
      </c>
      <c r="B6" s="143"/>
      <c r="C6" s="143"/>
      <c r="D6" s="143"/>
      <c r="E6" s="143"/>
      <c r="F6" s="7"/>
      <c r="G6" s="140" t="s">
        <v>140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159</v>
      </c>
      <c r="B7" s="143"/>
      <c r="C7" s="143"/>
      <c r="D7" s="143"/>
      <c r="E7" s="143"/>
      <c r="F7" s="63"/>
      <c r="G7" s="140" t="s">
        <v>141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161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5" x14ac:dyDescent="0.25">
      <c r="A9" s="8" t="s">
        <v>160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162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163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164</v>
      </c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157</v>
      </c>
      <c r="B14" s="136"/>
      <c r="C14" s="136"/>
      <c r="D14" s="136"/>
      <c r="E14" s="136"/>
      <c r="F14" s="6"/>
      <c r="G14" s="138" t="s">
        <v>125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158</v>
      </c>
      <c r="B15" s="143"/>
      <c r="C15" s="143"/>
      <c r="D15" s="143"/>
      <c r="E15" s="143"/>
      <c r="F15" s="7"/>
      <c r="G15" s="140" t="s">
        <v>126</v>
      </c>
      <c r="H15" s="143"/>
      <c r="I15" s="143"/>
      <c r="J15" s="143"/>
      <c r="K15" s="143"/>
      <c r="L15" s="143"/>
      <c r="M15" s="143"/>
    </row>
    <row r="16" spans="1:15" ht="15" x14ac:dyDescent="0.25">
      <c r="A16" s="143" t="s">
        <v>159</v>
      </c>
      <c r="B16" s="143"/>
      <c r="C16" s="143"/>
      <c r="D16" s="143"/>
      <c r="E16" s="143"/>
      <c r="F16" s="63"/>
      <c r="G16" s="140" t="s">
        <v>127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161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160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5" x14ac:dyDescent="0.25">
      <c r="A19" s="125" t="s">
        <v>162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163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5" x14ac:dyDescent="0.25">
      <c r="A21" s="99" t="s">
        <v>164</v>
      </c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137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155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169</v>
      </c>
      <c r="F26" s="156"/>
      <c r="G26" s="156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980</v>
      </c>
      <c r="F30" s="110" t="s">
        <v>27</v>
      </c>
      <c r="G30" s="106">
        <v>23500</v>
      </c>
      <c r="H30" s="106">
        <v>21735</v>
      </c>
      <c r="I30" s="108">
        <v>0.2</v>
      </c>
      <c r="J30" s="13">
        <f t="shared" ref="J30" si="0">H30*I30</f>
        <v>4347</v>
      </c>
      <c r="K30" s="12">
        <v>0</v>
      </c>
      <c r="L30" s="12">
        <v>0</v>
      </c>
      <c r="M30" s="13">
        <f t="shared" ref="M30" si="1">J30</f>
        <v>4347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23500</v>
      </c>
      <c r="H31" s="64">
        <f>SUM(H30:H30)</f>
        <v>21735</v>
      </c>
      <c r="I31" s="102"/>
      <c r="J31" s="17">
        <f>SUM(J30:J30)</f>
        <v>4347</v>
      </c>
      <c r="K31" s="16"/>
      <c r="L31" s="16"/>
      <c r="M31" s="17">
        <f>SUM(M30:M30)</f>
        <v>4347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Четыре тысячи триста сорок семь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110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165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6">
    <mergeCell ref="I28:I29"/>
    <mergeCell ref="G28:H28"/>
    <mergeCell ref="C23:M23"/>
    <mergeCell ref="E26:G26"/>
    <mergeCell ref="G7:M7"/>
    <mergeCell ref="A7:E7"/>
    <mergeCell ref="A15:E15"/>
    <mergeCell ref="A16:E1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EXR-F-19 от  25.08.2025г.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107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60" t="str">
        <f>+C22</f>
        <v xml:space="preserve"> 25.08.2025г.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20231TAA/301092BA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20231TAA/301092BA</v>
      </c>
      <c r="C14" s="164"/>
      <c r="D14" s="164"/>
      <c r="E14" s="164"/>
      <c r="F14" s="164"/>
      <c r="G14" s="164"/>
      <c r="H14" s="165" t="s">
        <v>108</v>
      </c>
      <c r="I14" s="165"/>
      <c r="J14" s="88" t="str">
        <f>+Инвойс!F1</f>
        <v xml:space="preserve"> 25.08.2025г.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EXR-F-19 от  25.08.2025г.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980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23500</v>
      </c>
    </row>
    <row r="20" spans="2:10" ht="13.5" customHeight="1" x14ac:dyDescent="0.25">
      <c r="B20" s="83"/>
      <c r="E20" s="123"/>
      <c r="F20" s="118"/>
      <c r="G20" s="167"/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f>+F18+F20+F22+F24+F26+F28+F30+F32+F34+F36+F38+F40+F42</f>
        <v>980</v>
      </c>
      <c r="E47" s="171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22" zoomScale="85" zoomScaleNormal="85" workbookViewId="0">
      <selection activeCell="A31" sqref="A31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170</v>
      </c>
      <c r="C1" s="173"/>
      <c r="D1" s="173"/>
      <c r="E1" s="173"/>
      <c r="F1" s="134" t="str">
        <f>+Инвойс!F1</f>
        <v xml:space="preserve"> 25.08.2025г.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EX1908 от 19.08.2025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ТД «РЕСУРС»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125362, Город Москва, вн.тер.г. муниципальный округ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 xml:space="preserve">Южное Тушино, ул Свободы, д. 35, стр. 43, помещ. 92/3 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Банк: Азия-Инвест Банк (АО) ИНН: 9705116064 КПП: 770501001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 xml:space="preserve">Р/Счет: 40702840100000019384 ; БИК:  044525234 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 xml:space="preserve">Корр.счет: 30101810445250000234  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(SWIFT code: ASIJRUMM)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 t="str">
        <f>+Инвойс!A12</f>
        <v>ИНН: 312 294 736</v>
      </c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5" customHeight="1" x14ac:dyDescent="0.25">
      <c r="A21" s="142" t="str">
        <f>+Инвойс!A21</f>
        <v>ИНН: 312 294 736</v>
      </c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133</v>
      </c>
      <c r="C22" s="65"/>
      <c r="F22" s="1"/>
    </row>
    <row r="23" spans="1:17" ht="26.25" hidden="1" customHeight="1" x14ac:dyDescent="0.2">
      <c r="A23" s="69" t="s">
        <v>87</v>
      </c>
      <c r="B23" s="68"/>
      <c r="C23" s="154" t="s">
        <v>116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20231TAA/301092BA</v>
      </c>
      <c r="F26" s="156"/>
      <c r="G26" s="156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980</v>
      </c>
      <c r="F30" s="116" t="str">
        <f>+Инвойс!F30</f>
        <v>кг</v>
      </c>
      <c r="G30" s="106">
        <f>+Инвойс!G30</f>
        <v>23500</v>
      </c>
      <c r="H30" s="106">
        <f>+Инвойс!H30</f>
        <v>21735</v>
      </c>
      <c r="I30" s="108">
        <f>+Инвойс!I30</f>
        <v>0.2</v>
      </c>
      <c r="J30" s="13">
        <f>+Инвойс!J30</f>
        <v>4347</v>
      </c>
      <c r="K30" s="12">
        <v>0</v>
      </c>
      <c r="L30" s="12">
        <v>0</v>
      </c>
      <c r="M30" s="13">
        <f>+Инвойс!M30</f>
        <v>4347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980</v>
      </c>
      <c r="F31" s="15"/>
      <c r="G31" s="64">
        <f>SUM(G30:G30)</f>
        <v>23500</v>
      </c>
      <c r="H31" s="64">
        <f>SUM(H30:H30)</f>
        <v>21735</v>
      </c>
      <c r="I31" s="102"/>
      <c r="J31" s="17">
        <f>SUM(J30:J30)</f>
        <v>4347</v>
      </c>
      <c r="K31" s="16"/>
      <c r="L31" s="16"/>
      <c r="M31" s="17">
        <f>SUM(M30:M30)</f>
        <v>4347</v>
      </c>
      <c r="P31" s="66"/>
    </row>
    <row r="32" spans="1:17" ht="13.5" x14ac:dyDescent="0.25">
      <c r="A32" s="2" t="s">
        <v>17</v>
      </c>
      <c r="B32" s="3"/>
      <c r="C32" s="11"/>
      <c r="D32" s="11"/>
      <c r="E32" s="146" t="str">
        <f>Лист1!B3</f>
        <v>Четыре тысячи триста сорок семь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1" t="s">
        <v>166</v>
      </c>
      <c r="B36" s="131"/>
      <c r="D36" s="18" t="str">
        <f>+Инвойс!D36</f>
        <v>АБДИЛАКИМОВ А.А</v>
      </c>
      <c r="E36" s="132"/>
      <c r="G36" s="129" t="s">
        <v>146</v>
      </c>
      <c r="H36" s="18" t="str">
        <f>Инвойс!G5</f>
        <v>ООО ТД «РЕСУРС»</v>
      </c>
      <c r="K36" s="133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"/>
  <sheetViews>
    <sheetView zoomScale="85" zoomScaleNormal="85" workbookViewId="0">
      <selection activeCell="D4" sqref="D4"/>
    </sheetView>
  </sheetViews>
  <sheetFormatPr defaultRowHeight="12.75" x14ac:dyDescent="0.2"/>
  <cols>
    <col min="1" max="1" width="48.7109375" bestFit="1" customWidth="1"/>
  </cols>
  <sheetData>
    <row r="1" spans="1:9" ht="38.25" x14ac:dyDescent="0.2">
      <c r="A1" s="126" t="s">
        <v>117</v>
      </c>
    </row>
    <row r="2" spans="1:9" x14ac:dyDescent="0.2">
      <c r="D2" s="18" t="s">
        <v>138</v>
      </c>
      <c r="I2" s="25" t="s">
        <v>149</v>
      </c>
    </row>
    <row r="3" spans="1:9" ht="51" x14ac:dyDescent="0.2">
      <c r="A3" s="130" t="s">
        <v>137</v>
      </c>
    </row>
    <row r="4" spans="1:9" x14ac:dyDescent="0.2">
      <c r="D4" s="18" t="s">
        <v>155</v>
      </c>
      <c r="I4" s="25" t="s">
        <v>150</v>
      </c>
    </row>
    <row r="5" spans="1:9" ht="38.25" x14ac:dyDescent="0.2">
      <c r="A5" s="126" t="s">
        <v>118</v>
      </c>
    </row>
    <row r="6" spans="1:9" x14ac:dyDescent="0.2">
      <c r="D6" s="18" t="s">
        <v>151</v>
      </c>
      <c r="I6" s="25" t="s">
        <v>152</v>
      </c>
    </row>
    <row r="7" spans="1:9" ht="51" x14ac:dyDescent="0.2">
      <c r="A7" s="126" t="s">
        <v>119</v>
      </c>
    </row>
    <row r="8" spans="1:9" x14ac:dyDescent="0.2">
      <c r="D8" s="18" t="s">
        <v>153</v>
      </c>
      <c r="I8" s="25" t="s">
        <v>154</v>
      </c>
    </row>
    <row r="9" spans="1:9" ht="51" x14ac:dyDescent="0.2">
      <c r="A9" s="126" t="s">
        <v>120</v>
      </c>
    </row>
    <row r="10" spans="1:9" x14ac:dyDescent="0.2">
      <c r="A10" s="126"/>
    </row>
    <row r="11" spans="1:9" ht="51" x14ac:dyDescent="0.2">
      <c r="A11" s="126" t="s">
        <v>121</v>
      </c>
    </row>
    <row r="13" spans="1:9" ht="51" x14ac:dyDescent="0.2">
      <c r="A13" s="126" t="s">
        <v>122</v>
      </c>
    </row>
    <row r="15" spans="1:9" ht="38.25" x14ac:dyDescent="0.2">
      <c r="A15" s="126" t="s">
        <v>123</v>
      </c>
    </row>
    <row r="17" spans="1:1" ht="38.25" x14ac:dyDescent="0.2">
      <c r="A17" s="126" t="s">
        <v>124</v>
      </c>
    </row>
    <row r="19" spans="1:1" ht="38.25" x14ac:dyDescent="0.2">
      <c r="A19" s="128" t="s">
        <v>132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4347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Четыре тысячи триста сорок семь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45894</v>
      </c>
      <c r="O3" s="177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Четыре тысячи триста сорок семь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25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четыре тысячи триста сорок семь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четыре тысячи триста сорок семь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сорок семь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45894</v>
      </c>
    </row>
    <row r="13" spans="1:19" s="43" customFormat="1" x14ac:dyDescent="0.2">
      <c r="A13" s="49"/>
      <c r="D13" s="51"/>
      <c r="E13" s="52">
        <f>TRUNC(E2)</f>
        <v>4347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">
      <c r="A27" s="54">
        <f>TRUNC(A28/10)</f>
        <v>43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434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">
      <c r="A29" s="54">
        <f>E13</f>
        <v>4347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347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2025-08-25T04:49:06Z</cp:lastPrinted>
  <dcterms:created xsi:type="dcterms:W3CDTF">1996-10-14T23:33:28Z</dcterms:created>
  <dcterms:modified xsi:type="dcterms:W3CDTF">2025-08-25T04:49:14Z</dcterms:modified>
</cp:coreProperties>
</file>