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766C998-0ABE-48B5-A3A7-CCB132DED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<sst xmlns="http://schemas.openxmlformats.org/spreadsheetml/2006/main" count="201" uniqueCount="163">
  <si>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</si>
  <si>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</si>
  <si>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</si>
  <si>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</si>
  <si>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</si>
  <si>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</si>
  <si>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</si>
  <si>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</si>
  <si>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</si>
  <si>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</si>
  <si>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</si>
  <si>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</si>
  <si>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</si>
  <si>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</si>
  <si>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</si>
  <si>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</si>
  <si>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</si>
  <si>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</si>
  <si>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</si>
  <si>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</si>
  <si>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</si>
  <si>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</si>
  <si>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</si>
  <si>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</si>
  <si>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</si>
  <si>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</si>
  <si>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</si>
  <si>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</si>
  <si>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</si>
  <si>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</si>
  <si>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</si>
  <si>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</si>
  <si>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</si>
  <si>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</si>
  <si>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</si>
  <si>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</si>
  <si>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</si>
  <si>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</si>
  <si>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</si>
  <si>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</si>
  <si>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</si>
  <si>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</si>
  <si>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</si>
  <si>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</si>
  <si>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</si>
  <si>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</si>
  <si>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</si>
  <si>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</si>
  <si>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</si>
  <si>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</si>
  <si>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</si>
  <si>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</si>
  <si>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</si>
  <si>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</si>
  <si>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</si>
  <si>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</si>
  <si>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</si>
  <si>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</si>
  <si>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</si>
  <si>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</si>
  <si>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</si>
  <si>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</si>
  <si>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</si>
  <si>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</si>
  <si>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</si>
  <si>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</si>
  <si>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</si>
  <si>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</si>
  <si>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</si>
  <si>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</si>
  <si>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</si>
  <si>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</si>
  <si>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</si>
  <si>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</si>
  <si>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</si>
  <si>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</si>
  <si>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</si>
  <si>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</si>
  <si>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</si>
  <si>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</si>
  <si>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</si>
  <si>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</si>
  <si>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</si>
  <si>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</si>
  <si>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</si>
  <si>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</si>
  <si>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</si>
  <si>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</si>
  <si>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</si>
  <si>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</si>
  <si>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</si>
  <si>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</si>
  <si>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</si>
  <si>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</si>
  <si>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</si>
  <si>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</si>
  <si>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</si>
  <si>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</si>
  <si>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</si>
  <si>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</si>
  <si>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</si>
  <si>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</si>
  <si>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</si>
  <si>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</si>
  <si>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</si>
  <si>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</si>
  <si>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</si>
  <si>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</si>
  <si>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</si>
  <si>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</si>
  <si>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</si>
  <si>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</si>
  <si>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</si>
  <si>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</si>
  <si>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</si>
  <si>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</si>
  <si>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</si>
  <si>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</si>
  <si>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</si>
  <si>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</si>
  <si>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</si>
  <si>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</si>
  <si>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</si>
  <si>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</si>
  <si>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</si>
  <si>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</si>
  <si>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</si>
  <si>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</si>
  <si>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</si>
  <si>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</si>
  <si>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</si>
  <si>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</si>
  <si>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</si>
  <si>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</si>
  <si>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</si>
  <si>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</si>
  <si>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</si>
  <si>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</si>
  <si>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</si>
  <si>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</si>
  <si>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</si>
  <si>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</si>
  <si>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</si>
  <si>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</si>
  <si>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</si>
  <si>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</si>
  <si>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</si>
  <si>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</si>
  <si>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</si>
  <si>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</si>
  <si>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</si>
  <si>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</si>
  <si>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</si>
  <si>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</si>
  <si>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</si>
  <si>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</si>
  <si>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</si>
  <si>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BEZ-O-15 от </t>
  </si>
  <si>
    <t xml:space="preserve"> 12.08.2025г.</t>
  </si>
  <si>
    <t>DAP - с Амандык , Республика Казахстан</t>
  </si>
  <si>
    <t>40600UBA/406275BA</t>
  </si>
  <si>
    <t xml:space="preserve">СПЕЦИФИКАЦИЯ № BEZ-O-15 от 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</si>
  <si>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500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</si>
</sst>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157</v>
      </c>
      <c r="D1" s="150"/>
      <c r="E1" s="150"/>
      <c r="F1" s="149" t="s">
        <v>158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147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148</v>
      </c>
      <c r="B5" s="151"/>
      <c r="C5" s="151"/>
      <c r="D5" s="151"/>
      <c r="E5" s="151"/>
      <c r="F5" s="6"/>
      <c r="G5" s="144" t="s">
        <v>137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9" t="s">
        <v>138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9" t="s">
        <v>139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148</v>
      </c>
      <c r="B14" s="151"/>
      <c r="C14" s="151"/>
      <c r="D14" s="151"/>
      <c r="E14" s="151"/>
      <c r="F14" s="6"/>
      <c r="G14" s="144" t="s">
        <v>124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9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9" t="s">
        <v>126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118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1031</v>
      </c>
      <c r="F30" s="110" t="s">
        <v>27</v>
      </c>
      <c r="G30" s="106">
        <v>23300</v>
      </c>
      <c r="H30" s="106">
        <v>21445</v>
      </c>
      <c r="I30" s="108">
        <v>0.2</v>
      </c>
      <c r="J30" s="13">
        <f t="shared" ref="J30" si="0">H30*I30</f>
        <v>4289</v>
      </c>
      <c r="K30" s="12">
        <v>0</v>
      </c>
      <c r="L30" s="12">
        <v>0</v>
      </c>
      <c r="M30" s="13">
        <f t="shared" ref="M30" si="1">J30</f>
        <v>4289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1031</v>
      </c>
      <c r="F31" s="15"/>
      <c r="G31" s="64">
        <f>SUM(G30:G30)</f>
        <v>23300</v>
      </c>
      <c r="H31" s="64">
        <f>SUM(H30:H30)</f>
        <v>21445</v>
      </c>
      <c r="I31" s="102"/>
      <c r="J31" s="17">
        <f>SUM(J30:J30)</f>
        <v>4289</v>
      </c>
      <c r="K31" s="16"/>
      <c r="L31" s="16"/>
      <c r="M31" s="17">
        <f>SUM(M30:M30)</f>
        <v>4289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восемьдесят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162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K31" sqref="K3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BEZ-O-15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1031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40600UBA/406275BA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N29" sqref="N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40600UBA/406275BA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BEZ-O-15 от  12.08.2025г.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1031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23300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1031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Q28" sqref="Q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161</v>
      </c>
      <c r="C1" s="169"/>
      <c r="D1" s="169"/>
      <c r="E1" s="169"/>
      <c r="F1" s="149" t="str">
        <f>+Инвойс!F1</f>
        <v xml:space="preserve"> 12.08.2025г.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40600UBA/406275BA</v>
      </c>
      <c r="F26" s="138"/>
      <c r="G26" s="138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1031</v>
      </c>
      <c r="F30" s="116" t="str">
        <f>+Инвойс!F30</f>
        <v>кг</v>
      </c>
      <c r="G30" s="106">
        <f>+Инвойс!G30</f>
        <v>23300</v>
      </c>
      <c r="H30" s="106">
        <f>+Инвойс!H30</f>
        <v>21445</v>
      </c>
      <c r="I30" s="108">
        <f>+Инвойс!I30</f>
        <v>0.2</v>
      </c>
      <c r="J30" s="13">
        <f>+Инвойс!J30</f>
        <v>4289</v>
      </c>
      <c r="K30" s="12">
        <v>0</v>
      </c>
      <c r="L30" s="12">
        <v>0</v>
      </c>
      <c r="M30" s="13">
        <f>+Инвойс!M30</f>
        <v>4289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1031</v>
      </c>
      <c r="F31" s="15"/>
      <c r="G31" s="64">
        <f>SUM(G30:G30)</f>
        <v>23300</v>
      </c>
      <c r="H31" s="64">
        <f>SUM(H30:H30)</f>
        <v>21445</v>
      </c>
      <c r="I31" s="102"/>
      <c r="J31" s="17">
        <f>SUM(J30:J30)</f>
        <v>4289</v>
      </c>
      <c r="K31" s="16"/>
      <c r="L31" s="16"/>
      <c r="M31" s="17">
        <f>SUM(M30:M30)</f>
        <v>4289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восемьдесят девять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4289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восемьдесят девять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восемьдесят девять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восемьдесят девять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восемьдесят девять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восемьдесят девять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4289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4289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289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2025-08-12T16:03:26Z</cp:lastPrinted>
  <dcterms:created xsi:type="dcterms:W3CDTF">1996-10-14T23:33:28Z</dcterms:created>
  <dcterms:modified xsi:type="dcterms:W3CDTF">2025-08-12T16:03:31Z</dcterms:modified>
</cp:coreProperties>
</file>