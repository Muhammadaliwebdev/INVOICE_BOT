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47E51F4-A914-4A61-B24F-EFB98C6934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<sst xmlns="http://schemas.openxmlformats.org/spreadsheetml/2006/main" count="211" uniqueCount="164">
  <si>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</si>
  <si>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</si>
  <si>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</si>
  <si>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</si>
  <si>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</si>
  <si>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</si>
  <si>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</si>
  <si>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</si>
  <si>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</si>
  <si>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</si>
  <si>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</si>
  <si>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</si>
  <si>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</si>
  <si>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</si>
  <si>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</si>
  <si>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</si>
  <si>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</si>
  <si>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</si>
  <si>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</si>
  <si>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</si>
  <si>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</si>
  <si>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</si>
  <si>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</si>
  <si>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</si>
  <si>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</si>
  <si>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</si>
  <si>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</si>
  <si>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</si>
  <si>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</si>
  <si>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</si>
  <si>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</si>
  <si>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</si>
  <si>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</si>
  <si>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</si>
  <si>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</si>
  <si>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</si>
  <si>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</si>
  <si>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</si>
  <si>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</si>
  <si>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</si>
  <si>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</si>
  <si>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</si>
  <si>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</si>
  <si>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</si>
  <si>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</si>
  <si>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</si>
  <si>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</si>
  <si>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</si>
  <si>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</si>
  <si>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</si>
  <si>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</si>
  <si>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</si>
  <si>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</si>
  <si>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</si>
  <si>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</si>
  <si>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</si>
  <si>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</si>
  <si>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</si>
  <si>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</si>
  <si>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</si>
  <si>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</si>
  <si>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</si>
  <si>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</si>
  <si>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</si>
  <si>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</si>
  <si>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</si>
  <si>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</si>
  <si>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</si>
  <si>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</si>
  <si>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</si>
  <si>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</si>
  <si>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</si>
  <si>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</si>
  <si>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</si>
  <si>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</si>
  <si>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</si>
  <si>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</si>
  <si>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</si>
  <si>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</si>
  <si>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</si>
  <si>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</si>
  <si>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</si>
  <si>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</si>
  <si>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</si>
  <si>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</si>
  <si>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</si>
  <si>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</si>
  <si>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</si>
  <si>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</si>
  <si>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</si>
  <si>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</si>
  <si>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</si>
  <si>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</si>
  <si>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</si>
  <si>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</si>
  <si>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</si>
  <si>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</si>
  <si>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</si>
  <si>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</si>
  <si>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</si>
  <si>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</si>
  <si>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</si>
  <si>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</si>
  <si>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</si>
  <si>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</si>
  <si>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</si>
  <si>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</si>
  <si>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</si>
  <si>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</si>
  <si>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</si>
  <si>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</si>
  <si>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</si>
  <si>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</si>
  <si>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</si>
  <si>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</si>
  <si>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</si>
  <si>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</si>
  <si>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</si>
  <si>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</si>
  <si>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</si>
  <si>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</si>
  <si>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</si>
  <si>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</si>
  <si>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</si>
  <si>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</si>
  <si>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</si>
  <si>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</si>
  <si>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</si>
  <si>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</si>
  <si>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</si>
  <si>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</si>
  <si>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</si>
  <si>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</si>
  <si>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</si>
  <si>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</si>
  <si>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</si>
  <si>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</si>
  <si>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</si>
  <si>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</si>
  <si>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</si>
  <si>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</si>
  <si>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</si>
  <si>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</si>
  <si>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</si>
  <si>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</si>
  <si>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</si>
  <si>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</si>
  <si>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</si>
  <si>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</si>
  <si>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</si>
  <si>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</si>
  <si>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</si>
  <si>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</si>
  <si>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</si>
  <si>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</si>
  <si>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</si>
  <si>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</si>
  <si>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</si>
  <si>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</si>
  <si>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</si>
  <si>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UFG-M-49 от </t>
  </si>
  <si>
    <t xml:space="preserve"> 01.09.2025г.</t>
  </si>
  <si>
    <t>01121BMA/011704BA</t>
  </si>
  <si>
    <t xml:space="preserve">СПЕЦИФИКАЦИЯ № UFG-M-49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</si>
</sst>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152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153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148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154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153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148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154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116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129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945</v>
      </c>
      <c r="F30" s="110" t="s">
        <v>27</v>
      </c>
      <c r="G30" s="106">
        <v>22000</v>
      </c>
      <c r="H30" s="106">
        <v>20299</v>
      </c>
      <c r="I30" s="108">
        <v>0.25</v>
      </c>
      <c r="J30" s="13">
        <f t="shared" ref="J30" si="0">H30*I30</f>
        <v>5074.75</v>
      </c>
      <c r="K30" s="12">
        <v>0</v>
      </c>
      <c r="L30" s="12">
        <v>0</v>
      </c>
      <c r="M30" s="13">
        <f t="shared" ref="M30" si="1">J30</f>
        <v>5074.75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945</v>
      </c>
      <c r="F31" s="15"/>
      <c r="G31" s="64">
        <f>SUM(G30:G30)</f>
        <v>22000</v>
      </c>
      <c r="H31" s="64">
        <f>SUM(H30:H30)</f>
        <v>20299</v>
      </c>
      <c r="I31" s="102"/>
      <c r="J31" s="17">
        <f>SUM(J30:J30)</f>
        <v>5074.75</v>
      </c>
      <c r="K31" s="16"/>
      <c r="L31" s="16"/>
      <c r="M31" s="17">
        <f>SUM(M30:M30)</f>
        <v>5074.75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семьдесят четыре доллара США,75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J41" sqref="J4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UFG-M-49 от  01.09.2025г.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945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"Агротерминал-Таможня" 10606060 - т/п Красноярский 660131, Красноярский край, г. Красноярск, ул. Ястынская, д. 47, стр. 12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01.09.2025г.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01121BMA/011704BA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7" zoomScaleNormal="100" workbookViewId="0">
      <selection activeCell="B48" sqref="B48:E4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01121BMA/011704BA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01.09.2025г.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UFG-M-49 от  01.09.2025г.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945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22000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945</v>
      </c>
      <c r="E47" s="143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4" t="str">
        <f>+Инвойс!F1</f>
        <v xml:space="preserve"> 01.09.2025г.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Казыгурт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01121BMA/011704BA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3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945</v>
      </c>
      <c r="F30" s="116" t="str">
        <f>+Инвойс!F30</f>
        <v>кг</v>
      </c>
      <c r="G30" s="106">
        <f>+Инвойс!G30</f>
        <v>22000</v>
      </c>
      <c r="H30" s="106">
        <f>+Инвойс!H30</f>
        <v>20299</v>
      </c>
      <c r="I30" s="108">
        <f>+Инвойс!I30</f>
        <v>0.25</v>
      </c>
      <c r="J30" s="13">
        <f>+Инвойс!J30</f>
        <v>5074.75</v>
      </c>
      <c r="K30" s="12">
        <v>0</v>
      </c>
      <c r="L30" s="12">
        <v>0</v>
      </c>
      <c r="M30" s="13">
        <f>+Инвойс!M30</f>
        <v>5074.75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945</v>
      </c>
      <c r="F31" s="15"/>
      <c r="G31" s="64">
        <f>SUM(G30:G30)</f>
        <v>22000</v>
      </c>
      <c r="H31" s="64">
        <f>SUM(H30:H30)</f>
        <v>20299</v>
      </c>
      <c r="I31" s="102"/>
      <c r="J31" s="17">
        <f>SUM(J30:J30)</f>
        <v>5074.75</v>
      </c>
      <c r="K31" s="16"/>
      <c r="L31" s="16"/>
      <c r="M31" s="17">
        <f>SUM(M30:M30)</f>
        <v>5074.75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семьдесят четыре доллара США,75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/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5074.75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семьдесят четыре доллара США,75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45901</v>
      </c>
      <c r="O3" s="178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семьдесят четыре доллара США,75 центов. (в т.ч. НДС - 357,79)</v>
      </c>
      <c r="H4" s="32"/>
      <c r="I4" s="32"/>
      <c r="J4" s="32"/>
      <c r="K4" s="179" t="str">
        <f ca="1">CONCATENATE(" «  ",P3,"  »  ",Q3,"  ",R3," г.")</f>
        <v xml:space="preserve"> «  1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семьдесят четыре доллара США,75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семьдесят четыре доллара США,75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семьдесят четыре доллара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75 центов.</v>
      </c>
      <c r="D12" s="47"/>
      <c r="E12" s="48"/>
      <c r="M12" s="50">
        <f ca="1">TODAY()</f>
        <v>45901</v>
      </c>
    </row>
    <row r="13" spans="1:19" s="43" customFormat="1" x14ac:dyDescent="0.25">
      <c r="A13" s="49"/>
      <c r="D13" s="51"/>
      <c r="E13" s="52">
        <f>TRUNC(E2)</f>
        <v>5074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507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5074</v>
      </c>
      <c r="B29" s="47">
        <f>TRUNC(RIGHT(A29))</f>
        <v>4</v>
      </c>
      <c r="C29" s="51">
        <f>IF(B28=1,B29+10,IF(B29=0,0,B29))</f>
        <v>4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четыре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74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75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2025-09-01T13:49:10Z</cp:lastPrinted>
  <dcterms:created xsi:type="dcterms:W3CDTF">1996-10-14T23:33:28Z</dcterms:created>
  <dcterms:modified xsi:type="dcterms:W3CDTF">2025-09-01T13:49:16Z</dcterms:modified>
</cp:coreProperties>
</file>