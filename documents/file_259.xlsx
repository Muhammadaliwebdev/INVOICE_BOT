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49F04AF-F4F8-439F-A554-08FFC6BAFE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<sst xmlns="http://schemas.openxmlformats.org/spreadsheetml/2006/main" count="209" uniqueCount="163">
  <si>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</si>
  <si>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</si>
  <si>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</si>
  <si>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</si>
  <si>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</si>
  <si>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</si>
  <si>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</si>
  <si>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</si>
  <si>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</si>
  <si>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</si>
  <si>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</si>
  <si>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</si>
  <si>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</si>
  <si>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</si>
  <si>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</si>
  <si>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</si>
  <si>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</si>
  <si>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</si>
  <si>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</si>
  <si>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</si>
  <si>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</si>
  <si>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</si>
  <si>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</si>
  <si>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</si>
  <si>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</si>
  <si>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</si>
  <si>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</si>
  <si>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</si>
  <si>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</si>
  <si>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</si>
  <si>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</si>
  <si>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</si>
  <si>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</si>
  <si>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</si>
  <si>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</si>
  <si>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</si>
  <si>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</si>
  <si>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</si>
  <si>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</si>
  <si>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</si>
  <si>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</si>
  <si>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</si>
  <si>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</si>
  <si>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</si>
  <si>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</si>
  <si>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</si>
  <si>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</si>
  <si>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</si>
  <si>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</si>
  <si>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</si>
  <si>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</si>
  <si>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</si>
  <si>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</si>
  <si>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</si>
  <si>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</si>
  <si>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</si>
  <si>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</si>
  <si>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</si>
  <si>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</si>
  <si>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</si>
  <si>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</si>
  <si>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</si>
  <si>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</si>
  <si>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</si>
  <si>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</si>
  <si>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</si>
  <si>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</si>
  <si>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</si>
  <si>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</si>
  <si>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</si>
  <si>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</si>
  <si>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</si>
  <si>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</si>
  <si>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</si>
  <si>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</si>
  <si>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</si>
  <si>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</si>
  <si>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</si>
  <si>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</si>
  <si>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</si>
  <si>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</si>
  <si>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</si>
  <si>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</si>
  <si>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</si>
  <si>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</si>
  <si>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</si>
  <si>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</si>
  <si>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</si>
  <si>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</si>
  <si>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</si>
  <si>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</si>
  <si>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</si>
  <si>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</si>
  <si>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</si>
  <si>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</si>
  <si>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</si>
  <si>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</si>
  <si>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</si>
  <si>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</si>
  <si>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</si>
  <si>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</si>
  <si>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</si>
  <si>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</si>
  <si>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</si>
  <si>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</si>
  <si>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</si>
  <si>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</si>
  <si>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</si>
  <si>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</si>
  <si>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</si>
  <si>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</si>
  <si>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</si>
  <si>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</si>
  <si>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</si>
  <si>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</si>
  <si>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</si>
  <si>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</si>
  <si>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</si>
  <si>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</si>
  <si>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</si>
  <si>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</si>
  <si>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</si>
  <si>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</si>
  <si>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</si>
  <si>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</si>
  <si>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</si>
  <si>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</si>
  <si>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</si>
  <si>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</si>
  <si>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</si>
  <si>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</si>
  <si>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</si>
  <si>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</si>
  <si>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</si>
  <si>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</si>
  <si>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</si>
  <si>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</si>
  <si>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</si>
  <si>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</si>
  <si>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</si>
  <si>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</si>
  <si>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</si>
  <si>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</si>
  <si>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</si>
  <si>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</si>
  <si>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</si>
  <si>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</si>
  <si>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</si>
  <si>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</si>
  <si>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</si>
  <si>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</si>
  <si>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</si>
  <si>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</si>
  <si>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</si>
  <si>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</si>
  <si>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</si>
  <si>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</si>
  <si>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</si>
  <si>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</si>
  <si>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VG-N-36 от </t>
  </si>
  <si>
    <t xml:space="preserve"> 29.08.2025г.</t>
  </si>
  <si>
    <t>40618YBA/406786BA</t>
  </si>
  <si>
    <t xml:space="preserve">СПЕЦИФИКАЦИЯ № VG-N-36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</si>
</sst>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140</v>
      </c>
      <c r="B5" s="136"/>
      <c r="C5" s="136"/>
      <c r="D5" s="136"/>
      <c r="E5" s="136"/>
      <c r="F5" s="6"/>
      <c r="G5" s="138" t="s">
        <v>150</v>
      </c>
      <c r="H5" s="138"/>
      <c r="I5" s="138"/>
      <c r="J5" s="138"/>
      <c r="K5" s="138"/>
      <c r="L5" s="138"/>
      <c r="M5" s="138"/>
    </row>
    <row r="6" spans="1:15" ht="13.8" x14ac:dyDescent="0.25">
      <c r="A6" s="142" t="s">
        <v>141</v>
      </c>
      <c r="B6" s="143"/>
      <c r="C6" s="143"/>
      <c r="D6" s="143"/>
      <c r="E6" s="143"/>
      <c r="F6" s="7"/>
      <c r="G6" s="140" t="s">
        <v>151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148</v>
      </c>
      <c r="B7" s="143"/>
      <c r="C7" s="143"/>
      <c r="D7" s="143"/>
      <c r="E7" s="143"/>
      <c r="F7" s="63"/>
      <c r="G7" s="140" t="s">
        <v>152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156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140</v>
      </c>
      <c r="B14" s="136"/>
      <c r="C14" s="136"/>
      <c r="D14" s="136"/>
      <c r="E14" s="136"/>
      <c r="F14" s="6"/>
      <c r="G14" s="138" t="s">
        <v>150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141</v>
      </c>
      <c r="B15" s="143"/>
      <c r="C15" s="143"/>
      <c r="D15" s="143"/>
      <c r="E15" s="143"/>
      <c r="F15" s="7"/>
      <c r="G15" s="140" t="s">
        <v>151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148</v>
      </c>
      <c r="B16" s="143"/>
      <c r="C16" s="143"/>
      <c r="D16" s="143"/>
      <c r="E16" s="143"/>
      <c r="F16" s="63"/>
      <c r="G16" s="140" t="s">
        <v>152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156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970</v>
      </c>
      <c r="F30" s="110" t="s">
        <v>27</v>
      </c>
      <c r="G30" s="106">
        <v>23000</v>
      </c>
      <c r="H30" s="106">
        <v>21254</v>
      </c>
      <c r="I30" s="108">
        <v>0.25</v>
      </c>
      <c r="J30" s="13">
        <f t="shared" ref="J30" si="0">H30*I30</f>
        <v>5313.5</v>
      </c>
      <c r="K30" s="12">
        <v>0</v>
      </c>
      <c r="L30" s="12">
        <v>0</v>
      </c>
      <c r="M30" s="13">
        <f t="shared" ref="M30" si="1">J30</f>
        <v>5313.5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тринадцать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I37" sqref="I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VG-N-36 от  29.08.2025г.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29.08.2025г.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40618YBA/406786BA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9" sqref="G29:H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40618YBA/406786BA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VG-N-36 от  29.08.2025г.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970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4" t="str">
        <f>+Инвойс!F1</f>
        <v xml:space="preserve"> 29.08.2025г.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GR-VT-01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ООО «VISTOTRADE»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ООО «VISTOTRADE»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40618YBA/406786BA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9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0.25</v>
      </c>
      <c r="J30" s="13">
        <f>+Инвойс!J30</f>
        <v>5313.5</v>
      </c>
      <c r="K30" s="12">
        <v>0</v>
      </c>
      <c r="L30" s="12">
        <v>0</v>
      </c>
      <c r="M30" s="13">
        <f>+Инвойс!M30</f>
        <v>5313.5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тринадцать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5313.5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тринадцать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тринадцать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тринадцать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тринадцать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тринадцать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5313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5313</v>
      </c>
      <c r="B29" s="47">
        <f>TRUNC(RIGHT(A29))</f>
        <v>3</v>
      </c>
      <c r="C29" s="51">
        <f>IF(B28=1,B29+10,IF(B29=0,0,B29))</f>
        <v>13</v>
      </c>
      <c r="D29" s="43" t="str">
        <f>IF(AND(C29&gt;9,C29&lt;16),IF(C29=10,D34,IF(C29=11,D35,IF(C29=12,D36,IF(C29=13,D37,IF(C29=14,D38,IF(C29=15,D39,)))))),"")</f>
        <v xml:space="preserve">тринадцать </v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313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2025-08-29T05:51:46Z</cp:lastPrinted>
  <dcterms:created xsi:type="dcterms:W3CDTF">1996-10-14T23:33:28Z</dcterms:created>
  <dcterms:modified xsi:type="dcterms:W3CDTF">2025-08-29T05:52:00Z</dcterms:modified>
</cp:coreProperties>
</file>