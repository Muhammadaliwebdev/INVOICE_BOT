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<sst xmlns="http://schemas.openxmlformats.org/spreadsheetml/2006/main" count="214" uniqueCount="165">
  <si>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</si>
  <si>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</si>
  <si>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</si>
  <si>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</si>
  <si>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</si>
  <si>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</si>
  <si>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</si>
  <si>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</si>
  <si>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</si>
  <si>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</si>
  <si>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</si>
  <si>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</si>
  <si>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</si>
  <si>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</si>
  <si>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</si>
  <si>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</si>
  <si>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</si>
  <si>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</si>
  <si>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</si>
  <si>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</si>
  <si>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</si>
  <si>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</si>
  <si>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</si>
  <si>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</si>
  <si>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</si>
  <si>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</si>
  <si>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</si>
  <si>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</si>
  <si>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</si>
  <si>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</si>
  <si>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</si>
  <si>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</si>
  <si>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</si>
  <si>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</si>
  <si>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</si>
  <si>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</si>
  <si>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</si>
  <si>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</si>
  <si>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</si>
  <si>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</si>
  <si>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</si>
  <si>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</si>
  <si>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</si>
  <si>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</si>
  <si>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</si>
  <si>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</si>
  <si>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</si>
  <si>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</si>
  <si>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</si>
  <si>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</si>
  <si>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</si>
  <si>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</si>
  <si>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</si>
  <si>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</si>
  <si>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</si>
  <si>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</si>
  <si>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</si>
  <si>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</si>
  <si>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</si>
  <si>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</si>
  <si>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</si>
  <si>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</si>
  <si>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</si>
  <si>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</si>
  <si>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</si>
  <si>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</si>
  <si>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</si>
  <si>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</si>
  <si>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</si>
  <si>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</si>
  <si>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</si>
  <si>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</si>
  <si>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</si>
  <si>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</si>
  <si>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</si>
  <si>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</si>
  <si>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</si>
  <si>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</si>
  <si>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</si>
  <si>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</si>
  <si>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</si>
  <si>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</si>
  <si>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</si>
  <si>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</si>
  <si>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</si>
  <si>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</si>
  <si>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</si>
  <si>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</si>
  <si>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</si>
  <si>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</si>
  <si>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</si>
  <si>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</si>
  <si>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</si>
  <si>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</si>
  <si>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</si>
  <si>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</si>
  <si>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</si>
  <si>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</si>
  <si>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</si>
  <si>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</si>
  <si>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</si>
  <si>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</si>
  <si>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</si>
  <si>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</si>
  <si>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</si>
  <si>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</si>
  <si>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</si>
  <si>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</si>
  <si>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</si>
  <si>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</si>
  <si>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</si>
  <si>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</si>
  <si>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</si>
  <si>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</si>
  <si>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</si>
  <si>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</si>
  <si>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</si>
  <si>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</si>
  <si>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</si>
  <si>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</si>
  <si>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</si>
  <si>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</si>
  <si>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</si>
  <si>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</si>
  <si>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</si>
  <si>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</si>
  <si>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</si>
  <si>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</si>
  <si>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</si>
  <si>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</si>
  <si>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</si>
  <si>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</si>
  <si>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</si>
  <si>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</si>
  <si>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</si>
  <si>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</si>
  <si>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</si>
  <si>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</si>
  <si>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</si>
  <si>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</si>
  <si>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</si>
  <si>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</si>
  <si>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</si>
  <si>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</si>
  <si>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</si>
  <si>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</si>
  <si>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</si>
  <si>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</si>
  <si>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</si>
  <si>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</si>
  <si>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</si>
  <si>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</si>
  <si>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</si>
  <si>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</si>
  <si>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</si>
  <si>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</si>
  <si>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</si>
  <si>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</si>
  <si>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</si>
  <si>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PLG-A-9 от </t>
  </si>
  <si>
    <t xml:space="preserve"> 26.08.2025г.</t>
  </si>
  <si>
    <t>01Z146XB/104349BA</t>
  </si>
  <si>
    <t>Тыква свежая</t>
  </si>
  <si>
    <t>0709939005</t>
  </si>
  <si>
    <t xml:space="preserve">СПЕЦИФИКАЦИЯ № PLG-A-9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</si>
</sst>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37</xdr:row>
      <xdr:rowOff>78442</xdr:rowOff>
    </xdr:from>
    <xdr:to>
      <xdr:col>4</xdr:col>
      <xdr:colOff>78441</xdr:colOff>
      <xdr:row>51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38</xdr:row>
      <xdr:rowOff>11208</xdr:rowOff>
    </xdr:from>
    <xdr:to>
      <xdr:col>5</xdr:col>
      <xdr:colOff>287992</xdr:colOff>
      <xdr:row>40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37</xdr:row>
      <xdr:rowOff>100853</xdr:rowOff>
    </xdr:from>
    <xdr:to>
      <xdr:col>9</xdr:col>
      <xdr:colOff>522754</xdr:colOff>
      <xdr:row>49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37</xdr:row>
      <xdr:rowOff>56029</xdr:rowOff>
    </xdr:from>
    <xdr:to>
      <xdr:col>3</xdr:col>
      <xdr:colOff>89647</xdr:colOff>
      <xdr:row>51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37</xdr:row>
      <xdr:rowOff>179295</xdr:rowOff>
    </xdr:from>
    <xdr:to>
      <xdr:col>4</xdr:col>
      <xdr:colOff>175934</xdr:colOff>
      <xdr:row>40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121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990</v>
      </c>
      <c r="F30" s="115" t="s">
        <v>27</v>
      </c>
      <c r="G30" s="106">
        <v>21500</v>
      </c>
      <c r="H30" s="106">
        <v>19718</v>
      </c>
      <c r="I30" s="108">
        <v>0.25</v>
      </c>
      <c r="J30" s="13">
        <f t="shared" ref="J30:J31" si="0">H30*I30</f>
        <v>4929.5</v>
      </c>
      <c r="K30" s="12">
        <v>0</v>
      </c>
      <c r="L30" s="12">
        <v>0</v>
      </c>
      <c r="M30" s="13">
        <f t="shared" ref="M30:M31" si="1">J30</f>
        <v>4929.5</v>
      </c>
      <c r="O30" s="100"/>
      <c r="Q30" s="100"/>
    </row>
    <row r="31" spans="1:17" ht="30" x14ac:dyDescent="0.2">
      <c r="A31" s="126">
        <v>2</v>
      </c>
      <c r="B31" s="101" t="s">
        <v>162</v>
      </c>
      <c r="C31" s="107" t="s">
        <v>163</v>
      </c>
      <c r="D31" s="109" t="s">
        <v>112</v>
      </c>
      <c r="E31" s="101">
        <v>60</v>
      </c>
      <c r="F31" s="115" t="s">
        <v>27</v>
      </c>
      <c r="G31" s="106">
        <v>1500</v>
      </c>
      <c r="H31" s="106">
        <v>1392</v>
      </c>
      <c r="I31" s="108">
        <v>0.25</v>
      </c>
      <c r="J31" s="13">
        <f t="shared" si="0"/>
        <v>348</v>
      </c>
      <c r="K31" s="12">
        <v>0</v>
      </c>
      <c r="L31" s="12">
        <v>0</v>
      </c>
      <c r="M31" s="13">
        <f t="shared" si="1"/>
        <v>348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1050</v>
      </c>
      <c r="F32" s="15"/>
      <c r="G32" s="64">
        <f>SUM(G30:G31)</f>
        <v>23000</v>
      </c>
      <c r="H32" s="64">
        <f>SUM(H30:H31)</f>
        <v>21110</v>
      </c>
      <c r="I32" s="102"/>
      <c r="J32" s="17">
        <f>SUM(J30:J31)</f>
        <v>5277.5</v>
      </c>
      <c r="K32" s="16"/>
      <c r="L32" s="16"/>
      <c r="M32" s="17">
        <f>SUM(M30:M31)</f>
        <v>5277.5</v>
      </c>
      <c r="P32" s="66"/>
    </row>
    <row r="33" spans="1:14" ht="13.5" x14ac:dyDescent="0.25">
      <c r="A33" s="2" t="s">
        <v>17</v>
      </c>
      <c r="B33" s="3"/>
      <c r="C33" s="11"/>
      <c r="D33" s="11"/>
      <c r="E33" s="148" t="str">
        <f>Лист1!B3</f>
        <v>Пять тысяч двести семьдесят семь долларов США, 50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5" x14ac:dyDescent="0.25">
      <c r="A37" s="7" t="s">
        <v>28</v>
      </c>
      <c r="B37" s="7"/>
      <c r="D37" s="25" t="s">
        <v>157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2" sqref="B32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PLG-A-9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21500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60</v>
      </c>
      <c r="D31" s="103" t="str">
        <f>+Инвойс!D31</f>
        <v>Карт.Коробок</v>
      </c>
      <c r="E31" s="103"/>
      <c r="F31" s="103" t="str">
        <f>+Инвойс!B31</f>
        <v>Тыква свежая</v>
      </c>
      <c r="G31" s="104" t="str">
        <f>+Инвойс!C31</f>
        <v>0709939005</v>
      </c>
      <c r="H31" s="103"/>
      <c r="I31" s="105">
        <f>+Инвойс!G31</f>
        <v>1500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01Z146XB/104349BA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2" sqref="F22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01Z146XB/104349BA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PLG-A-9 от  26.08.2025г.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990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21500</v>
      </c>
    </row>
    <row r="20" spans="2:10" ht="13.5" customHeight="1" x14ac:dyDescent="0.25">
      <c r="B20" s="83"/>
      <c r="E20" s="122"/>
      <c r="F20" s="117">
        <f>+Инвойс!E31</f>
        <v>60</v>
      </c>
      <c r="G20" s="162" t="str">
        <f>+CMR!F31</f>
        <v>Тыква свежая</v>
      </c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 t="str">
        <f>+Инвойс!D31</f>
        <v>Карт.Коробок</v>
      </c>
      <c r="G21" s="160" t="str">
        <f>+Инвойс!C31</f>
        <v>0709939005</v>
      </c>
      <c r="H21" s="161"/>
      <c r="I21" s="121" t="s">
        <v>103</v>
      </c>
      <c r="J21" s="119">
        <f>+Инвойс!G31</f>
        <v>1500</v>
      </c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1050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164</v>
      </c>
      <c r="C1" s="171"/>
      <c r="D1" s="171"/>
      <c r="E1" s="171"/>
      <c r="F1" s="152" t="str">
        <f>+Инвойс!F1</f>
        <v xml:space="preserve"> 26.08.2025г.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01Z146XB/104349BA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990</v>
      </c>
      <c r="F30" s="115" t="str">
        <f>+Инвойс!F30</f>
        <v>кг</v>
      </c>
      <c r="G30" s="106">
        <f>+Инвойс!G30</f>
        <v>21500</v>
      </c>
      <c r="H30" s="106">
        <f>+Инвойс!H30</f>
        <v>19718</v>
      </c>
      <c r="I30" s="108">
        <f>+Инвойс!I30</f>
        <v>0.25</v>
      </c>
      <c r="J30" s="13">
        <f>+Инвойс!J30</f>
        <v>4929.5</v>
      </c>
      <c r="K30" s="12">
        <v>0</v>
      </c>
      <c r="L30" s="12">
        <v>0</v>
      </c>
      <c r="M30" s="13">
        <f>+Инвойс!M30</f>
        <v>4929.5</v>
      </c>
      <c r="O30" s="100"/>
      <c r="Q30" s="100"/>
    </row>
    <row r="31" spans="1:17" ht="25.5" x14ac:dyDescent="0.2">
      <c r="A31" s="126">
        <f>+Инвойс!A31</f>
        <v>2</v>
      </c>
      <c r="B31" s="101" t="str">
        <f>+Инвойс!B31</f>
        <v>Тыква свежая</v>
      </c>
      <c r="C31" s="107" t="str">
        <f>+Инвойс!C31</f>
        <v>0709939005</v>
      </c>
      <c r="D31" s="114" t="str">
        <f>+Инвойс!D31</f>
        <v>Карт.Коробок</v>
      </c>
      <c r="E31" s="101">
        <f>+Инвойс!E31</f>
        <v>60</v>
      </c>
      <c r="F31" s="115" t="str">
        <f>+Инвойс!F31</f>
        <v>кг</v>
      </c>
      <c r="G31" s="106">
        <f>+Инвойс!G31</f>
        <v>1500</v>
      </c>
      <c r="H31" s="106">
        <f>+Инвойс!H31</f>
        <v>1392</v>
      </c>
      <c r="I31" s="108">
        <f>+Инвойс!I31</f>
        <v>0.25</v>
      </c>
      <c r="J31" s="13">
        <f>+Инвойс!J31</f>
        <v>348</v>
      </c>
      <c r="K31" s="12">
        <v>0</v>
      </c>
      <c r="L31" s="12">
        <v>0</v>
      </c>
      <c r="M31" s="13">
        <f>+Инвойс!M31</f>
        <v>348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1050</v>
      </c>
      <c r="F32" s="15"/>
      <c r="G32" s="64">
        <f>SUM(G30:G31)</f>
        <v>23000</v>
      </c>
      <c r="H32" s="64">
        <f>SUM(H30:H31)</f>
        <v>21110</v>
      </c>
      <c r="I32" s="102"/>
      <c r="J32" s="17">
        <f>SUM(J30:J31)</f>
        <v>5277.5</v>
      </c>
      <c r="K32" s="16"/>
      <c r="L32" s="16"/>
      <c r="M32" s="17">
        <f>SUM(M30:M31)</f>
        <v>5277.5</v>
      </c>
      <c r="P32" s="66"/>
    </row>
    <row r="33" spans="1:14" ht="13.5" x14ac:dyDescent="0.25">
      <c r="A33" s="2" t="s">
        <v>17</v>
      </c>
      <c r="B33" s="3"/>
      <c r="C33" s="11"/>
      <c r="D33" s="11"/>
      <c r="E33" s="148" t="str">
        <f>Лист1!B3</f>
        <v>Пять тысяч двести семьдесят семь долларов США, 50 центов.</v>
      </c>
      <c r="F33" s="149"/>
      <c r="G33" s="149"/>
      <c r="H33" s="149"/>
      <c r="I33" s="149"/>
      <c r="J33" s="149"/>
      <c r="K33" s="149"/>
      <c r="L33" s="149"/>
      <c r="M33" s="149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75" x14ac:dyDescent="0.25">
      <c r="A37" s="130" t="s">
        <v>158</v>
      </c>
      <c r="B37" s="130"/>
      <c r="D37" s="18" t="str">
        <f>+Инвойс!D37</f>
        <v>Юнусов Х.Р</v>
      </c>
      <c r="E37" s="131"/>
      <c r="G37" s="128" t="s">
        <v>130</v>
      </c>
      <c r="H37" s="18" t="str">
        <f>Инвойс!G5</f>
        <v>ООО «ГРИН ВОРЛД»</v>
      </c>
      <c r="K37" s="132" t="s">
        <v>147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Normal="100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Инвойс!M32</f>
        <v>5277.5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семьдесят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семьдесят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семьдесят 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семьдесят 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семьдесят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5277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5277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277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2025-08-26T14:17:28Z</cp:lastPrinted>
  <dcterms:created xsi:type="dcterms:W3CDTF">1996-10-14T23:33:28Z</dcterms:created>
  <dcterms:modified xsi:type="dcterms:W3CDTF">2025-08-26T14:17:29Z</dcterms:modified>
</cp:coreProperties>
</file>