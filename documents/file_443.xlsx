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A898C46-E9AC-4DE6-8662-AA26D97927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<sst xmlns="http://schemas.openxmlformats.org/spreadsheetml/2006/main" count="211" uniqueCount="163">
  <si>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</si>
  <si>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</si>
  <si>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</si>
  <si>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</si>
  <si>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</si>
  <si>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</si>
  <si>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</si>
  <si>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</si>
  <si>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</si>
  <si>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</si>
  <si>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</si>
  <si>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</si>
  <si>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</si>
  <si>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</si>
  <si>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</si>
  <si>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</si>
  <si>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</si>
  <si>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</si>
  <si>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</si>
  <si>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</si>
  <si>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</si>
  <si>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</si>
  <si>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</si>
  <si>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</si>
  <si>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</si>
  <si>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</si>
  <si>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</si>
  <si>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</si>
  <si>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</si>
  <si>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</si>
  <si>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</si>
  <si>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</si>
  <si>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</si>
  <si>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</si>
  <si>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</si>
  <si>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</si>
  <si>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</si>
  <si>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</si>
  <si>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</si>
  <si>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</si>
  <si>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</si>
  <si>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</si>
  <si>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</si>
  <si>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</si>
  <si>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</si>
  <si>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</si>
  <si>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</si>
  <si>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</si>
  <si>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</si>
  <si>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</si>
  <si>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</si>
  <si>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</si>
  <si>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</si>
  <si>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</si>
  <si>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</si>
  <si>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</si>
  <si>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</si>
  <si>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</si>
  <si>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</si>
  <si>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</si>
  <si>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</si>
  <si>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</si>
  <si>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</si>
  <si>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</si>
  <si>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</si>
  <si>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</si>
  <si>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</si>
  <si>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</si>
  <si>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</si>
  <si>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</si>
  <si>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</si>
  <si>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</si>
  <si>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</si>
  <si>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</si>
  <si>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</si>
  <si>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</si>
  <si>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</si>
  <si>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</si>
  <si>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</si>
  <si>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</si>
  <si>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</si>
  <si>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</si>
  <si>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</si>
  <si>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</si>
  <si>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</si>
  <si>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</si>
  <si>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</si>
  <si>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</si>
  <si>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</si>
  <si>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</si>
  <si>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</si>
  <si>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</si>
  <si>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</si>
  <si>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</si>
  <si>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</si>
  <si>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</si>
  <si>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</si>
  <si>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</si>
  <si>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</si>
  <si>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</si>
  <si>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</si>
  <si>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</si>
  <si>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</si>
  <si>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</si>
  <si>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</si>
  <si>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</si>
  <si>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</si>
  <si>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</si>
  <si>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</si>
  <si>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</si>
  <si>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</si>
  <si>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</si>
  <si>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</si>
  <si>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</si>
  <si>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</si>
  <si>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</si>
  <si>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</si>
  <si>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</si>
  <si>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</si>
  <si>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</si>
  <si>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</si>
  <si>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</si>
  <si>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</si>
  <si>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</si>
  <si>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</si>
  <si>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</si>
  <si>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</si>
  <si>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</si>
  <si>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</si>
  <si>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</si>
  <si>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</si>
  <si>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</si>
  <si>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</si>
  <si>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</si>
  <si>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</si>
  <si>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</si>
  <si>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</si>
  <si>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</si>
  <si>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</si>
  <si>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</si>
  <si>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</si>
  <si>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</si>
  <si>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</si>
  <si>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</si>
  <si>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</si>
  <si>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</si>
  <si>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</si>
  <si>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</si>
  <si>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</si>
  <si>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</si>
  <si>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</si>
  <si>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</si>
  <si>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</si>
  <si>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</si>
  <si>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</si>
  <si>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</si>
  <si>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 xml:space="preserve"> 05.09.2025г.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</si>
  <si>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</si>
  <si>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</si>
  <si>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</si>
  <si>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UFG-M-67 от </t>
  </si>
  <si>
    <t>01V894ZA/017696AA</t>
  </si>
  <si>
    <t xml:space="preserve">СПЕЦИФИКАЦИЯ № UFG-M-67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</si>
</sst>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160</v>
      </c>
      <c r="D1" s="135"/>
      <c r="E1" s="135"/>
      <c r="F1" s="134" t="s">
        <v>156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147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148</v>
      </c>
      <c r="B5" s="136"/>
      <c r="C5" s="136"/>
      <c r="D5" s="136"/>
      <c r="E5" s="136"/>
      <c r="F5" s="6"/>
      <c r="G5" s="138" t="s">
        <v>135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143</v>
      </c>
      <c r="B6" s="143"/>
      <c r="C6" s="143"/>
      <c r="D6" s="143"/>
      <c r="E6" s="143"/>
      <c r="F6" s="7"/>
      <c r="G6" s="140" t="s">
        <v>136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149</v>
      </c>
      <c r="B7" s="143"/>
      <c r="C7" s="143"/>
      <c r="D7" s="143"/>
      <c r="E7" s="143"/>
      <c r="F7" s="63"/>
      <c r="G7" s="140" t="s">
        <v>137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144</v>
      </c>
      <c r="B8" s="8"/>
      <c r="C8" s="8"/>
      <c r="D8" s="8"/>
      <c r="E8" s="8"/>
      <c r="F8" s="63"/>
      <c r="G8" s="7" t="s">
        <v>138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150</v>
      </c>
      <c r="B9" s="8"/>
      <c r="C9" s="8"/>
      <c r="D9" s="8"/>
      <c r="E9" s="8"/>
      <c r="F9" s="7"/>
      <c r="G9" s="7" t="s">
        <v>139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145</v>
      </c>
      <c r="B10" s="125"/>
      <c r="C10" s="125"/>
      <c r="D10" s="125"/>
      <c r="E10" s="125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146</v>
      </c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151</v>
      </c>
      <c r="B12" s="8"/>
      <c r="C12" s="8"/>
      <c r="D12" s="8"/>
      <c r="E12" s="8"/>
      <c r="F12" s="7"/>
      <c r="G12" s="139" t="s">
        <v>141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148</v>
      </c>
      <c r="B14" s="136"/>
      <c r="C14" s="136"/>
      <c r="D14" s="136"/>
      <c r="E14" s="136"/>
      <c r="F14" s="6"/>
      <c r="G14" s="138" t="s">
        <v>135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143</v>
      </c>
      <c r="B15" s="143"/>
      <c r="C15" s="143"/>
      <c r="D15" s="143"/>
      <c r="E15" s="143"/>
      <c r="F15" s="7"/>
      <c r="G15" s="140" t="s">
        <v>136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149</v>
      </c>
      <c r="B16" s="143"/>
      <c r="C16" s="143"/>
      <c r="D16" s="143"/>
      <c r="E16" s="143"/>
      <c r="F16" s="63"/>
      <c r="G16" s="140" t="s">
        <v>137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144</v>
      </c>
      <c r="B17" s="8"/>
      <c r="C17" s="8"/>
      <c r="D17" s="8"/>
      <c r="E17" s="8"/>
      <c r="F17" s="63"/>
      <c r="G17" s="7" t="s">
        <v>138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150</v>
      </c>
      <c r="B18" s="8"/>
      <c r="C18" s="8"/>
      <c r="D18" s="8"/>
      <c r="E18" s="8"/>
      <c r="F18" s="7"/>
      <c r="G18" s="7" t="s">
        <v>139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145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146</v>
      </c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151</v>
      </c>
      <c r="B21" s="8"/>
      <c r="C21" s="8"/>
      <c r="D21" s="8"/>
      <c r="E21" s="8"/>
      <c r="G21" s="139" t="s">
        <v>141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127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158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161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125</v>
      </c>
      <c r="C30" s="107" t="s">
        <v>126</v>
      </c>
      <c r="D30" s="109" t="s">
        <v>112</v>
      </c>
      <c r="E30" s="101">
        <v>990</v>
      </c>
      <c r="F30" s="110" t="s">
        <v>27</v>
      </c>
      <c r="G30" s="106">
        <v>23265</v>
      </c>
      <c r="H30" s="106">
        <v>21483</v>
      </c>
      <c r="I30" s="108">
        <v>0.25</v>
      </c>
      <c r="J30" s="13">
        <f t="shared" ref="J30" si="0">H30*I30</f>
        <v>5370.75</v>
      </c>
      <c r="K30" s="12">
        <v>0</v>
      </c>
      <c r="L30" s="12">
        <v>0</v>
      </c>
      <c r="M30" s="13">
        <f t="shared" ref="M30" si="1">J30</f>
        <v>5370.75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990</v>
      </c>
      <c r="F31" s="15"/>
      <c r="G31" s="64">
        <f>SUM(G30:G30)</f>
        <v>23265</v>
      </c>
      <c r="H31" s="64">
        <f>SUM(H30:H30)</f>
        <v>21483</v>
      </c>
      <c r="I31" s="102"/>
      <c r="J31" s="17">
        <f>SUM(J30:J30)</f>
        <v>5370.75</v>
      </c>
      <c r="K31" s="16"/>
      <c r="L31" s="16"/>
      <c r="M31" s="17">
        <f>SUM(M30:M30)</f>
        <v>5370.75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триста семьдесят долларов США, 75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152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J40" sqref="J40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05.09.2025г.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UFG-M-67 от  05.09.2025г.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990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23265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05.09.2025г.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01V894ZA/017696AA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M37" sqref="M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01V894ZA/017696AA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05.09.2025г.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UFG-M-67 от  05.09.2025г.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990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23265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990</v>
      </c>
      <c r="E47" s="143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6"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162</v>
      </c>
      <c r="C1" s="174"/>
      <c r="D1" s="174"/>
      <c r="E1" s="174"/>
      <c r="F1" s="134" t="str">
        <f>+Инвойс!F1</f>
        <v xml:space="preserve"> 05.09.2025г.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GR-UF-01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UCHQIZIL FRUITS EXPORT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72" t="str">
        <f>+Инвойс!A6</f>
        <v>РЕСПУБЛИКА УЗБЕКИСТАН. СУРХАНДАРЬИНСКАЯ ОБЛАСТЬ,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ТЕРМИЗСКИЙ РАЙОН,ЯНГИХАЯТ МФЙ, УЛИЦА БОГИ ШАМОЛ, 20-А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в АКБ“KAPITAL BANK”  МФО: 01158  Swift: KACHUZ22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Доллар США: 20208840207293094001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Корреспондирующий банк (RUB): АКБ "Азия Инвест Банк" (АО) :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SWIFT:ASIJRUMM / БИК 044525234,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UCHQIZIL FRUITS EXPORT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72" t="str">
        <f>+Инвойс!A15</f>
        <v>РЕСПУБЛИКА УЗБЕКИСТАН. СУРХАНДАРЬИНСКАЯ ОБЛАСТЬ,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ТЕРМИЗСКИЙ РАЙОН,ЯНГИХАЯТ МФЙ, УЛИЦА БОГИ ШАМОЛ, 20-А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в АКБ“KAPITAL BANK”  МФО: 01158  Swift: KACHUZ22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Доллар США: 20208840207293094001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Корреспондирующий банк (RUB): АКБ "Азия Инвест Банк" (АО) :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SWIFT:ASIJRUMM / БИК 044525234,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01V894ZA/017696AA</v>
      </c>
      <c r="F26" s="156"/>
      <c r="G26" s="156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8.8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990</v>
      </c>
      <c r="F30" s="116" t="str">
        <f>+Инвойс!F30</f>
        <v>кг</v>
      </c>
      <c r="G30" s="106">
        <f>+Инвойс!G30</f>
        <v>23265</v>
      </c>
      <c r="H30" s="106">
        <f>+Инвойс!H30</f>
        <v>21483</v>
      </c>
      <c r="I30" s="108">
        <f>+Инвойс!I30</f>
        <v>0.25</v>
      </c>
      <c r="J30" s="13">
        <f>+Инвойс!J30</f>
        <v>5370.75</v>
      </c>
      <c r="K30" s="12">
        <v>0</v>
      </c>
      <c r="L30" s="12">
        <v>0</v>
      </c>
      <c r="M30" s="13">
        <f>+Инвойс!M30</f>
        <v>5370.75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990</v>
      </c>
      <c r="F31" s="15"/>
      <c r="G31" s="64">
        <f>SUM(G30:G30)</f>
        <v>23265</v>
      </c>
      <c r="H31" s="64">
        <f>SUM(H30:H30)</f>
        <v>21483</v>
      </c>
      <c r="I31" s="102"/>
      <c r="J31" s="17">
        <f>SUM(J30:J30)</f>
        <v>5370.75</v>
      </c>
      <c r="K31" s="16"/>
      <c r="L31" s="16"/>
      <c r="M31" s="17">
        <f>SUM(M30:M30)</f>
        <v>5370.75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триста семьдесят долларов США, 75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153</v>
      </c>
      <c r="B36" s="131"/>
      <c r="D36" s="18" t="str">
        <f>+Инвойс!D36</f>
        <v>ЭШТЕМИРОВ Х.Х</v>
      </c>
      <c r="E36" s="132"/>
      <c r="G36" s="129" t="s">
        <v>128</v>
      </c>
      <c r="H36" s="18" t="str">
        <f>Инвойс!G5</f>
        <v>ООО «ГРИН ВОРЛД»</v>
      </c>
      <c r="K36" s="133" t="s">
        <v>142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127</v>
      </c>
    </row>
    <row r="5" spans="1:10" ht="92.4" x14ac:dyDescent="0.25">
      <c r="A5" s="126" t="s">
        <v>155</v>
      </c>
    </row>
    <row r="6" spans="1:10" x14ac:dyDescent="0.25">
      <c r="E6" s="18" t="s">
        <v>157</v>
      </c>
      <c r="J6" s="25" t="s">
        <v>130</v>
      </c>
    </row>
    <row r="7" spans="1:10" ht="52.8" x14ac:dyDescent="0.25">
      <c r="A7" s="126" t="s">
        <v>117</v>
      </c>
    </row>
    <row r="8" spans="1:10" x14ac:dyDescent="0.25">
      <c r="E8" s="18" t="s">
        <v>158</v>
      </c>
      <c r="J8" s="25" t="s">
        <v>131</v>
      </c>
    </row>
    <row r="9" spans="1:10" ht="52.8" x14ac:dyDescent="0.25">
      <c r="A9" s="126" t="s">
        <v>118</v>
      </c>
    </row>
    <row r="10" spans="1:10" x14ac:dyDescent="0.25">
      <c r="A10" s="126"/>
      <c r="E10" s="18" t="s">
        <v>158</v>
      </c>
      <c r="J10" s="25" t="s">
        <v>132</v>
      </c>
    </row>
    <row r="11" spans="1:10" ht="52.8" x14ac:dyDescent="0.25">
      <c r="A11" s="126" t="s">
        <v>154</v>
      </c>
    </row>
    <row r="12" spans="1:10" x14ac:dyDescent="0.25">
      <c r="E12" s="18" t="s">
        <v>159</v>
      </c>
      <c r="J12" s="25" t="s">
        <v>133</v>
      </c>
    </row>
    <row r="13" spans="1:10" ht="52.8" x14ac:dyDescent="0.25">
      <c r="A13" s="126" t="s">
        <v>119</v>
      </c>
    </row>
    <row r="15" spans="1:10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5370.75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семьдесят долларов США, 75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45905</v>
      </c>
      <c r="O3" s="178"/>
      <c r="P3">
        <f ca="1">DAY(N3)</f>
        <v>5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триста семьдесят долларов США, 75 центов. (в т.ч. НДС - 357,79)</v>
      </c>
      <c r="H4" s="32"/>
      <c r="I4" s="32"/>
      <c r="J4" s="32"/>
      <c r="K4" s="179" t="str">
        <f ca="1">CONCATENATE(" «  ",P3,"  »  ",Q3,"  ",R3," г.")</f>
        <v xml:space="preserve"> «  5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семьдесят долларов США, 75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семьдесят долларов США, 75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семьдесят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75 центов.</v>
      </c>
      <c r="D12" s="47"/>
      <c r="E12" s="48"/>
      <c r="M12" s="50">
        <f ca="1">TODAY()</f>
        <v>45905</v>
      </c>
    </row>
    <row r="13" spans="1:19" s="43" customFormat="1" x14ac:dyDescent="0.25">
      <c r="A13" s="49"/>
      <c r="D13" s="51"/>
      <c r="E13" s="52">
        <f>TRUNC(E2)</f>
        <v>5370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5">
      <c r="A29" s="54">
        <f>E13</f>
        <v>5370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370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75</v>
      </c>
      <c r="C31" s="59">
        <f>TRUNC(A31/10)</f>
        <v>7</v>
      </c>
      <c r="E31" s="56" t="str">
        <f>IF(OR(C31=1,C31=0),"",IF(C31=2,E35,IF(C31=3,E36,IF(C31=4,E37,IF(C31=5,E38,IF(C31=6,E39,IF(C31=7,E40,IF(C31=8,E41,E42))))))))</f>
        <v xml:space="preserve">семьдесят </v>
      </c>
      <c r="H31" s="47"/>
    </row>
    <row r="32" spans="1:9" s="43" customFormat="1" x14ac:dyDescent="0.25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2025-09-05T15:29:31Z</cp:lastPrinted>
  <dcterms:created xsi:type="dcterms:W3CDTF">1996-10-14T23:33:28Z</dcterms:created>
  <dcterms:modified xsi:type="dcterms:W3CDTF">2025-09-05T15:30:17Z</dcterms:modified>
</cp:coreProperties>
</file>