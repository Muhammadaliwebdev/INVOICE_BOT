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<sst xmlns="http://schemas.openxmlformats.org/spreadsheetml/2006/main" count="211" uniqueCount="163">
  <si>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</si>
  <si>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</si>
  <si>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</si>
  <si>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</si>
  <si>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</si>
  <si>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</si>
  <si>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</si>
  <si>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</si>
  <si>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</si>
  <si>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</si>
  <si>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</si>
  <si>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</si>
  <si>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</si>
  <si>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</si>
  <si>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</si>
  <si>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</si>
  <si>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</si>
  <si>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</si>
  <si>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</si>
  <si>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</si>
  <si>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</si>
  <si>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</si>
  <si>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</si>
  <si>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</si>
  <si>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</si>
  <si>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</si>
  <si>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</si>
  <si>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</si>
  <si>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</si>
  <si>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</si>
  <si>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</si>
  <si>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</si>
  <si>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</si>
  <si>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</si>
  <si>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</si>
  <si>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</si>
  <si>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</si>
  <si>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</si>
  <si>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</si>
  <si>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</si>
  <si>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</si>
  <si>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</si>
  <si>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</si>
  <si>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</si>
  <si>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</si>
  <si>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</si>
  <si>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</si>
  <si>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</si>
  <si>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</si>
  <si>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</si>
  <si>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</si>
  <si>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</si>
  <si>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</si>
  <si>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</si>
  <si>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</si>
  <si>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</si>
  <si>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</si>
  <si>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</si>
  <si>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</si>
  <si>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</si>
  <si>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</si>
  <si>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</si>
  <si>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</si>
  <si>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</si>
  <si>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</si>
  <si>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</si>
  <si>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</si>
  <si>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</si>
  <si>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</si>
  <si>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</si>
  <si>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</si>
  <si>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</si>
  <si>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</si>
  <si>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</si>
  <si>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</si>
  <si>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</si>
  <si>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</si>
  <si>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</si>
  <si>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</si>
  <si>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</si>
  <si>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</si>
  <si>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</si>
  <si>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</si>
  <si>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</si>
  <si>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</si>
  <si>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</si>
  <si>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</si>
  <si>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</si>
  <si>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</si>
  <si>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</si>
  <si>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</si>
  <si>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</si>
  <si>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</si>
  <si>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</si>
  <si>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</si>
  <si>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</si>
  <si>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</si>
  <si>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</si>
  <si>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</si>
  <si>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</si>
  <si>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</si>
  <si>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</si>
  <si>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</si>
  <si>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</si>
  <si>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</si>
  <si>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</si>
  <si>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</si>
  <si>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</si>
  <si>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</si>
  <si>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</si>
  <si>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</si>
  <si>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</si>
  <si>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</si>
  <si>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</si>
  <si>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</si>
  <si>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</si>
  <si>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</si>
  <si>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</si>
  <si>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</si>
  <si>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</si>
  <si>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</si>
  <si>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</si>
  <si>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</si>
  <si>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</si>
  <si>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</si>
  <si>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</si>
  <si>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</si>
  <si>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</si>
  <si>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</si>
  <si>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</si>
  <si>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</si>
  <si>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</si>
  <si>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</si>
  <si>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</si>
  <si>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</si>
  <si>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</si>
  <si>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</si>
  <si>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</si>
  <si>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</si>
  <si>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</si>
  <si>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</si>
  <si>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</si>
  <si>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</si>
  <si>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</si>
  <si>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</si>
  <si>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</si>
  <si>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</si>
  <si>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</si>
  <si>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</si>
  <si>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</si>
  <si>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</si>
  <si>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</si>
  <si>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</si>
  <si>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</si>
  <si>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</si>
  <si>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</si>
  <si>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</si>
  <si>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</si>
  <si>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</si>
  <si>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>40897PBA/404215BA</t>
  </si>
  <si>
    <t xml:space="preserve">ИНВОЙС № UFG-N-24 от </t>
  </si>
  <si>
    <t xml:space="preserve">СПЕЦИФИКАЦИЯ № UFG-N-24 от </t>
  </si>
  <si>
    <t xml:space="preserve"> 10.09.2025г.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</si>
</sst>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vertical="top" wrapText="1"/>
    </xf>
    <xf numFmtId="0" fontId="7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36</xdr:row>
      <xdr:rowOff>57978</xdr:rowOff>
    </xdr:from>
    <xdr:to>
      <xdr:col>10</xdr:col>
      <xdr:colOff>44825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51CC52-1496-474B-8097-64F9F13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36</xdr:row>
      <xdr:rowOff>56029</xdr:rowOff>
    </xdr:from>
    <xdr:to>
      <xdr:col>12</xdr:col>
      <xdr:colOff>67236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648261-1411-4FD6-AA54-A3E7C46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160</v>
      </c>
      <c r="D1" s="136"/>
      <c r="E1" s="136"/>
      <c r="F1" s="135" t="s">
        <v>162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135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143</v>
      </c>
      <c r="B6" s="144"/>
      <c r="C6" s="144"/>
      <c r="D6" s="144"/>
      <c r="E6" s="144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149</v>
      </c>
      <c r="B7" s="144"/>
      <c r="C7" s="144"/>
      <c r="D7" s="144"/>
      <c r="E7" s="144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0" t="s">
        <v>141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135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143</v>
      </c>
      <c r="B15" s="144"/>
      <c r="C15" s="144"/>
      <c r="D15" s="144"/>
      <c r="E15" s="144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149</v>
      </c>
      <c r="B16" s="144"/>
      <c r="C16" s="144"/>
      <c r="D16" s="144"/>
      <c r="E16" s="144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0" t="s">
        <v>141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124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157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159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2358</v>
      </c>
      <c r="F30" s="110" t="s">
        <v>27</v>
      </c>
      <c r="G30" s="106">
        <v>23051</v>
      </c>
      <c r="H30" s="106">
        <v>21400</v>
      </c>
      <c r="I30" s="108">
        <v>1.2</v>
      </c>
      <c r="J30" s="13">
        <f t="shared" ref="J30" si="0">H30*I30</f>
        <v>25680</v>
      </c>
      <c r="K30" s="12">
        <v>0</v>
      </c>
      <c r="L30" s="12">
        <v>0</v>
      </c>
      <c r="M30" s="13">
        <f t="shared" ref="M30" si="1">J30</f>
        <v>25680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2358</v>
      </c>
      <c r="F31" s="15"/>
      <c r="G31" s="64">
        <f>SUM(G30:G30)</f>
        <v>23051</v>
      </c>
      <c r="H31" s="64">
        <f>SUM(H30:H30)</f>
        <v>21400</v>
      </c>
      <c r="I31" s="102"/>
      <c r="J31" s="17">
        <f>SUM(J30:J30)</f>
        <v>25680</v>
      </c>
      <c r="K31" s="16"/>
      <c r="L31" s="16"/>
      <c r="M31" s="17">
        <f>SUM(M30:M30)</f>
        <v>25680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шестьсот восемьдесят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UFG-N-24 от  10.09.2025г.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2358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23051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"ОМАС" 10610050 - т/п Омский 
644117, Омская обл., г. Омск, ул. 3-я Молодежная, д. 6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10.09.2025г.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40897PBA/404215BA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40897PBA/404215BA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UFG-N-24 от  10.09.2025г.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2358</v>
      </c>
      <c r="G18" s="168" t="str">
        <f>+CMR!F30</f>
        <v>Виноград свежий столовых сортов</v>
      </c>
      <c r="H18" s="168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2" t="str">
        <f>+Инвойс!C30</f>
        <v>0806101001</v>
      </c>
      <c r="H19" s="163"/>
      <c r="I19" s="122" t="s">
        <v>103</v>
      </c>
      <c r="J19" s="120">
        <f>+Инвойс!G30</f>
        <v>23051</v>
      </c>
    </row>
    <row r="20" spans="2:10" ht="13.5" customHeight="1" x14ac:dyDescent="0.25">
      <c r="B20" s="83"/>
      <c r="E20" s="123"/>
      <c r="F20" s="118"/>
      <c r="G20" s="168"/>
      <c r="H20" s="168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2"/>
      <c r="H21" s="163"/>
      <c r="I21" s="122"/>
      <c r="J21" s="120"/>
    </row>
    <row r="22" spans="2:10" ht="12.75" customHeight="1" x14ac:dyDescent="0.25">
      <c r="B22" s="83"/>
      <c r="E22" s="123"/>
      <c r="F22" s="118"/>
      <c r="G22" s="168"/>
      <c r="H22" s="168"/>
      <c r="I22" s="119"/>
      <c r="J22" s="120"/>
    </row>
    <row r="23" spans="2:10" ht="14.25" customHeight="1" x14ac:dyDescent="0.25">
      <c r="B23" s="83"/>
      <c r="E23" s="123"/>
      <c r="F23" s="121"/>
      <c r="G23" s="162"/>
      <c r="H23" s="163"/>
      <c r="I23" s="122"/>
      <c r="J23" s="120"/>
    </row>
    <row r="24" spans="2:10" ht="12.75" customHeight="1" x14ac:dyDescent="0.25">
      <c r="B24" s="87"/>
      <c r="E24" s="123"/>
      <c r="F24" s="118"/>
      <c r="G24" s="168"/>
      <c r="H24" s="168"/>
      <c r="I24" s="119"/>
      <c r="J24" s="120"/>
    </row>
    <row r="25" spans="2:10" ht="12.75" customHeight="1" x14ac:dyDescent="0.25">
      <c r="B25" s="87"/>
      <c r="E25" s="123"/>
      <c r="F25" s="121"/>
      <c r="G25" s="162"/>
      <c r="H25" s="163"/>
      <c r="I25" s="122"/>
      <c r="J25" s="120"/>
    </row>
    <row r="26" spans="2:10" ht="12" customHeight="1" x14ac:dyDescent="0.25">
      <c r="B26" s="87"/>
      <c r="E26" s="123"/>
      <c r="F26" s="118"/>
      <c r="G26" s="168"/>
      <c r="H26" s="168"/>
      <c r="I26" s="119"/>
      <c r="J26" s="120"/>
    </row>
    <row r="27" spans="2:10" ht="14.25" customHeight="1" x14ac:dyDescent="0.25">
      <c r="B27" s="87"/>
      <c r="E27" s="123"/>
      <c r="F27" s="121"/>
      <c r="G27" s="162"/>
      <c r="H27" s="163"/>
      <c r="I27" s="122"/>
      <c r="J27" s="120"/>
    </row>
    <row r="28" spans="2:10" ht="12.75" customHeight="1" x14ac:dyDescent="0.25">
      <c r="B28" s="87"/>
      <c r="E28" s="123"/>
      <c r="F28" s="118"/>
      <c r="G28" s="168"/>
      <c r="H28" s="168"/>
      <c r="I28" s="119"/>
      <c r="J28" s="120"/>
    </row>
    <row r="29" spans="2:10" ht="12.75" customHeight="1" x14ac:dyDescent="0.25">
      <c r="B29" s="87"/>
      <c r="E29" s="123"/>
      <c r="F29" s="121"/>
      <c r="G29" s="162"/>
      <c r="H29" s="163"/>
      <c r="I29" s="122"/>
      <c r="J29" s="120"/>
    </row>
    <row r="30" spans="2:10" ht="12.75" customHeight="1" x14ac:dyDescent="0.25">
      <c r="B30" s="87"/>
      <c r="E30" s="123"/>
      <c r="F30" s="118"/>
      <c r="G30" s="168"/>
      <c r="H30" s="168"/>
      <c r="I30" s="119"/>
      <c r="J30" s="120"/>
    </row>
    <row r="31" spans="2:10" ht="13.5" customHeight="1" x14ac:dyDescent="0.25">
      <c r="B31" s="87"/>
      <c r="E31" s="123"/>
      <c r="F31" s="121"/>
      <c r="G31" s="162"/>
      <c r="H31" s="163"/>
      <c r="I31" s="122"/>
      <c r="J31" s="120"/>
    </row>
    <row r="32" spans="2:10" ht="13.5" customHeight="1" x14ac:dyDescent="0.25">
      <c r="B32" s="87"/>
      <c r="E32" s="123"/>
      <c r="F32" s="118"/>
      <c r="G32" s="168"/>
      <c r="H32" s="168"/>
      <c r="I32" s="119"/>
      <c r="J32" s="120"/>
    </row>
    <row r="33" spans="2:10" ht="13.5" customHeight="1" x14ac:dyDescent="0.25">
      <c r="B33" s="87"/>
      <c r="E33" s="123"/>
      <c r="F33" s="121"/>
      <c r="G33" s="162"/>
      <c r="H33" s="163"/>
      <c r="I33" s="122"/>
      <c r="J33" s="120"/>
    </row>
    <row r="34" spans="2:10" ht="13.5" customHeight="1" x14ac:dyDescent="0.25">
      <c r="B34" s="87"/>
      <c r="E34" s="123"/>
      <c r="F34" s="118"/>
      <c r="G34" s="168"/>
      <c r="H34" s="168"/>
      <c r="I34" s="119"/>
      <c r="J34" s="120"/>
    </row>
    <row r="35" spans="2:10" ht="12.75" customHeight="1" x14ac:dyDescent="0.25">
      <c r="B35" s="87"/>
      <c r="E35" s="123"/>
      <c r="F35" s="121"/>
      <c r="G35" s="162"/>
      <c r="H35" s="163"/>
      <c r="I35" s="122"/>
      <c r="J35" s="120"/>
    </row>
    <row r="36" spans="2:10" x14ac:dyDescent="0.25">
      <c r="B36" s="87"/>
      <c r="E36" s="123"/>
      <c r="F36" s="118"/>
      <c r="G36" s="168"/>
      <c r="H36" s="168"/>
      <c r="I36" s="119"/>
      <c r="J36" s="120"/>
    </row>
    <row r="37" spans="2:10" ht="13.5" customHeight="1" x14ac:dyDescent="0.25">
      <c r="B37" s="87"/>
      <c r="E37" s="123"/>
      <c r="F37" s="121"/>
      <c r="G37" s="162"/>
      <c r="H37" s="163"/>
      <c r="I37" s="122"/>
      <c r="J37" s="120"/>
    </row>
    <row r="38" spans="2:10" x14ac:dyDescent="0.25">
      <c r="B38" s="87"/>
      <c r="E38" s="123"/>
      <c r="F38" s="118"/>
      <c r="G38" s="168"/>
      <c r="H38" s="168"/>
      <c r="I38" s="119"/>
      <c r="J38" s="120"/>
    </row>
    <row r="39" spans="2:10" ht="13.5" customHeight="1" x14ac:dyDescent="0.25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25">
      <c r="B40" s="87"/>
      <c r="E40" s="123"/>
      <c r="F40" s="118"/>
      <c r="G40" s="168"/>
      <c r="H40" s="168"/>
      <c r="I40" s="119"/>
      <c r="J40" s="120"/>
    </row>
    <row r="41" spans="2:10" ht="14.25" hidden="1" customHeight="1" x14ac:dyDescent="0.25">
      <c r="B41" s="87"/>
      <c r="E41" s="123"/>
      <c r="F41" s="121"/>
      <c r="G41" s="162"/>
      <c r="H41" s="163"/>
      <c r="I41" s="122"/>
      <c r="J41" s="120"/>
    </row>
    <row r="42" spans="2:10" hidden="1" x14ac:dyDescent="0.25">
      <c r="B42" s="87"/>
      <c r="E42" s="123"/>
      <c r="F42" s="118"/>
      <c r="G42" s="168"/>
      <c r="H42" s="168"/>
      <c r="I42" s="119"/>
      <c r="J42" s="120"/>
    </row>
    <row r="43" spans="2:10" x14ac:dyDescent="0.25">
      <c r="B43" s="87"/>
      <c r="E43" s="123"/>
      <c r="F43" s="121"/>
      <c r="G43" s="162"/>
      <c r="H43" s="163"/>
      <c r="I43" s="122"/>
      <c r="J43" s="120"/>
    </row>
    <row r="44" spans="2:10" ht="9" customHeight="1" x14ac:dyDescent="0.25">
      <c r="B44" s="87"/>
      <c r="E44" s="95"/>
      <c r="F44" s="92"/>
      <c r="G44" s="170"/>
      <c r="H44" s="170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1">
        <f>+F18+F20+F22+F24+F26+F28+F30+F32+F34+F36+F38+F40+F42</f>
        <v>2358</v>
      </c>
      <c r="E47" s="144"/>
    </row>
    <row r="48" spans="2:10" ht="17.25" customHeight="1" x14ac:dyDescent="0.25">
      <c r="B48" s="169" t="s">
        <v>105</v>
      </c>
      <c r="C48" s="169"/>
      <c r="D48" s="169"/>
      <c r="E48" s="169"/>
    </row>
    <row r="49" spans="2:5" ht="21.75" customHeight="1" x14ac:dyDescent="0.25">
      <c r="B49" s="169"/>
      <c r="C49" s="169"/>
      <c r="D49" s="169"/>
      <c r="E49" s="16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5" t="s">
        <v>161</v>
      </c>
      <c r="C1" s="175"/>
      <c r="D1" s="175"/>
      <c r="E1" s="175"/>
      <c r="F1" s="135" t="str">
        <f>+Инвойс!F1</f>
        <v xml:space="preserve"> 10.09.2025г.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34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40897PBA/404215BA</v>
      </c>
      <c r="F26" s="157"/>
      <c r="G26" s="157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2358</v>
      </c>
      <c r="F30" s="116" t="str">
        <f>+Инвойс!F30</f>
        <v>кг</v>
      </c>
      <c r="G30" s="106">
        <f>+Инвойс!G30</f>
        <v>23051</v>
      </c>
      <c r="H30" s="106">
        <f>+Инвойс!H30</f>
        <v>21400</v>
      </c>
      <c r="I30" s="108">
        <f>+Инвойс!I30</f>
        <v>1.2</v>
      </c>
      <c r="J30" s="13">
        <f>+Инвойс!J30</f>
        <v>25680</v>
      </c>
      <c r="K30" s="12">
        <v>0</v>
      </c>
      <c r="L30" s="12">
        <v>0</v>
      </c>
      <c r="M30" s="13">
        <f>+Инвойс!M30</f>
        <v>25680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2358</v>
      </c>
      <c r="F31" s="15"/>
      <c r="G31" s="64">
        <f>SUM(G30:G30)</f>
        <v>23051</v>
      </c>
      <c r="H31" s="64">
        <f>SUM(H30:H30)</f>
        <v>21400</v>
      </c>
      <c r="I31" s="102"/>
      <c r="J31" s="17">
        <f>SUM(J30:J30)</f>
        <v>25680</v>
      </c>
      <c r="K31" s="16"/>
      <c r="L31" s="16"/>
      <c r="M31" s="17">
        <f>SUM(M30:M30)</f>
        <v>25680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шестьсот восемьдесят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9" sqref="A19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117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25680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шестьсот восемьдесят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45910</v>
      </c>
      <c r="O3" s="179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пять тысяч шестьсот восемьдесят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10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шестьсот восемьдесят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шестьсот восемьдесят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шестьсот восемьдесят долларов США, 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25680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">
      <c r="A28" s="54">
        <f>TRUNC(A29/10)</f>
        <v>2568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25680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680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2025-09-09T22:42:22Z</cp:lastPrinted>
  <dcterms:created xsi:type="dcterms:W3CDTF">1996-10-14T23:33:28Z</dcterms:created>
  <dcterms:modified xsi:type="dcterms:W3CDTF">2025-09-09T22:42:24Z</dcterms:modified>
</cp:coreProperties>
</file>