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B32A301-F4ED-4287-A099-987C61E5A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1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<sst xmlns="http://schemas.openxmlformats.org/spreadsheetml/2006/main" count="209" uniqueCount="163">
  <si>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</si>
  <si>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</si>
  <si>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</si>
  <si>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</si>
  <si>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</si>
  <si>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</si>
  <si>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</si>
  <si>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</si>
  <si>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</si>
  <si>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</si>
  <si>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</si>
  <si>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</si>
  <si>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</si>
  <si>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</si>
  <si>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</si>
  <si>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</si>
  <si>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</si>
  <si>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</si>
  <si>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</si>
  <si>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</si>
  <si>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</si>
  <si>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</si>
  <si>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</si>
  <si>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</si>
  <si>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</si>
  <si>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</si>
  <si>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</si>
  <si>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</si>
  <si>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</si>
  <si>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</si>
  <si>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</si>
  <si>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</si>
  <si>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</si>
  <si>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</si>
  <si>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</si>
  <si>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</si>
  <si>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</si>
  <si>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</si>
  <si>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</si>
  <si>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</si>
  <si>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</si>
  <si>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</si>
  <si>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</si>
  <si>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</si>
  <si>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</si>
  <si>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</si>
  <si>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</si>
  <si>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</si>
  <si>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</si>
  <si>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</si>
  <si>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</si>
  <si>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</si>
  <si>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</si>
  <si>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</si>
  <si>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</si>
  <si>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</si>
  <si>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</si>
  <si>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</si>
  <si>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</si>
  <si>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</si>
  <si>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</si>
  <si>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</si>
  <si>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</si>
  <si>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</si>
  <si>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</si>
  <si>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</si>
  <si>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</si>
  <si>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</si>
  <si>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</si>
  <si>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</si>
  <si>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</si>
  <si>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</si>
  <si>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</si>
  <si>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</si>
  <si>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</si>
  <si>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</si>
  <si>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</si>
  <si>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</si>
  <si>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</si>
  <si>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</si>
  <si>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</si>
  <si>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</si>
  <si>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</si>
  <si>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</si>
  <si>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</si>
  <si>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</si>
  <si>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</si>
  <si>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</si>
  <si>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</si>
  <si>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</si>
  <si>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</si>
  <si>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</si>
  <si>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</si>
  <si>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</si>
  <si>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</si>
  <si>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</si>
  <si>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</si>
  <si>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</si>
  <si>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</si>
  <si>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</si>
  <si>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</si>
  <si>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</si>
  <si>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</si>
  <si>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</si>
  <si>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</si>
  <si>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</si>
  <si>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</si>
  <si>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</si>
  <si>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</si>
  <si>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</si>
  <si>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</si>
  <si>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</si>
  <si>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</si>
  <si>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</si>
  <si>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</si>
  <si>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</si>
  <si>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</si>
  <si>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</si>
  <si>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</si>
  <si>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</si>
  <si>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</si>
  <si>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</si>
  <si>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</si>
  <si>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</si>
  <si>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</si>
  <si>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</si>
  <si>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</si>
  <si>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</si>
  <si>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</si>
  <si>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</si>
  <si>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</si>
  <si>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</si>
  <si>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</si>
  <si>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</si>
  <si>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</si>
  <si>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</si>
  <si>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</si>
  <si>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</si>
  <si>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</si>
  <si>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</si>
  <si>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</si>
  <si>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</si>
  <si>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</si>
  <si>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</si>
  <si>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</si>
  <si>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</si>
  <si>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</si>
  <si>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</si>
  <si>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</si>
  <si>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</si>
  <si>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</si>
  <si>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</si>
  <si>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</si>
  <si>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</si>
  <si>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</si>
  <si>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</si>
  <si>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</si>
  <si>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</si>
  <si>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</si>
  <si>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VG-N-68 от </t>
  </si>
  <si>
    <t xml:space="preserve"> 01.09.2025г.</t>
  </si>
  <si>
    <t>90634WAA/901494BA</t>
  </si>
  <si>
    <t xml:space="preserve">СПЕЦИФИКАЦИЯ № VG-N-68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</si>
</sst>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159</v>
      </c>
      <c r="D1" s="134"/>
      <c r="E1" s="134"/>
      <c r="F1" s="133" t="s">
        <v>160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140</v>
      </c>
      <c r="B5" s="135"/>
      <c r="C5" s="135"/>
      <c r="D5" s="135"/>
      <c r="E5" s="135"/>
      <c r="F5" s="6"/>
      <c r="G5" s="137" t="s">
        <v>150</v>
      </c>
      <c r="H5" s="137"/>
      <c r="I5" s="137"/>
      <c r="J5" s="137"/>
      <c r="K5" s="137"/>
      <c r="L5" s="137"/>
      <c r="M5" s="137"/>
    </row>
    <row r="6" spans="1:15" ht="13.8" x14ac:dyDescent="0.25">
      <c r="A6" s="141" t="s">
        <v>141</v>
      </c>
      <c r="B6" s="142"/>
      <c r="C6" s="142"/>
      <c r="D6" s="142"/>
      <c r="E6" s="142"/>
      <c r="F6" s="7"/>
      <c r="G6" s="139" t="s">
        <v>151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39" t="s">
        <v>152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156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140</v>
      </c>
      <c r="B14" s="135"/>
      <c r="C14" s="135"/>
      <c r="D14" s="135"/>
      <c r="E14" s="135"/>
      <c r="F14" s="6"/>
      <c r="G14" s="137" t="s">
        <v>150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141</v>
      </c>
      <c r="B15" s="142"/>
      <c r="C15" s="142"/>
      <c r="D15" s="142"/>
      <c r="E15" s="142"/>
      <c r="F15" s="7"/>
      <c r="G15" s="139" t="s">
        <v>151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39" t="s">
        <v>152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8" t="s">
        <v>156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138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124</v>
      </c>
      <c r="C30" s="107" t="s">
        <v>123</v>
      </c>
      <c r="D30" s="109" t="s">
        <v>111</v>
      </c>
      <c r="E30" s="101">
        <v>2235</v>
      </c>
      <c r="F30" s="115" t="s">
        <v>27</v>
      </c>
      <c r="G30" s="106">
        <v>22500</v>
      </c>
      <c r="H30" s="106">
        <v>20936</v>
      </c>
      <c r="I30" s="108">
        <v>1</v>
      </c>
      <c r="J30" s="13">
        <f t="shared" ref="J30" si="0">H30*I30</f>
        <v>20936</v>
      </c>
      <c r="K30" s="12">
        <v>0</v>
      </c>
      <c r="L30" s="12">
        <v>0</v>
      </c>
      <c r="M30" s="13">
        <f t="shared" ref="M30" si="1">J30</f>
        <v>20936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2235</v>
      </c>
      <c r="F31" s="15"/>
      <c r="G31" s="64">
        <f>SUM(G30:G30)</f>
        <v>22500</v>
      </c>
      <c r="H31" s="64">
        <f>SUM(H30:H30)</f>
        <v>20936</v>
      </c>
      <c r="I31" s="102"/>
      <c r="J31" s="17">
        <f>SUM(J30:J30)</f>
        <v>20936</v>
      </c>
      <c r="K31" s="16"/>
      <c r="L31" s="16"/>
      <c r="M31" s="17">
        <f>SUM(M30:M30)</f>
        <v>20936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тысяч девятьсот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I40" sqref="I40:I4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VG-N-68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2235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90634WAA/901494BA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I28" sqref="I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90634WAA/901494BA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VG-N-68 от  01.09.2025г.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2235</v>
      </c>
      <c r="G18" s="166" t="str">
        <f>+CMR!F30</f>
        <v>Виноград свежий столовых сортов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22500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2235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3" t="str">
        <f>+Инвойс!F1</f>
        <v xml:space="preserve"> 01.09.2025г.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GR-VT-01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126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90634WAA/901494BA</v>
      </c>
      <c r="F26" s="155"/>
      <c r="G26" s="155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2235</v>
      </c>
      <c r="F30" s="115" t="str">
        <f>+Инвойс!F30</f>
        <v>кг</v>
      </c>
      <c r="G30" s="106">
        <f>+Инвойс!G30</f>
        <v>22500</v>
      </c>
      <c r="H30" s="106">
        <f>+Инвойс!H30</f>
        <v>20936</v>
      </c>
      <c r="I30" s="108">
        <f>+Инвойс!I30</f>
        <v>1</v>
      </c>
      <c r="J30" s="13">
        <f>+Инвойс!J30</f>
        <v>20936</v>
      </c>
      <c r="K30" s="12">
        <v>0</v>
      </c>
      <c r="L30" s="12">
        <v>0</v>
      </c>
      <c r="M30" s="13">
        <f>+Инвойс!M30</f>
        <v>20936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2235</v>
      </c>
      <c r="F31" s="15"/>
      <c r="G31" s="64">
        <f>SUM(G30:G30)</f>
        <v>22500</v>
      </c>
      <c r="H31" s="64">
        <f>SUM(H30:H30)</f>
        <v>20936</v>
      </c>
      <c r="I31" s="102"/>
      <c r="J31" s="17">
        <f>SUM(J30:J30)</f>
        <v>20936</v>
      </c>
      <c r="K31" s="16"/>
      <c r="L31" s="16"/>
      <c r="M31" s="17">
        <f>SUM(M30:M30)</f>
        <v>20936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тысяч девятьсот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5" sqref="A5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125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20936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девятьсот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45901</v>
      </c>
      <c r="O3" s="177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тысяч девятьсот тридцать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1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девятьсот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девятьсот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тридцать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20936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2093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20936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2025-09-01T11:43:47Z</cp:lastPrinted>
  <dcterms:created xsi:type="dcterms:W3CDTF">1996-10-14T23:33:28Z</dcterms:created>
  <dcterms:modified xsi:type="dcterms:W3CDTF">2025-09-01T11:47:44Z</dcterms:modified>
</cp:coreProperties>
</file>