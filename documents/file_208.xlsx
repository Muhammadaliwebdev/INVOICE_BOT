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616FA9D-0F0C-4497-878A-19C3B0E6BF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<sst xmlns="http://schemas.openxmlformats.org/spreadsheetml/2006/main" count="201" uniqueCount="163">
  <si>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</si>
  <si>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</si>
  <si>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</si>
  <si>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</si>
  <si>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</si>
  <si>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</si>
  <si>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</si>
  <si>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</si>
  <si>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</si>
  <si>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</si>
  <si>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</si>
  <si>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</si>
  <si>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</si>
  <si>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</si>
  <si>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</si>
  <si>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</si>
  <si>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</si>
  <si>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</si>
  <si>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</si>
  <si>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</si>
  <si>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</si>
  <si>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</si>
  <si>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</si>
  <si>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</si>
  <si>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</si>
  <si>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</si>
  <si>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</si>
  <si>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</si>
  <si>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</si>
  <si>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</si>
  <si>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</si>
  <si>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</si>
  <si>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</si>
  <si>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</si>
  <si>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</si>
  <si>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</si>
  <si>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</si>
  <si>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</si>
  <si>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</si>
  <si>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</si>
  <si>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</si>
  <si>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</si>
  <si>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</si>
  <si>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</si>
  <si>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</si>
  <si>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</si>
  <si>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</si>
  <si>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</si>
  <si>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</si>
  <si>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</si>
  <si>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</si>
  <si>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</si>
  <si>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</si>
  <si>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</si>
  <si>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</si>
  <si>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</si>
  <si>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</si>
  <si>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</si>
  <si>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</si>
  <si>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</si>
  <si>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</si>
  <si>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</si>
  <si>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</si>
  <si>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</si>
  <si>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</si>
  <si>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</si>
  <si>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</si>
  <si>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</si>
  <si>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</si>
  <si>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</si>
  <si>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</si>
  <si>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</si>
  <si>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</si>
  <si>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</si>
  <si>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</si>
  <si>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</si>
  <si>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</si>
  <si>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</si>
  <si>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</si>
  <si>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</si>
  <si>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</si>
  <si>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</si>
  <si>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</si>
  <si>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</si>
  <si>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</si>
  <si>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</si>
  <si>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</si>
  <si>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</si>
  <si>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</si>
  <si>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</si>
  <si>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</si>
  <si>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</si>
  <si>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</si>
  <si>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</si>
  <si>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</si>
  <si>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</si>
  <si>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</si>
  <si>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</si>
  <si>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</si>
  <si>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</si>
  <si>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</si>
  <si>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</si>
  <si>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</si>
  <si>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</si>
  <si>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</si>
  <si>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</si>
  <si>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</si>
  <si>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</si>
  <si>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</si>
  <si>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</si>
  <si>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</si>
  <si>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</si>
  <si>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</si>
  <si>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</si>
  <si>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</si>
  <si>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</si>
  <si>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</si>
  <si>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</si>
  <si>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</si>
  <si>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</si>
  <si>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</si>
  <si>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</si>
  <si>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</si>
  <si>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</si>
  <si>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</si>
  <si>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</si>
  <si>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</si>
  <si>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</si>
  <si>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</si>
  <si>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</si>
  <si>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</si>
  <si>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</si>
  <si>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</si>
  <si>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</si>
  <si>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</si>
  <si>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</si>
  <si>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</si>
  <si>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</si>
  <si>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</si>
  <si>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</si>
  <si>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</si>
  <si>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</si>
  <si>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</si>
  <si>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</si>
  <si>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</si>
  <si>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</si>
  <si>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</si>
  <si>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</si>
  <si>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</si>
  <si>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</si>
  <si>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</si>
  <si>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</si>
  <si>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</si>
  <si>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</si>
  <si>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</si>
  <si>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</si>
  <si>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</si>
  <si>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</si>
  <si>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13.08.2025г.</t>
  </si>
  <si>
    <t>DAP - с Амандык , Республика Казахстан</t>
  </si>
  <si>
    <t xml:space="preserve">ИНВОЙС № BEZ-A-82 от </t>
  </si>
  <si>
    <t>01J258ZC/019480BA</t>
  </si>
  <si>
    <t xml:space="preserve">СПЕЦИФИКАЦИЯ № BEZ-A-82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</si>
</sst>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3" t="s">
        <v>160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75" x14ac:dyDescent="0.25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984</v>
      </c>
      <c r="F30" s="110" t="s">
        <v>27</v>
      </c>
      <c r="G30" s="106">
        <v>23000</v>
      </c>
      <c r="H30" s="106">
        <v>21230</v>
      </c>
      <c r="I30" s="108">
        <v>0.2</v>
      </c>
      <c r="J30" s="13">
        <f t="shared" ref="J30" si="0">H30*I30</f>
        <v>4246</v>
      </c>
      <c r="K30" s="12">
        <v>0</v>
      </c>
      <c r="L30" s="12">
        <v>0</v>
      </c>
      <c r="M30" s="13">
        <f t="shared" ref="M30" si="1">J30</f>
        <v>4246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984</v>
      </c>
      <c r="F31" s="15"/>
      <c r="G31" s="64">
        <f>SUM(G30:G30)</f>
        <v>23000</v>
      </c>
      <c r="H31" s="64">
        <f>SUM(H30:H30)</f>
        <v>21230</v>
      </c>
      <c r="I31" s="102"/>
      <c r="J31" s="17">
        <f>SUM(J30:J30)</f>
        <v>4246</v>
      </c>
      <c r="K31" s="16"/>
      <c r="L31" s="16"/>
      <c r="M31" s="17">
        <f>SUM(M30:M30)</f>
        <v>4246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сорок шесть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2" sqref="B31:I32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BEZ-A-82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984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01J258ZC/019480BA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6" zoomScaleNormal="100" workbookViewId="0">
      <selection activeCell="D47" sqref="D47:E4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01J258ZC/019480BA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BEZ-A-82 от  13.08.2025г.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984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4"/>
      <c r="H20" s="164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4"/>
      <c r="H22" s="164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4"/>
      <c r="H24" s="164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4"/>
      <c r="H26" s="164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4"/>
      <c r="H28" s="164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4"/>
      <c r="H30" s="164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4"/>
      <c r="H32" s="164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4"/>
      <c r="H34" s="164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4"/>
      <c r="H36" s="164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4"/>
      <c r="H38" s="164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4"/>
      <c r="H42" s="164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6"/>
      <c r="H44" s="166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7">
        <v>984</v>
      </c>
      <c r="E47" s="168"/>
    </row>
    <row r="48" spans="2:10" ht="17.25" customHeight="1" x14ac:dyDescent="0.25">
      <c r="B48" s="165" t="s">
        <v>105</v>
      </c>
      <c r="C48" s="165"/>
      <c r="D48" s="165"/>
      <c r="E48" s="165"/>
    </row>
    <row r="49" spans="2:5" ht="21.75" customHeight="1" x14ac:dyDescent="0.25">
      <c r="B49" s="165"/>
      <c r="C49" s="165"/>
      <c r="D49" s="165"/>
      <c r="E49" s="165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tr">
        <f>+Инвойс!E26</f>
        <v>01J258ZC/019480BA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984</v>
      </c>
      <c r="F30" s="116" t="str">
        <f>+Инвойс!F30</f>
        <v>кг</v>
      </c>
      <c r="G30" s="106">
        <f>+Инвойс!G30</f>
        <v>23000</v>
      </c>
      <c r="H30" s="106">
        <f>+Инвойс!H30</f>
        <v>21230</v>
      </c>
      <c r="I30" s="108">
        <f>+Инвойс!I30</f>
        <v>0.2</v>
      </c>
      <c r="J30" s="13">
        <f>+Инвойс!J30</f>
        <v>4246</v>
      </c>
      <c r="K30" s="12">
        <v>0</v>
      </c>
      <c r="L30" s="12">
        <v>0</v>
      </c>
      <c r="M30" s="13">
        <f>+Инвойс!M30</f>
        <v>4246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984</v>
      </c>
      <c r="F31" s="15"/>
      <c r="G31" s="64">
        <f>SUM(G30:G30)</f>
        <v>23000</v>
      </c>
      <c r="H31" s="64">
        <f>SUM(H30:H30)</f>
        <v>21230</v>
      </c>
      <c r="I31" s="102"/>
      <c r="J31" s="17">
        <f>SUM(J30:J30)</f>
        <v>4246</v>
      </c>
      <c r="K31" s="16"/>
      <c r="L31" s="16"/>
      <c r="M31" s="17">
        <f>SUM(M30:M30)</f>
        <v>4246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сорок шесть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4246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шесть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шесть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шесть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шесть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шесть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4246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2025-08-13T05:21:01Z</cp:lastPrinted>
  <dcterms:created xsi:type="dcterms:W3CDTF">1996-10-14T23:33:28Z</dcterms:created>
  <dcterms:modified xsi:type="dcterms:W3CDTF">2025-08-13T05:21:03Z</dcterms:modified>
</cp:coreProperties>
</file>