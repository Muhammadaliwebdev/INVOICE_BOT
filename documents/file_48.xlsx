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0245B8D-3E94-46B7-8C15-13497642D5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<sst xmlns="http://schemas.openxmlformats.org/spreadsheetml/2006/main" count="209" uniqueCount="163">
  <si>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</si>
  <si>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</si>
  <si>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</si>
  <si>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</si>
  <si>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</si>
  <si>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</si>
  <si>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</si>
  <si>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</si>
  <si>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</si>
  <si>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</si>
  <si>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</si>
  <si>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</si>
  <si>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</si>
  <si>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</si>
  <si>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</si>
  <si>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</si>
  <si>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</si>
  <si>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</si>
  <si>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</si>
  <si>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</si>
  <si>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</si>
  <si>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</si>
  <si>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</si>
  <si>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</si>
  <si>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</si>
  <si>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</si>
  <si>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</si>
  <si>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</si>
  <si>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</si>
  <si>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</si>
  <si>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</si>
  <si>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</si>
  <si>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</si>
  <si>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</si>
  <si>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</si>
  <si>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</si>
  <si>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</si>
  <si>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</si>
  <si>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</si>
  <si>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</si>
  <si>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</si>
  <si>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</si>
  <si>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</si>
  <si>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</si>
  <si>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</si>
  <si>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</si>
  <si>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</si>
  <si>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</si>
  <si>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</si>
  <si>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</si>
  <si>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</si>
  <si>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</si>
  <si>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</si>
  <si>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</si>
  <si>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</si>
  <si>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</si>
  <si>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</si>
  <si>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</si>
  <si>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</si>
  <si>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</si>
  <si>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</si>
  <si>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</si>
  <si>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</si>
  <si>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</si>
  <si>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</si>
  <si>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</si>
  <si>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</si>
  <si>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</si>
  <si>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</si>
  <si>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</si>
  <si>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</si>
  <si>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</si>
  <si>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</si>
  <si>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</si>
  <si>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</si>
  <si>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</si>
  <si>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</si>
  <si>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</si>
  <si>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</si>
  <si>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</si>
  <si>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</si>
  <si>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</si>
  <si>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</si>
  <si>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</si>
  <si>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</si>
  <si>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</si>
  <si>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</si>
  <si>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</si>
  <si>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</si>
  <si>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</si>
  <si>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</si>
  <si>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</si>
  <si>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</si>
  <si>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</si>
  <si>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</si>
  <si>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</si>
  <si>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</si>
  <si>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</si>
  <si>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</si>
  <si>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</si>
  <si>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</si>
  <si>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</si>
  <si>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</si>
  <si>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</si>
  <si>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</si>
  <si>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</si>
  <si>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</si>
  <si>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</si>
  <si>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</si>
  <si>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</si>
  <si>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</si>
  <si>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</si>
  <si>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</si>
  <si>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</si>
  <si>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</si>
  <si>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</si>
  <si>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</si>
  <si>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</si>
  <si>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</si>
  <si>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</si>
  <si>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</si>
  <si>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</si>
  <si>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</si>
  <si>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</si>
  <si>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</si>
  <si>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</si>
  <si>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</si>
  <si>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</si>
  <si>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</si>
  <si>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</si>
  <si>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</si>
  <si>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</si>
  <si>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</si>
  <si>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</si>
  <si>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</si>
  <si>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</si>
  <si>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</si>
  <si>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</si>
  <si>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</si>
  <si>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 xml:space="preserve"> 25.08.2025г.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</si>
  <si>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</si>
  <si>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</si>
  <si>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</si>
  <si>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</si>
  <si>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</si>
  <si>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</si>
  <si>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</si>
  <si>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</si>
  <si>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</si>
  <si>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</si>
  <si>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</si>
  <si>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</si>
  <si>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</si>
  <si>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</si>
  <si>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</si>
  <si>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</si>
  <si>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</si>
  <si>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</si>
  <si>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</si>
  <si>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PLG-A-1 от </t>
  </si>
  <si>
    <t>60911ABA/604726AA</t>
  </si>
  <si>
    <t xml:space="preserve">СПЕЦИФИКАЦИЯ № PLG-A-1 от </t>
  </si>
  <si>
    <t>/г. Владивосток/ г.Чита / г. Кемерово / г. Краснодар / г.Пятигорск / г.Воронеж / /г.Нижневартовск/г.Нижний Новгород/г.Киров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</si>
</sst>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159</v>
      </c>
      <c r="D1" s="134"/>
      <c r="E1" s="134"/>
      <c r="F1" s="133" t="s">
        <v>139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149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150</v>
      </c>
      <c r="B5" s="135"/>
      <c r="C5" s="135"/>
      <c r="D5" s="135"/>
      <c r="E5" s="135"/>
      <c r="F5" s="6"/>
      <c r="G5" s="137" t="s">
        <v>140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151</v>
      </c>
      <c r="B6" s="142"/>
      <c r="C6" s="142"/>
      <c r="D6" s="142"/>
      <c r="E6" s="142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152</v>
      </c>
      <c r="B7" s="142"/>
      <c r="C7" s="142"/>
      <c r="D7" s="142"/>
      <c r="E7" s="142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155</v>
      </c>
      <c r="B10" s="124"/>
      <c r="C10" s="124"/>
      <c r="D10" s="124"/>
      <c r="E10" s="124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146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150</v>
      </c>
      <c r="B14" s="135"/>
      <c r="C14" s="135"/>
      <c r="D14" s="135"/>
      <c r="E14" s="135"/>
      <c r="F14" s="6"/>
      <c r="G14" s="137" t="s">
        <v>140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151</v>
      </c>
      <c r="B15" s="142"/>
      <c r="C15" s="142"/>
      <c r="D15" s="142"/>
      <c r="E15" s="142"/>
      <c r="F15" s="7"/>
      <c r="G15" s="139" t="s">
        <v>141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152</v>
      </c>
      <c r="B16" s="142"/>
      <c r="C16" s="142"/>
      <c r="D16" s="142"/>
      <c r="E16" s="142"/>
      <c r="F16" s="63"/>
      <c r="G16" s="139" t="s">
        <v>142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155</v>
      </c>
      <c r="B19" s="124"/>
      <c r="C19" s="124"/>
      <c r="D19" s="124"/>
      <c r="E19" s="124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8" t="s">
        <v>146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116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137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160</v>
      </c>
      <c r="F26" s="155"/>
      <c r="G26" s="155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125</v>
      </c>
      <c r="C30" s="107" t="s">
        <v>126</v>
      </c>
      <c r="D30" s="109" t="s">
        <v>111</v>
      </c>
      <c r="E30" s="101">
        <v>900</v>
      </c>
      <c r="F30" s="115" t="s">
        <v>27</v>
      </c>
      <c r="G30" s="106">
        <v>23000</v>
      </c>
      <c r="H30" s="106">
        <v>21380</v>
      </c>
      <c r="I30" s="108">
        <v>0.25</v>
      </c>
      <c r="J30" s="13">
        <f t="shared" ref="J30" si="0">H30*I30</f>
        <v>5345</v>
      </c>
      <c r="K30" s="12">
        <v>0</v>
      </c>
      <c r="L30" s="12">
        <v>0</v>
      </c>
      <c r="M30" s="13">
        <f t="shared" ref="M30" si="1">J30</f>
        <v>5345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сорок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108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34" sqref="F34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110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162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PLG-A-1 от  25.08.2025г.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59" t="str">
        <f>+C22</f>
        <v xml:space="preserve"> 25.08.2025г.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60911ABA/604726AA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60911ABA/604726AA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25.08.2025г.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PLG-A-1 от  25.08.2025г.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900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900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161</v>
      </c>
      <c r="C1" s="173"/>
      <c r="D1" s="173"/>
      <c r="E1" s="173"/>
      <c r="F1" s="133" t="str">
        <f>+Инвойс!F1</f>
        <v xml:space="preserve"> 25.08.2025г.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GR-POL-01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ООО «POLARIUM»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41" t="str">
        <f>+Инвойс!A6</f>
        <v>Республика Узбекистан. Ташкентская область, Бекабадский район,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41" t="str">
        <f>+Инвойс!A7</f>
        <v>махалля Зафар, Гулистан МФЙ, улица Мустакиллик, дом 1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«TURON BANK» МФО 00446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41" t="str">
        <f>+Инвойс!A9</f>
        <v>в/с: 20208840907287520001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41" t="str">
        <f>+Инвойс!A10</f>
        <v>SWIFT: TURONUZ22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41" t="str">
        <f>+Инвойс!A11</f>
        <v>ИНН: 312302455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ООО «POLARIUM»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tr">
        <f>+Инвойс!A15</f>
        <v>Республика Узбекистан. Ташкентская область, Бекабадский район,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41" t="str">
        <f>+Инвойс!A16</f>
        <v>махалля Зафар, Гулистан МФЙ, улица Мустакиллик, дом 1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«TURON BANK» МФО 00446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41" t="str">
        <f>+Инвойс!A18</f>
        <v>в/с: 20208840907287520001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41" t="str">
        <f>+Инвойс!A19</f>
        <v>SWIFT: TURONUZ22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41" t="str">
        <f>+Инвойс!A20</f>
        <v>ИНН: 312302455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114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60911ABA/604726AA</v>
      </c>
      <c r="F26" s="155"/>
      <c r="G26" s="155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4.5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900</v>
      </c>
      <c r="F30" s="115" t="str">
        <f>+Инвойс!F30</f>
        <v>кг</v>
      </c>
      <c r="G30" s="106">
        <f>+Инвойс!G30</f>
        <v>23000</v>
      </c>
      <c r="H30" s="106">
        <f>+Инвойс!H30</f>
        <v>21380</v>
      </c>
      <c r="I30" s="108">
        <f>+Инвойс!I30</f>
        <v>0.25</v>
      </c>
      <c r="J30" s="13">
        <f>+Инвойс!J30</f>
        <v>5345</v>
      </c>
      <c r="K30" s="12">
        <v>0</v>
      </c>
      <c r="L30" s="12">
        <v>0</v>
      </c>
      <c r="M30" s="13">
        <f>+Инвойс!M30</f>
        <v>5345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сорок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Юнусов Х.Р</v>
      </c>
      <c r="E36" s="131"/>
      <c r="G36" s="128" t="s">
        <v>129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115</v>
      </c>
    </row>
    <row r="3" spans="1:10" ht="51" x14ac:dyDescent="0.2">
      <c r="A3" s="129" t="s">
        <v>127</v>
      </c>
    </row>
    <row r="5" spans="1:10" ht="38.25" x14ac:dyDescent="0.2">
      <c r="A5" s="125" t="s">
        <v>116</v>
      </c>
    </row>
    <row r="6" spans="1:10" x14ac:dyDescent="0.2">
      <c r="E6" s="18" t="s">
        <v>128</v>
      </c>
      <c r="J6" s="25" t="s">
        <v>131</v>
      </c>
    </row>
    <row r="7" spans="1:10" ht="51" x14ac:dyDescent="0.2">
      <c r="A7" s="125" t="s">
        <v>117</v>
      </c>
    </row>
    <row r="8" spans="1:10" x14ac:dyDescent="0.2">
      <c r="E8" s="18" t="s">
        <v>137</v>
      </c>
      <c r="J8" s="25" t="s">
        <v>132</v>
      </c>
    </row>
    <row r="9" spans="1:10" ht="51" x14ac:dyDescent="0.2">
      <c r="A9" s="125" t="s">
        <v>118</v>
      </c>
    </row>
    <row r="10" spans="1:10" x14ac:dyDescent="0.2">
      <c r="A10" s="125"/>
      <c r="E10" s="18" t="s">
        <v>133</v>
      </c>
      <c r="J10" s="25" t="s">
        <v>134</v>
      </c>
    </row>
    <row r="11" spans="1:10" ht="51" x14ac:dyDescent="0.2">
      <c r="A11" s="125" t="s">
        <v>148</v>
      </c>
    </row>
    <row r="12" spans="1:10" x14ac:dyDescent="0.2">
      <c r="E12" s="18" t="s">
        <v>135</v>
      </c>
      <c r="J12" s="25" t="s">
        <v>136</v>
      </c>
    </row>
    <row r="13" spans="1:10" ht="51" x14ac:dyDescent="0.2">
      <c r="A13" s="125" t="s">
        <v>119</v>
      </c>
    </row>
    <row r="15" spans="1:10" ht="38.25" x14ac:dyDescent="0.2">
      <c r="A15" s="125" t="s">
        <v>120</v>
      </c>
    </row>
    <row r="17" spans="1:1" ht="38.25" x14ac:dyDescent="0.2">
      <c r="A17" s="125" t="s">
        <v>121</v>
      </c>
    </row>
    <row r="19" spans="1:1" ht="38.25" x14ac:dyDescent="0.2">
      <c r="A19" s="127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5345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сорок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45894</v>
      </c>
      <c r="O3" s="177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сорок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25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сорок пять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сорок пять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сорок пять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45894</v>
      </c>
    </row>
    <row r="13" spans="1:19" s="43" customFormat="1" x14ac:dyDescent="0.2">
      <c r="A13" s="49"/>
      <c r="D13" s="51"/>
      <c r="E13" s="52">
        <f>TRUNC(E2)</f>
        <v>5345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5345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345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2025-08-25T14:05:25Z</cp:lastPrinted>
  <dcterms:created xsi:type="dcterms:W3CDTF">1996-10-14T23:33:28Z</dcterms:created>
  <dcterms:modified xsi:type="dcterms:W3CDTF">2025-08-25T14:12:42Z</dcterms:modified>
</cp:coreProperties>
</file>