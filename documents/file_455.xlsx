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7FCF1B38-E107-475D-A79B-8F4B6E788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<sst xmlns="http://schemas.openxmlformats.org/spreadsheetml/2006/main" count="209" uniqueCount="162">
  <si>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</si>
  <si>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</si>
  <si>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</si>
  <si>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</si>
  <si>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</si>
  <si>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</si>
  <si>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</si>
  <si>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</si>
  <si>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</si>
  <si>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</si>
  <si>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</si>
  <si>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</si>
  <si>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</si>
  <si>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</si>
  <si>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</si>
  <si>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</si>
  <si>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</si>
  <si>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</si>
  <si>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</si>
  <si>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</si>
  <si>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</si>
  <si>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</si>
  <si>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</si>
  <si>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</si>
  <si>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</si>
  <si>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</si>
  <si>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</si>
  <si>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</si>
  <si>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</si>
  <si>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</si>
  <si>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</si>
  <si>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</si>
  <si>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</si>
  <si>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</si>
  <si>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</si>
  <si>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</si>
  <si>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</si>
  <si>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</si>
  <si>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</si>
  <si>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</si>
  <si>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</si>
  <si>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</si>
  <si>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</si>
  <si>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</si>
  <si>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</si>
  <si>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</si>
  <si>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</si>
  <si>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</si>
  <si>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</si>
  <si>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</si>
  <si>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</si>
  <si>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</si>
  <si>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</si>
  <si>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</si>
  <si>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</si>
  <si>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</si>
  <si>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</si>
  <si>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</si>
  <si>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</si>
  <si>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</si>
  <si>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</si>
  <si>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</si>
  <si>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</si>
  <si>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</si>
  <si>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</si>
  <si>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</si>
  <si>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</si>
  <si>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</si>
  <si>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</si>
  <si>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</si>
  <si>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</si>
  <si>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</si>
  <si>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</si>
  <si>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</si>
  <si>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</si>
  <si>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</si>
  <si>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</si>
  <si>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</si>
  <si>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</si>
  <si>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</si>
  <si>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</si>
  <si>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</si>
  <si>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</si>
  <si>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</si>
  <si>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</si>
  <si>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</si>
  <si>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</si>
  <si>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</si>
  <si>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</si>
  <si>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</si>
  <si>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</si>
  <si>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</si>
  <si>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</si>
  <si>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</si>
  <si>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</si>
  <si>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</si>
  <si>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</si>
  <si>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</si>
  <si>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</si>
  <si>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</si>
  <si>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</si>
  <si>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</si>
  <si>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</si>
  <si>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</si>
  <si>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</si>
  <si>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</si>
  <si>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</si>
  <si>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</si>
  <si>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</si>
  <si>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</si>
  <si>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</si>
  <si>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</si>
  <si>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</si>
  <si>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</si>
  <si>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</si>
  <si>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</si>
  <si>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</si>
  <si>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</si>
  <si>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</si>
  <si>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</si>
  <si>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</si>
  <si>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</si>
  <si>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</si>
  <si>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</si>
  <si>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</si>
  <si>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</si>
  <si>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</si>
  <si>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</si>
  <si>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</si>
  <si>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</si>
  <si>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</si>
  <si>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</si>
  <si>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</si>
  <si>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</si>
  <si>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</si>
  <si>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</si>
  <si>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</si>
  <si>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</si>
  <si>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</si>
  <si>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</si>
  <si>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</si>
  <si>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</si>
  <si>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</si>
  <si>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</si>
  <si>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</si>
  <si>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</si>
  <si>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</si>
  <si>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</si>
  <si>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</si>
  <si>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</si>
  <si>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</si>
  <si>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</si>
  <si>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</si>
  <si>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</si>
  <si>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</si>
  <si>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</si>
  <si>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</si>
  <si>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</si>
  <si>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PLG-A-53 от </t>
  </si>
  <si>
    <t xml:space="preserve"> 07.09.2025г.</t>
  </si>
  <si>
    <t xml:space="preserve">СПЕЦИФИКАЦИЯ № PLG-A-53 от </t>
  </si>
  <si>
    <t>40055TBA/401587CA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</si>
</sst>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158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143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144</v>
      </c>
      <c r="B5" s="135"/>
      <c r="C5" s="135"/>
      <c r="D5" s="135"/>
      <c r="E5" s="135"/>
      <c r="F5" s="6"/>
      <c r="G5" s="137" t="s">
        <v>135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145</v>
      </c>
      <c r="B6" s="142"/>
      <c r="C6" s="142"/>
      <c r="D6" s="142"/>
      <c r="E6" s="142"/>
      <c r="F6" s="7"/>
      <c r="G6" s="139" t="s">
        <v>136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146</v>
      </c>
      <c r="B7" s="142"/>
      <c r="C7" s="142"/>
      <c r="D7" s="142"/>
      <c r="E7" s="142"/>
      <c r="F7" s="63"/>
      <c r="G7" s="139" t="s">
        <v>137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149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141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144</v>
      </c>
      <c r="B14" s="135"/>
      <c r="C14" s="135"/>
      <c r="D14" s="135"/>
      <c r="E14" s="135"/>
      <c r="F14" s="6"/>
      <c r="G14" s="137" t="s">
        <v>135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145</v>
      </c>
      <c r="B15" s="142"/>
      <c r="C15" s="142"/>
      <c r="D15" s="142"/>
      <c r="E15" s="142"/>
      <c r="F15" s="7"/>
      <c r="G15" s="139" t="s">
        <v>136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146</v>
      </c>
      <c r="B16" s="142"/>
      <c r="C16" s="142"/>
      <c r="D16" s="142"/>
      <c r="E16" s="142"/>
      <c r="F16" s="63"/>
      <c r="G16" s="139" t="s">
        <v>137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149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8" t="s">
        <v>141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154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156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980</v>
      </c>
      <c r="F30" s="115" t="s">
        <v>27</v>
      </c>
      <c r="G30" s="106">
        <v>23000</v>
      </c>
      <c r="H30" s="106">
        <v>21236</v>
      </c>
      <c r="I30" s="108">
        <v>0.25</v>
      </c>
      <c r="J30" s="13">
        <f t="shared" ref="J30" si="0">H30*I30</f>
        <v>5309</v>
      </c>
      <c r="K30" s="12">
        <v>0</v>
      </c>
      <c r="L30" s="12">
        <v>0</v>
      </c>
      <c r="M30" s="13">
        <f t="shared" ref="M30" si="1">J30</f>
        <v>5309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5309</v>
      </c>
      <c r="K31" s="16"/>
      <c r="L31" s="16"/>
      <c r="M31" s="17">
        <f>SUM(M30:M30)</f>
        <v>5309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девять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PLG-A-53 от  07.09.2025г.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07.09.2025г.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40055TBA/401587CA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40055TBA/401587CA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PLG-A-53 от  07.09.2025г.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980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980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160</v>
      </c>
      <c r="C1" s="172"/>
      <c r="D1" s="172"/>
      <c r="E1" s="172"/>
      <c r="F1" s="133" t="str">
        <f>+Инвойс!F1</f>
        <v xml:space="preserve"> 07.09.2025г.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40055TBA/401587CA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0.25</v>
      </c>
      <c r="J30" s="13">
        <f>+Инвойс!J30</f>
        <v>5309</v>
      </c>
      <c r="K30" s="12">
        <v>0</v>
      </c>
      <c r="L30" s="12">
        <v>0</v>
      </c>
      <c r="M30" s="13">
        <f>+Инвойс!M30</f>
        <v>5309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5309</v>
      </c>
      <c r="K31" s="16"/>
      <c r="L31" s="16"/>
      <c r="M31" s="17">
        <f>SUM(M30:M30)</f>
        <v>5309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девять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152</v>
      </c>
      <c r="B36" s="130"/>
      <c r="D36" s="18" t="str">
        <f>+Инвойс!D36</f>
        <v>Юнусов Х.Р</v>
      </c>
      <c r="E36" s="131"/>
      <c r="G36" s="128" t="s">
        <v>128</v>
      </c>
      <c r="H36" s="18" t="str">
        <f>Инвойс!G5</f>
        <v>ООО «ГРИН ВОРЛД»</v>
      </c>
      <c r="K36" s="132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154</v>
      </c>
    </row>
    <row r="6" spans="1:10" x14ac:dyDescent="0.25">
      <c r="E6" s="18" t="s">
        <v>155</v>
      </c>
      <c r="J6" s="25" t="s">
        <v>130</v>
      </c>
    </row>
    <row r="7" spans="1:10" ht="52.8" x14ac:dyDescent="0.25">
      <c r="A7" s="125" t="s">
        <v>117</v>
      </c>
    </row>
    <row r="8" spans="1:10" x14ac:dyDescent="0.25">
      <c r="E8" s="18" t="s">
        <v>156</v>
      </c>
      <c r="J8" s="25" t="s">
        <v>131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156</v>
      </c>
      <c r="J10" s="25" t="s">
        <v>132</v>
      </c>
    </row>
    <row r="11" spans="1:10" ht="52.8" x14ac:dyDescent="0.25">
      <c r="A11" s="125" t="s">
        <v>153</v>
      </c>
    </row>
    <row r="12" spans="1:10" x14ac:dyDescent="0.25">
      <c r="E12" s="18" t="s">
        <v>157</v>
      </c>
      <c r="J12" s="25" t="s">
        <v>133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5309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девять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45907</v>
      </c>
      <c r="O3" s="176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девять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7  »  сентября  2025 г.</v>
      </c>
      <c r="L4" s="177"/>
      <c r="M4" s="177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девять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5309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2025-09-07T02:37:44Z</cp:lastPrinted>
  <dcterms:created xsi:type="dcterms:W3CDTF">1996-10-14T23:33:28Z</dcterms:created>
  <dcterms:modified xsi:type="dcterms:W3CDTF">2025-09-07T02:38:04Z</dcterms:modified>
</cp:coreProperties>
</file>