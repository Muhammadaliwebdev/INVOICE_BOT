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CFBFB20-5756-463D-AB33-FB4B995718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1" i="7" l="1"/>
  <c r="A12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<sst xmlns="http://schemas.openxmlformats.org/spreadsheetml/2006/main" count="210" uniqueCount="171">
  <si>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</si>
  <si>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</si>
  <si>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</si>
  <si>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</si>
  <si>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</si>
  <si>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</si>
  <si>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</si>
  <si>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</si>
  <si>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</si>
  <si>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</si>
  <si>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</si>
  <si>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</si>
  <si>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</si>
  <si>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</si>
  <si>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</si>
  <si>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</si>
  <si>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</si>
  <si>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</si>
  <si>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</si>
  <si>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</si>
  <si>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</si>
  <si>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</si>
  <si>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</si>
  <si>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</si>
  <si>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</si>
  <si>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</si>
  <si>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</si>
  <si>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</si>
  <si>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</si>
  <si>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</si>
  <si>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</si>
  <si>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</si>
  <si>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</si>
  <si>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</si>
  <si>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</si>
  <si>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</si>
  <si>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</si>
  <si>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</si>
  <si>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</si>
  <si>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</si>
  <si>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</si>
  <si>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</si>
  <si>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</si>
  <si>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</si>
  <si>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</si>
  <si>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</si>
  <si>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</si>
  <si>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</si>
  <si>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</si>
  <si>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</si>
  <si>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</si>
  <si>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</si>
  <si>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</si>
  <si>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</si>
  <si>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</si>
  <si>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</si>
  <si>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</si>
  <si>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</si>
  <si>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</si>
  <si>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</si>
  <si>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</si>
  <si>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</si>
  <si>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</si>
  <si>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</si>
  <si>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</si>
  <si>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</si>
  <si>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</si>
  <si>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</si>
  <si>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</si>
  <si>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</si>
  <si>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</si>
  <si>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</si>
  <si>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</si>
  <si>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</si>
  <si>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</si>
  <si>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</si>
  <si>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</si>
  <si>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</si>
  <si>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</si>
  <si>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</si>
  <si>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</si>
  <si>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</si>
  <si>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</si>
  <si>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</si>
  <si>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</si>
  <si>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</si>
  <si>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</si>
  <si>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</si>
  <si>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</si>
  <si>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</si>
  <si>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</si>
  <si>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</si>
  <si>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</si>
  <si>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</si>
  <si>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</si>
  <si>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</si>
  <si>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</si>
  <si>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</si>
  <si>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</si>
  <si>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</si>
  <si>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</si>
  <si>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</si>
  <si>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</si>
  <si>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</si>
  <si>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</si>
  <si>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</si>
  <si>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</si>
  <si>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</si>
  <si>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</si>
  <si>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</si>
  <si>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</si>
  <si>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</si>
  <si>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</si>
  <si>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</si>
  <si>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</si>
  <si>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</si>
  <si>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</si>
  <si>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</si>
  <si>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</si>
  <si>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</si>
  <si>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</si>
  <si>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</si>
  <si>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</si>
  <si>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</si>
  <si>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</si>
  <si>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</si>
  <si>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</si>
  <si>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</si>
  <si>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</si>
  <si>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</si>
  <si>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</si>
  <si>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</si>
  <si>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</si>
  <si>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</si>
  <si>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</si>
  <si>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</si>
  <si>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</si>
  <si>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</si>
  <si>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</si>
  <si>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</si>
  <si>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</si>
  <si>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</si>
  <si>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</si>
  <si>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</si>
  <si>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</si>
  <si>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</si>
  <si>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</si>
  <si>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</si>
  <si>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</si>
  <si>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</si>
  <si>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</si>
  <si>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</si>
  <si>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</si>
  <si>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</si>
  <si>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</si>
  <si>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</si>
  <si>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 контракту № EX1908 от 19.08.2025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</si>
  <si>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</si>
  <si>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</si>
  <si>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</si>
  <si>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Доллар США: 20208840607280925001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</si>
  <si>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</si>
  <si>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</si>
  <si>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</si>
  <si>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</si>
  <si>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</si>
  <si>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</si>
  <si>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 xml:space="preserve">ИНВОЙС № EXR-F-12 от </t>
  </si>
  <si>
    <t xml:space="preserve"> 24.08.2025г.</t>
  </si>
  <si>
    <t>30D075YA/309800AA</t>
  </si>
  <si>
    <t xml:space="preserve">СПЕЦИФИКАЦИЯ № EXR-F-12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</si>
</sst>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3.jpeg"/><Relationship Id="rId5" Type="http://schemas.openxmlformats.org/officeDocument/2006/relationships/image" Target="../media/image2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918883</xdr:colOff>
      <xdr:row>36</xdr:row>
      <xdr:rowOff>123264</xdr:rowOff>
    </xdr:from>
    <xdr:to>
      <xdr:col>4</xdr:col>
      <xdr:colOff>19077</xdr:colOff>
      <xdr:row>52</xdr:row>
      <xdr:rowOff>33618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471" y="20461940"/>
          <a:ext cx="2641253" cy="2588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568860</xdr:colOff>
      <xdr:row>36</xdr:row>
      <xdr:rowOff>78442</xdr:rowOff>
    </xdr:from>
    <xdr:to>
      <xdr:col>5</xdr:col>
      <xdr:colOff>235883</xdr:colOff>
      <xdr:row>39</xdr:row>
      <xdr:rowOff>181536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0125" y="20417118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257736</xdr:colOff>
      <xdr:row>36</xdr:row>
      <xdr:rowOff>100853</xdr:rowOff>
    </xdr:from>
    <xdr:to>
      <xdr:col>2</xdr:col>
      <xdr:colOff>505750</xdr:colOff>
      <xdr:row>50</xdr:row>
      <xdr:rowOff>11208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324" y="19318941"/>
          <a:ext cx="2321102" cy="22747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647302</xdr:colOff>
      <xdr:row>36</xdr:row>
      <xdr:rowOff>56030</xdr:rowOff>
    </xdr:from>
    <xdr:to>
      <xdr:col>4</xdr:col>
      <xdr:colOff>58578</xdr:colOff>
      <xdr:row>39</xdr:row>
      <xdr:rowOff>77355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8978" y="19274118"/>
          <a:ext cx="879247" cy="59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3" t="s">
        <v>167</v>
      </c>
      <c r="D1" s="153"/>
      <c r="E1" s="153"/>
      <c r="F1" s="152" t="s">
        <v>168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">
        <v>156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">
        <v>157</v>
      </c>
      <c r="B5" s="154"/>
      <c r="C5" s="154"/>
      <c r="D5" s="154"/>
      <c r="E5" s="154"/>
      <c r="F5" s="6"/>
      <c r="G5" s="147" t="s">
        <v>139</v>
      </c>
      <c r="H5" s="147"/>
      <c r="I5" s="147"/>
      <c r="J5" s="147"/>
      <c r="K5" s="147"/>
      <c r="L5" s="147"/>
      <c r="M5" s="147"/>
    </row>
    <row r="6" spans="1:15" ht="15" x14ac:dyDescent="0.25">
      <c r="A6" s="143" t="s">
        <v>158</v>
      </c>
      <c r="B6" s="142"/>
      <c r="C6" s="142"/>
      <c r="D6" s="142"/>
      <c r="E6" s="142"/>
      <c r="F6" s="7"/>
      <c r="G6" s="141" t="s">
        <v>140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42" t="s">
        <v>159</v>
      </c>
      <c r="B7" s="142"/>
      <c r="C7" s="142"/>
      <c r="D7" s="142"/>
      <c r="E7" s="142"/>
      <c r="F7" s="63"/>
      <c r="G7" s="141" t="s">
        <v>141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161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5" x14ac:dyDescent="0.25">
      <c r="A9" s="8" t="s">
        <v>160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162</v>
      </c>
      <c r="B10" s="125"/>
      <c r="C10" s="125"/>
      <c r="D10" s="125"/>
      <c r="E10" s="125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163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164</v>
      </c>
      <c r="B12" s="8"/>
      <c r="C12" s="8"/>
      <c r="D12" s="8"/>
      <c r="E12" s="8"/>
      <c r="F12" s="7"/>
      <c r="G12" s="155"/>
      <c r="H12" s="155"/>
      <c r="I12" s="155"/>
      <c r="J12" s="155"/>
      <c r="K12" s="155"/>
      <c r="L12" s="155"/>
      <c r="M12" s="155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">
        <v>157</v>
      </c>
      <c r="B14" s="154"/>
      <c r="C14" s="154"/>
      <c r="D14" s="154"/>
      <c r="E14" s="154"/>
      <c r="F14" s="6"/>
      <c r="G14" s="147" t="s">
        <v>125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3" t="s">
        <v>158</v>
      </c>
      <c r="B15" s="142"/>
      <c r="C15" s="142"/>
      <c r="D15" s="142"/>
      <c r="E15" s="142"/>
      <c r="F15" s="7"/>
      <c r="G15" s="141" t="s">
        <v>126</v>
      </c>
      <c r="H15" s="142"/>
      <c r="I15" s="142"/>
      <c r="J15" s="142"/>
      <c r="K15" s="142"/>
      <c r="L15" s="142"/>
      <c r="M15" s="142"/>
    </row>
    <row r="16" spans="1:15" ht="15" x14ac:dyDescent="0.25">
      <c r="A16" s="142" t="s">
        <v>159</v>
      </c>
      <c r="B16" s="142"/>
      <c r="C16" s="142"/>
      <c r="D16" s="142"/>
      <c r="E16" s="142"/>
      <c r="F16" s="63"/>
      <c r="G16" s="141" t="s">
        <v>127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161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160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162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163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5" x14ac:dyDescent="0.25">
      <c r="A21" s="99" t="s">
        <v>164</v>
      </c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81" t="s">
        <v>137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75" x14ac:dyDescent="0.25">
      <c r="A24" s="20" t="s">
        <v>22</v>
      </c>
      <c r="C24" s="18" t="s">
        <v>153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">
        <v>169</v>
      </c>
      <c r="F26" s="140"/>
      <c r="G26" s="140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900</v>
      </c>
      <c r="F30" s="110" t="s">
        <v>27</v>
      </c>
      <c r="G30" s="106">
        <v>22700</v>
      </c>
      <c r="H30" s="106">
        <v>21080</v>
      </c>
      <c r="I30" s="108">
        <v>0.2</v>
      </c>
      <c r="J30" s="13">
        <f t="shared" ref="J30" si="0">H30*I30</f>
        <v>4216</v>
      </c>
      <c r="K30" s="12">
        <v>0</v>
      </c>
      <c r="L30" s="12">
        <v>0</v>
      </c>
      <c r="M30" s="13">
        <f t="shared" ref="M30" si="1">J30</f>
        <v>4216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900</v>
      </c>
      <c r="F31" s="15"/>
      <c r="G31" s="64">
        <f>SUM(G30:G30)</f>
        <v>22700</v>
      </c>
      <c r="H31" s="64">
        <f>SUM(H30:H30)</f>
        <v>21080</v>
      </c>
      <c r="I31" s="102"/>
      <c r="J31" s="17">
        <f>SUM(J30:J30)</f>
        <v>4216</v>
      </c>
      <c r="K31" s="16"/>
      <c r="L31" s="16"/>
      <c r="M31" s="17">
        <f>SUM(M30:M30)</f>
        <v>4216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Четыре тысячи двести шестнадцать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110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165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6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9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EXR-F-12 от  24.08.2025г.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107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22700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60" t="str">
        <f>+C22</f>
        <v xml:space="preserve"> 24.08.2025г.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30D075YA/309800AA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8" t="s">
        <v>96</v>
      </c>
      <c r="C2" s="168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9" t="str">
        <f>+Инвойс!E26</f>
        <v>30D075YA/309800AA</v>
      </c>
      <c r="C14" s="169"/>
      <c r="D14" s="169"/>
      <c r="E14" s="169"/>
      <c r="F14" s="169"/>
      <c r="G14" s="169"/>
      <c r="H14" s="170" t="s">
        <v>108</v>
      </c>
      <c r="I14" s="170"/>
      <c r="J14" s="88" t="str">
        <f>+Инвойс!F1</f>
        <v xml:space="preserve"> 24.08.2025г.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EXR-F-12 от  24.08.2025г.</v>
      </c>
      <c r="I15" s="171"/>
      <c r="J15" s="171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900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22700</v>
      </c>
    </row>
    <row r="20" spans="2:10" ht="13.5" customHeight="1" x14ac:dyDescent="0.25">
      <c r="B20" s="83"/>
      <c r="E20" s="123"/>
      <c r="F20" s="118"/>
      <c r="G20" s="163"/>
      <c r="H20" s="163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3"/>
      <c r="H22" s="163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3"/>
      <c r="H24" s="163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3"/>
      <c r="H26" s="163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3"/>
      <c r="H28" s="163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3"/>
      <c r="H30" s="163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3"/>
      <c r="H32" s="163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3"/>
      <c r="H34" s="163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3"/>
      <c r="H36" s="163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3"/>
      <c r="H38" s="163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3"/>
      <c r="H42" s="163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5"/>
      <c r="H44" s="165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6">
        <f>+F18+F20+F22+F24+F26+F28+F30+F32+F34+F36+F38+F40+F42</f>
        <v>900</v>
      </c>
      <c r="E47" s="167"/>
    </row>
    <row r="48" spans="2:10" ht="17.25" customHeight="1" x14ac:dyDescent="0.25">
      <c r="B48" s="164" t="s">
        <v>105</v>
      </c>
      <c r="C48" s="164"/>
      <c r="D48" s="164"/>
      <c r="E48" s="164"/>
    </row>
    <row r="49" spans="2:5" ht="21.75" customHeight="1" x14ac:dyDescent="0.25">
      <c r="B49" s="164"/>
      <c r="C49" s="164"/>
      <c r="D49" s="164"/>
      <c r="E49" s="164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2" t="s">
        <v>170</v>
      </c>
      <c r="C1" s="172"/>
      <c r="D1" s="172"/>
      <c r="E1" s="172"/>
      <c r="F1" s="152" t="str">
        <f>+Инвойс!F1</f>
        <v xml:space="preserve"> 24.08.2025г.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tr">
        <f>+Инвойс!C2</f>
        <v>к контракту № EX1908 от 19.08.2025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tr">
        <f>+Инвойс!A5</f>
        <v>OOO “EXACT GROUP”</v>
      </c>
      <c r="B5" s="154"/>
      <c r="C5" s="154"/>
      <c r="D5" s="154"/>
      <c r="E5" s="154"/>
      <c r="F5" s="6"/>
      <c r="G5" s="147" t="str">
        <f>+Инвойс!G5</f>
        <v>ООО ТД «РЕСУРС»</v>
      </c>
      <c r="H5" s="147"/>
      <c r="I5" s="147"/>
      <c r="J5" s="147"/>
      <c r="K5" s="147"/>
      <c r="L5" s="147"/>
      <c r="M5" s="147"/>
    </row>
    <row r="6" spans="1:15" ht="15" x14ac:dyDescent="0.25">
      <c r="A6" s="143" t="str">
        <f>+Инвойс!A6</f>
        <v>РЕСПУБЛИКА УЗБЕКИСТАН. СУРХАНДАРЬИНСКАЯ ОБЛАСТЬ,</v>
      </c>
      <c r="B6" s="143"/>
      <c r="C6" s="143"/>
      <c r="D6" s="143"/>
      <c r="E6" s="143"/>
      <c r="F6" s="7"/>
      <c r="G6" s="173" t="str">
        <f>+Инвойс!G6</f>
        <v xml:space="preserve">125362, Город Москва, вн.тер.г. муниципальный округ </v>
      </c>
      <c r="H6" s="173"/>
      <c r="I6" s="173"/>
      <c r="J6" s="173"/>
      <c r="K6" s="173"/>
      <c r="L6" s="173"/>
      <c r="M6" s="173"/>
      <c r="N6" s="4"/>
    </row>
    <row r="7" spans="1:15" ht="15" x14ac:dyDescent="0.25">
      <c r="A7" s="143" t="str">
        <f>+Инвойс!A7</f>
        <v>ШЕРАБАДСКИЙ РАЙОН, МФЙ «БАХОР», УЛИЦА ШЕРЖАН, ДОМ 19Б</v>
      </c>
      <c r="B7" s="143"/>
      <c r="C7" s="143"/>
      <c r="D7" s="143"/>
      <c r="E7" s="143"/>
      <c r="F7" s="63"/>
      <c r="G7" s="173" t="str">
        <f>+Инвойс!G7</f>
        <v xml:space="preserve">Южное Тушино, ул Свободы, д. 35, стр. 43, помещ. 92/3 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АКБ“KAPITAL BANK”  МФО: 01158  Swift: KACHUZ22</v>
      </c>
      <c r="B8" s="143"/>
      <c r="C8" s="143"/>
      <c r="D8" s="143"/>
      <c r="E8" s="143"/>
      <c r="F8" s="63"/>
      <c r="G8" s="173" t="str">
        <f>+Инвойс!G8</f>
        <v>Банк: Азия-Инвест Банк (АО) ИНН: 9705116064 КПП: 770501001</v>
      </c>
      <c r="H8" s="173"/>
      <c r="I8" s="173"/>
      <c r="J8" s="173"/>
      <c r="K8" s="173"/>
      <c r="L8" s="173"/>
      <c r="M8" s="173"/>
    </row>
    <row r="9" spans="1:15" ht="15" x14ac:dyDescent="0.25">
      <c r="A9" s="143" t="str">
        <f>+Инвойс!A9</f>
        <v>Доллар США: 20208840607280925001</v>
      </c>
      <c r="B9" s="143"/>
      <c r="C9" s="143"/>
      <c r="D9" s="143"/>
      <c r="E9" s="143"/>
      <c r="F9" s="7"/>
      <c r="G9" s="173" t="str">
        <f>+Инвойс!G9</f>
        <v xml:space="preserve">Р/Счет: 40702840100000019384 ; БИК:  044525234 </v>
      </c>
      <c r="H9" s="173"/>
      <c r="I9" s="173"/>
      <c r="J9" s="173"/>
      <c r="K9" s="173"/>
      <c r="L9" s="173"/>
      <c r="M9" s="173"/>
      <c r="O9" s="7"/>
    </row>
    <row r="10" spans="1:15" ht="15" x14ac:dyDescent="0.25">
      <c r="A10" s="143" t="str">
        <f>+Инвойс!A10</f>
        <v>Корреспондирующий банк (RUB): АКБ "Азия Инвест Банк" (АО) :</v>
      </c>
      <c r="B10" s="143"/>
      <c r="C10" s="143"/>
      <c r="D10" s="143"/>
      <c r="E10" s="143"/>
      <c r="F10" s="7"/>
      <c r="G10" s="173" t="str">
        <f>+Инвойс!G10</f>
        <v xml:space="preserve">Корр.счет: 30101810445250000234  </v>
      </c>
      <c r="H10" s="173"/>
      <c r="I10" s="173"/>
      <c r="J10" s="173"/>
      <c r="K10" s="173"/>
      <c r="L10" s="173"/>
      <c r="M10" s="173"/>
    </row>
    <row r="11" spans="1:15" ht="15" x14ac:dyDescent="0.25">
      <c r="A11" s="143" t="str">
        <f>+Инвойс!A11</f>
        <v>SWIFT:ASIJRUMM / БИК 044525234,</v>
      </c>
      <c r="B11" s="143"/>
      <c r="C11" s="143"/>
      <c r="D11" s="143"/>
      <c r="E11" s="143"/>
      <c r="F11" s="7"/>
      <c r="G11" s="173" t="str">
        <f>+Инвойс!G11</f>
        <v>(SWIFT code: ASIJRUMM)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55" t="str">
        <f>+Инвойс!A12</f>
        <v>ИНН: 312 294 736</v>
      </c>
      <c r="B12" s="155"/>
      <c r="C12" s="155"/>
      <c r="D12" s="155"/>
      <c r="E12" s="155"/>
      <c r="F12" s="7"/>
      <c r="G12" s="155"/>
      <c r="H12" s="155"/>
      <c r="I12" s="155"/>
      <c r="J12" s="155"/>
      <c r="K12" s="155"/>
      <c r="L12" s="155"/>
      <c r="M12" s="155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tr">
        <f>+Инвойс!A14</f>
        <v>OOO “EXACT GROUP”</v>
      </c>
      <c r="B14" s="154"/>
      <c r="C14" s="154"/>
      <c r="D14" s="154"/>
      <c r="E14" s="154"/>
      <c r="F14" s="6"/>
      <c r="G14" s="147" t="str">
        <f>+Инвойс!G14</f>
        <v>OOO «Западные ворота»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3" t="str">
        <f>+Инвойс!A15</f>
        <v>РЕСПУБЛИКА УЗБЕКИСТАН. СУРХАНДАРЬИНСКАЯ ОБЛАСТЬ,</v>
      </c>
      <c r="B15" s="143"/>
      <c r="C15" s="143"/>
      <c r="D15" s="143"/>
      <c r="E15" s="143"/>
      <c r="F15" s="7"/>
      <c r="G15" s="173" t="str">
        <f>+Инвойс!G15</f>
        <v>108811, г. Москва, вн.тер.г. муниципальный округ</v>
      </c>
      <c r="H15" s="173"/>
      <c r="I15" s="173"/>
      <c r="J15" s="173"/>
      <c r="K15" s="173"/>
      <c r="L15" s="173"/>
      <c r="M15" s="173"/>
    </row>
    <row r="16" spans="1:15" ht="15" x14ac:dyDescent="0.25">
      <c r="A16" s="143" t="str">
        <f>+Инвойс!A16</f>
        <v>ШЕРАБАДСКИЙ РАЙОН, МФЙ «БАХОР», УЛИЦА ШЕРЖАН, ДОМ 19Б</v>
      </c>
      <c r="B16" s="143"/>
      <c r="C16" s="143"/>
      <c r="D16" s="143"/>
      <c r="E16" s="143"/>
      <c r="F16" s="63"/>
      <c r="G16" s="173" t="str">
        <f>+Инвойс!G16</f>
        <v>Солнцево, Киевское шоссе, 23-й км, д.8, стр.1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АКБ“KAPITAL BANK”  МФО: 01158  Swift: KACHUZ22</v>
      </c>
      <c r="B17" s="143"/>
      <c r="C17" s="143"/>
      <c r="D17" s="143"/>
      <c r="E17" s="143"/>
      <c r="F17" s="63"/>
      <c r="G17" s="173" t="str">
        <f>+Инвойс!G17</f>
        <v xml:space="preserve">р/с USD 40702810501400013450 </v>
      </c>
      <c r="H17" s="173"/>
      <c r="I17" s="173"/>
      <c r="J17" s="173"/>
      <c r="K17" s="173"/>
      <c r="L17" s="173"/>
      <c r="M17" s="173"/>
    </row>
    <row r="18" spans="1:17" ht="15" x14ac:dyDescent="0.25">
      <c r="A18" s="143" t="str">
        <f>+Инвойс!A18</f>
        <v>Доллар США: 20208840607280925001</v>
      </c>
      <c r="B18" s="143"/>
      <c r="C18" s="143"/>
      <c r="D18" s="143"/>
      <c r="E18" s="143"/>
      <c r="F18" s="7"/>
      <c r="G18" s="173" t="str">
        <f>+Инвойс!G18</f>
        <v>Банк: Филиал АО «АЛЬФА-БАНК»</v>
      </c>
      <c r="H18" s="173"/>
      <c r="I18" s="173"/>
      <c r="J18" s="173"/>
      <c r="K18" s="173"/>
      <c r="L18" s="173"/>
      <c r="M18" s="173"/>
    </row>
    <row r="19" spans="1:17" ht="15" x14ac:dyDescent="0.25">
      <c r="A19" s="143" t="str">
        <f>+Инвойс!A19</f>
        <v>Корреспондирующий банк (RUB): АКБ "Азия Инвест Банк" (АО) :</v>
      </c>
      <c r="B19" s="143"/>
      <c r="C19" s="143"/>
      <c r="D19" s="143"/>
      <c r="E19" s="143"/>
      <c r="F19" s="7"/>
      <c r="G19" s="173" t="str">
        <f>+Инвойс!G19</f>
        <v>к/с:  30101810200000000593</v>
      </c>
      <c r="H19" s="173"/>
      <c r="I19" s="173"/>
      <c r="J19" s="173"/>
      <c r="K19" s="173"/>
      <c r="L19" s="173"/>
      <c r="M19" s="173"/>
    </row>
    <row r="20" spans="1:17" ht="15" x14ac:dyDescent="0.25">
      <c r="A20" s="143" t="str">
        <f>+Инвойс!A20</f>
        <v>SWIFT:ASIJRUMM / БИК 044525234,</v>
      </c>
      <c r="B20" s="143"/>
      <c r="C20" s="143"/>
      <c r="D20" s="143"/>
      <c r="E20" s="143"/>
      <c r="F20" s="7"/>
      <c r="G20" s="173" t="str">
        <f>+Инвойс!G20</f>
        <v>ИНН/КПП 5004025693/775101001 ОГРН 1135004001802</v>
      </c>
      <c r="H20" s="173"/>
      <c r="I20" s="173"/>
      <c r="J20" s="173"/>
      <c r="K20" s="173"/>
      <c r="L20" s="173"/>
      <c r="M20" s="173"/>
    </row>
    <row r="21" spans="1:17" ht="15" customHeight="1" x14ac:dyDescent="0.25">
      <c r="A21" s="143" t="str">
        <f>+Инвойс!A21</f>
        <v>ИНН: 312 294 736</v>
      </c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25">
      <c r="A22" s="1" t="s">
        <v>133</v>
      </c>
      <c r="C22" s="65"/>
      <c r="F22" s="1"/>
    </row>
    <row r="23" spans="1:17" ht="26.25" hidden="1" customHeight="1" x14ac:dyDescent="0.2">
      <c r="A23" s="69" t="s">
        <v>87</v>
      </c>
      <c r="B23" s="68"/>
      <c r="C23" s="138" t="s">
        <v>116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 x14ac:dyDescent="0.25">
      <c r="A24" s="20" t="s">
        <v>22</v>
      </c>
      <c r="C24" s="18" t="str">
        <f>+Инвойс!C24</f>
        <v>DAP - с Акжигит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tr">
        <f>+Инвойс!E26</f>
        <v>30D075YA/309800AA</v>
      </c>
      <c r="F26" s="140"/>
      <c r="G26" s="140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1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900</v>
      </c>
      <c r="F30" s="116" t="str">
        <f>+Инвойс!F30</f>
        <v>кг</v>
      </c>
      <c r="G30" s="106">
        <f>+Инвойс!G30</f>
        <v>22700</v>
      </c>
      <c r="H30" s="106">
        <f>+Инвойс!H30</f>
        <v>21080</v>
      </c>
      <c r="I30" s="108">
        <f>+Инвойс!I30</f>
        <v>0.2</v>
      </c>
      <c r="J30" s="13">
        <f>+Инвойс!J30</f>
        <v>4216</v>
      </c>
      <c r="K30" s="12">
        <v>0</v>
      </c>
      <c r="L30" s="12">
        <v>0</v>
      </c>
      <c r="M30" s="13">
        <f>+Инвойс!M30</f>
        <v>4216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900</v>
      </c>
      <c r="F31" s="15"/>
      <c r="G31" s="64">
        <f>SUM(G30:G30)</f>
        <v>22700</v>
      </c>
      <c r="H31" s="64">
        <f>SUM(H30:H30)</f>
        <v>21080</v>
      </c>
      <c r="I31" s="102"/>
      <c r="J31" s="17">
        <f>SUM(J30:J30)</f>
        <v>4216</v>
      </c>
      <c r="K31" s="16"/>
      <c r="L31" s="16"/>
      <c r="M31" s="17">
        <f>SUM(M30:M30)</f>
        <v>4216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Четыре тысячи двести шестнадцать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1" t="s">
        <v>166</v>
      </c>
      <c r="B36" s="131"/>
      <c r="D36" s="18" t="str">
        <f>+Инвойс!D36</f>
        <v>АБДИЛАКИМОВ А.А</v>
      </c>
      <c r="E36" s="132"/>
      <c r="G36" s="129" t="s">
        <v>146</v>
      </c>
      <c r="H36" s="18" t="str">
        <f>Инвойс!G5</f>
        <v>ООО ТД «РЕСУРС»</v>
      </c>
      <c r="K36" s="133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"/>
  <sheetViews>
    <sheetView zoomScale="85" zoomScaleNormal="85" workbookViewId="0">
      <selection activeCell="D8" sqref="D8"/>
    </sheetView>
  </sheetViews>
  <sheetFormatPr defaultRowHeight="12.75" x14ac:dyDescent="0.2"/>
  <cols>
    <col min="1" max="1" width="48.7109375" bestFit="1" customWidth="1"/>
  </cols>
  <sheetData>
    <row r="1" spans="1:9" ht="38.25" x14ac:dyDescent="0.2">
      <c r="A1" s="126" t="s">
        <v>117</v>
      </c>
    </row>
    <row r="2" spans="1:9" x14ac:dyDescent="0.2">
      <c r="D2" s="18" t="s">
        <v>138</v>
      </c>
      <c r="I2" s="25" t="s">
        <v>149</v>
      </c>
    </row>
    <row r="3" spans="1:9" ht="51" x14ac:dyDescent="0.2">
      <c r="A3" s="130" t="s">
        <v>137</v>
      </c>
    </row>
    <row r="4" spans="1:9" x14ac:dyDescent="0.2">
      <c r="D4" s="18" t="s">
        <v>155</v>
      </c>
      <c r="I4" s="25" t="s">
        <v>150</v>
      </c>
    </row>
    <row r="5" spans="1:9" ht="38.25" x14ac:dyDescent="0.2">
      <c r="A5" s="126" t="s">
        <v>118</v>
      </c>
    </row>
    <row r="6" spans="1:9" x14ac:dyDescent="0.2">
      <c r="D6" s="18" t="s">
        <v>151</v>
      </c>
      <c r="I6" s="25" t="s">
        <v>152</v>
      </c>
    </row>
    <row r="7" spans="1:9" ht="51" x14ac:dyDescent="0.2">
      <c r="A7" s="126" t="s">
        <v>119</v>
      </c>
    </row>
    <row r="8" spans="1:9" x14ac:dyDescent="0.2">
      <c r="D8" s="18" t="s">
        <v>153</v>
      </c>
      <c r="I8" s="25" t="s">
        <v>154</v>
      </c>
    </row>
    <row r="9" spans="1:9" ht="51" x14ac:dyDescent="0.2">
      <c r="A9" s="126" t="s">
        <v>120</v>
      </c>
    </row>
    <row r="10" spans="1:9" x14ac:dyDescent="0.2">
      <c r="A10" s="126"/>
    </row>
    <row r="11" spans="1:9" ht="51" x14ac:dyDescent="0.2">
      <c r="A11" s="126" t="s">
        <v>121</v>
      </c>
    </row>
    <row r="13" spans="1:9" ht="51" x14ac:dyDescent="0.2">
      <c r="A13" s="126" t="s">
        <v>122</v>
      </c>
    </row>
    <row r="15" spans="1:9" ht="38.25" x14ac:dyDescent="0.2">
      <c r="A15" s="126" t="s">
        <v>123</v>
      </c>
    </row>
    <row r="17" spans="1:1" ht="38.25" x14ac:dyDescent="0.2">
      <c r="A17" s="126" t="s">
        <v>124</v>
      </c>
    </row>
    <row r="19" spans="1:1" ht="38.25" x14ac:dyDescent="0.2">
      <c r="A19" s="128" t="s">
        <v>132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4216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двести шестнадцать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45893</v>
      </c>
      <c r="O3" s="177"/>
      <c r="P3">
        <f ca="1">DAY(N3)</f>
        <v>24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двести шестнадцать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24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двести шестнадцать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двести шестнадцать долларов США, 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шестнадцать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45893</v>
      </c>
    </row>
    <row r="13" spans="1:19" s="43" customFormat="1" x14ac:dyDescent="0.2">
      <c r="A13" s="49"/>
      <c r="D13" s="51"/>
      <c r="E13" s="52">
        <f>TRUNC(E2)</f>
        <v>4216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421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4216</v>
      </c>
      <c r="B29" s="47">
        <f>TRUNC(RIGHT(A29))</f>
        <v>6</v>
      </c>
      <c r="C29" s="51">
        <f>IF(B28=1,B29+10,IF(B29=0,0,B29))</f>
        <v>16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 xml:space="preserve">шестнадцать </v>
      </c>
      <c r="G29" s="47"/>
    </row>
    <row r="30" spans="1:9" s="43" customFormat="1" x14ac:dyDescent="0.2">
      <c r="A30" s="49"/>
      <c r="B30" s="58"/>
      <c r="C30" s="59"/>
      <c r="E30" s="57">
        <f>B27*100+B28*10+B29</f>
        <v>216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2025-08-24T04:47:45Z</cp:lastPrinted>
  <dcterms:created xsi:type="dcterms:W3CDTF">1996-10-14T23:33:28Z</dcterms:created>
  <dcterms:modified xsi:type="dcterms:W3CDTF">2025-08-24T04:47:50Z</dcterms:modified>
</cp:coreProperties>
</file>