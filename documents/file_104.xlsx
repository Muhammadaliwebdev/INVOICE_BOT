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0" yWindow="0" windowWidth="28800" windowHeight="12336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J30" i="2" l="1"/>
  <c r="M30" i="2" s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<sst xmlns="http://schemas.openxmlformats.org/spreadsheetml/2006/main" count="201" uniqueCount="163">
  <si>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</si>
  <si>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</si>
  <si>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</si>
  <si>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</si>
  <si>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</si>
  <si>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</si>
  <si>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</si>
  <si>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</si>
  <si>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</si>
  <si>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</si>
  <si>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</si>
  <si>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</si>
  <si>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</si>
  <si>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</si>
  <si>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</si>
  <si>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</si>
  <si>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</si>
  <si>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</si>
  <si>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</si>
  <si>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</si>
  <si>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</si>
  <si>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</si>
  <si>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</si>
  <si>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</si>
  <si>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</si>
  <si>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</si>
  <si>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</si>
  <si>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</si>
  <si>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</si>
  <si>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</si>
  <si>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</si>
  <si>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</si>
  <si>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</si>
  <si>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</si>
  <si>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</si>
  <si>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</si>
  <si>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</si>
  <si>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</si>
  <si>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</si>
  <si>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</si>
  <si>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</si>
  <si>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</si>
  <si>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</si>
  <si>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</si>
  <si>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</si>
  <si>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</si>
  <si>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</si>
  <si>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</si>
  <si>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</si>
  <si>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</si>
  <si>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</si>
  <si>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</si>
  <si>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</si>
  <si>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</si>
  <si>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</si>
  <si>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</si>
  <si>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</si>
  <si>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</si>
  <si>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</si>
  <si>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</si>
  <si>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</si>
  <si>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</si>
  <si>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</si>
  <si>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</si>
  <si>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</si>
  <si>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</si>
  <si>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</si>
  <si>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</si>
  <si>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</si>
  <si>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</si>
  <si>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</si>
  <si>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</si>
  <si>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</si>
  <si>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</si>
  <si>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</si>
  <si>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</si>
  <si>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</si>
  <si>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</si>
  <si>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</si>
  <si>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</si>
  <si>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</si>
  <si>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</si>
  <si>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</si>
  <si>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</si>
  <si>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</si>
  <si>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</si>
  <si>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</si>
  <si>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</si>
  <si>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</si>
  <si>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</si>
  <si>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</si>
  <si>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</si>
  <si>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</si>
  <si>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</si>
  <si>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</si>
  <si>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</si>
  <si>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</si>
  <si>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</si>
  <si>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</si>
  <si>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</si>
  <si>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</si>
  <si>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</si>
  <si>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</si>
  <si>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</si>
  <si>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</si>
  <si>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</si>
  <si>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</si>
  <si>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</si>
  <si>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</si>
  <si>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</si>
  <si>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</si>
  <si>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</si>
  <si>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</si>
  <si>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</si>
  <si>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</si>
  <si>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</si>
  <si>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</si>
  <si>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</si>
  <si>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</si>
  <si>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</si>
  <si>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</si>
  <si>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</si>
  <si>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</si>
  <si>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</si>
  <si>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</si>
  <si>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</si>
  <si>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</si>
  <si>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</si>
  <si>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</si>
  <si>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</si>
  <si>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</si>
  <si>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</si>
  <si>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</si>
  <si>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</si>
  <si>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</si>
  <si>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</si>
  <si>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</si>
  <si>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</si>
  <si>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</si>
  <si>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</si>
  <si>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</si>
  <si>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</si>
  <si>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</si>
  <si>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</si>
  <si>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</si>
  <si>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</si>
  <si>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</si>
  <si>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</si>
  <si>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</si>
  <si>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</si>
  <si>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</si>
  <si>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</si>
  <si>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</si>
  <si>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</si>
  <si>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</si>
  <si>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</si>
  <si>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</si>
  <si>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</si>
  <si>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14.08.2025г.</t>
  </si>
  <si>
    <t xml:space="preserve">ИНВОЙС № BEZ-M-16 от </t>
  </si>
  <si>
    <t xml:space="preserve">СПЕЦИФИКАЦИЯ № BEZ-M-16 от </t>
  </si>
  <si>
    <t>30J503CA/309257AA</t>
  </si>
  <si>
    <t>DAP - с Амандык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</si>
</sst>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xmlns="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xmlns="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4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9" t="s">
        <v>159</v>
      </c>
      <c r="D1" s="149"/>
      <c r="E1" s="149"/>
      <c r="F1" s="148" t="s">
        <v>158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">
        <v>148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">
        <v>149</v>
      </c>
      <c r="B5" s="150"/>
      <c r="C5" s="150"/>
      <c r="D5" s="150"/>
      <c r="E5" s="150"/>
      <c r="F5" s="6"/>
      <c r="G5" s="143" t="s">
        <v>138</v>
      </c>
      <c r="H5" s="143"/>
      <c r="I5" s="143"/>
      <c r="J5" s="143"/>
      <c r="K5" s="143"/>
      <c r="L5" s="143"/>
      <c r="M5" s="143"/>
    </row>
    <row r="6" spans="1:15" ht="13.8" x14ac:dyDescent="0.25">
      <c r="A6" s="124" t="s">
        <v>150</v>
      </c>
      <c r="B6" s="124"/>
      <c r="C6" s="124"/>
      <c r="D6" s="124"/>
      <c r="E6" s="124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4" t="s">
        <v>151</v>
      </c>
      <c r="B7" s="124"/>
      <c r="C7" s="124"/>
      <c r="D7" s="124"/>
      <c r="E7" s="124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">
        <v>149</v>
      </c>
      <c r="B14" s="150"/>
      <c r="C14" s="150"/>
      <c r="D14" s="150"/>
      <c r="E14" s="150"/>
      <c r="F14" s="6"/>
      <c r="G14" s="143" t="s">
        <v>125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24" t="s">
        <v>150</v>
      </c>
      <c r="B15" s="124"/>
      <c r="C15" s="124"/>
      <c r="D15" s="124"/>
      <c r="E15" s="124"/>
      <c r="F15" s="7"/>
      <c r="G15" s="138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151</v>
      </c>
      <c r="B16" s="124"/>
      <c r="C16" s="124"/>
      <c r="D16" s="124"/>
      <c r="E16" s="124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5" t="s">
        <v>119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6" x14ac:dyDescent="0.3">
      <c r="A24" s="20" t="s">
        <v>22</v>
      </c>
      <c r="C24" s="18" t="s">
        <v>162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">
        <v>161</v>
      </c>
      <c r="F26" s="137"/>
      <c r="G26" s="137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950</v>
      </c>
      <c r="F30" s="115" t="s">
        <v>27</v>
      </c>
      <c r="G30" s="106">
        <v>22325</v>
      </c>
      <c r="H30" s="106">
        <v>20615</v>
      </c>
      <c r="I30" s="108">
        <v>0.2</v>
      </c>
      <c r="J30" s="13">
        <f t="shared" ref="J30" si="0">H30*I30</f>
        <v>4123</v>
      </c>
      <c r="K30" s="12">
        <v>0</v>
      </c>
      <c r="L30" s="12">
        <v>0</v>
      </c>
      <c r="M30" s="13">
        <f t="shared" ref="M30" si="1">J30</f>
        <v>4123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950</v>
      </c>
      <c r="F31" s="15"/>
      <c r="G31" s="64">
        <f>SUM(G30:G30)</f>
        <v>22325</v>
      </c>
      <c r="H31" s="64">
        <f>SUM(H30:H30)</f>
        <v>20615</v>
      </c>
      <c r="I31" s="102"/>
      <c r="J31" s="17">
        <f>SUM(J30:J30)</f>
        <v>4123</v>
      </c>
      <c r="K31" s="16"/>
      <c r="L31" s="16"/>
      <c r="M31" s="17">
        <f>SUM(M30:M30)</f>
        <v>4123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сто двадцать три доллара США,00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31" sqref="B31:I39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BEZ-M-16 от  14.08.2025г.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22325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"Уралкомплект" 10412130 - т/п Оренбургский
460027, Оренбургская обл., г. Оренбург, ул. Донгузская, д. 62А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14.08.2025г.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30J503CA/309257AA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7" zoomScaleNormal="100" workbookViewId="0">
      <selection activeCell="F20" sqref="F20:J3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4" t="s">
        <v>96</v>
      </c>
      <c r="C2" s="16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5" t="str">
        <f>+Инвойс!E26</f>
        <v>30J503CA/309257AA</v>
      </c>
      <c r="C14" s="165"/>
      <c r="D14" s="165"/>
      <c r="E14" s="165"/>
      <c r="F14" s="165"/>
      <c r="G14" s="165"/>
      <c r="H14" s="166" t="s">
        <v>108</v>
      </c>
      <c r="I14" s="166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BEZ-M-16 от  14.08.2025г.</v>
      </c>
      <c r="I15" s="167"/>
      <c r="J15" s="16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950</v>
      </c>
      <c r="G18" s="159" t="str">
        <f>+CMR!F30</f>
        <v>Дыни свежие</v>
      </c>
      <c r="H18" s="159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22325</v>
      </c>
    </row>
    <row r="20" spans="2:10" ht="13.5" customHeight="1" x14ac:dyDescent="0.3">
      <c r="B20" s="83"/>
      <c r="E20" s="122"/>
      <c r="F20" s="117"/>
      <c r="G20" s="159"/>
      <c r="H20" s="159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59"/>
      <c r="H22" s="159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59"/>
      <c r="H24" s="159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59"/>
      <c r="H26" s="159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59"/>
      <c r="H28" s="159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59"/>
      <c r="H30" s="159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59"/>
      <c r="H32" s="159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59"/>
      <c r="H34" s="159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59"/>
      <c r="H36" s="159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59"/>
      <c r="H38" s="159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59"/>
      <c r="H40" s="159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59"/>
      <c r="H42" s="159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1"/>
      <c r="H44" s="161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2">
        <f>+F18+F20+F22+F24+F26+F28+F30+F32+F34+F36+F38+F40+F42</f>
        <v>950</v>
      </c>
      <c r="E47" s="163"/>
    </row>
    <row r="48" spans="2:10" ht="17.25" customHeight="1" x14ac:dyDescent="0.3">
      <c r="B48" s="160" t="s">
        <v>105</v>
      </c>
      <c r="C48" s="160"/>
      <c r="D48" s="160"/>
      <c r="E48" s="160"/>
    </row>
    <row r="49" spans="2:5" ht="21.75" customHeight="1" x14ac:dyDescent="0.3">
      <c r="B49" s="160"/>
      <c r="C49" s="160"/>
      <c r="D49" s="160"/>
      <c r="E49" s="160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8" t="s">
        <v>160</v>
      </c>
      <c r="C1" s="168"/>
      <c r="D1" s="168"/>
      <c r="E1" s="168"/>
      <c r="F1" s="148" t="str">
        <f>+Инвойс!F1</f>
        <v xml:space="preserve"> 14.08.2025г.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tr">
        <f>+Инвойс!C2</f>
        <v>к контракту № EX1607 от 16.07.2025 года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tr">
        <f>+Инвойс!A5</f>
        <v>OOO “BMB EXIM”</v>
      </c>
      <c r="B5" s="150"/>
      <c r="C5" s="150"/>
      <c r="D5" s="150"/>
      <c r="E5" s="150"/>
      <c r="F5" s="6"/>
      <c r="G5" s="143" t="str">
        <f>+Инвойс!G5</f>
        <v>ООО ТД «РЕСУРС»</v>
      </c>
      <c r="H5" s="143"/>
      <c r="I5" s="143"/>
      <c r="J5" s="143"/>
      <c r="K5" s="143"/>
      <c r="L5" s="143"/>
      <c r="M5" s="143"/>
    </row>
    <row r="6" spans="1:15" ht="13.8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51"/>
      <c r="B12" s="151"/>
      <c r="C12" s="151"/>
      <c r="D12" s="151"/>
      <c r="E12" s="151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tr">
        <f>+Инвойс!A14</f>
        <v>OOO “BMB EXIM”</v>
      </c>
      <c r="B14" s="150"/>
      <c r="C14" s="150"/>
      <c r="D14" s="150"/>
      <c r="E14" s="150"/>
      <c r="F14" s="6"/>
      <c r="G14" s="143" t="str">
        <f>+Инвойс!G14</f>
        <v>OOO «Западные ворота»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tr">
        <f>+Инвойс!E26</f>
        <v>30J503CA/309257AA</v>
      </c>
      <c r="F26" s="137"/>
      <c r="G26" s="137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8.8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950</v>
      </c>
      <c r="F30" s="115" t="str">
        <f>+Инвойс!F30</f>
        <v>кг</v>
      </c>
      <c r="G30" s="106">
        <f>+Инвойс!G30</f>
        <v>22325</v>
      </c>
      <c r="H30" s="106">
        <f>+Инвойс!H30</f>
        <v>20615</v>
      </c>
      <c r="I30" s="108">
        <f>+Инвойс!I30</f>
        <v>0.2</v>
      </c>
      <c r="J30" s="13">
        <f>+Инвойс!J30</f>
        <v>4123</v>
      </c>
      <c r="K30" s="12">
        <v>0</v>
      </c>
      <c r="L30" s="12">
        <v>0</v>
      </c>
      <c r="M30" s="13">
        <f>+Инвойс!M30</f>
        <v>4123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950</v>
      </c>
      <c r="F31" s="15"/>
      <c r="G31" s="64">
        <f>SUM(G30:G30)</f>
        <v>22325</v>
      </c>
      <c r="H31" s="64">
        <f>SUM(H30:H30)</f>
        <v>20615</v>
      </c>
      <c r="I31" s="102"/>
      <c r="J31" s="17">
        <f>SUM(J30:J30)</f>
        <v>4123</v>
      </c>
      <c r="K31" s="16"/>
      <c r="L31" s="16"/>
      <c r="M31" s="17">
        <f>SUM(M30:M30)</f>
        <v>4123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сто двадцать три доллара США,00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4123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двадцать три доллара США,00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45883</v>
      </c>
      <c r="O3" s="175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двадцать три доллара США,00 центов. (в т.ч. НДС - 357,79)</v>
      </c>
      <c r="H4" s="32"/>
      <c r="I4" s="32"/>
      <c r="J4" s="32"/>
      <c r="K4" s="176" t="str">
        <f ca="1">CONCATENATE(" «  ",P3,"  »  ",Q3,"  ",R3," г.")</f>
        <v xml:space="preserve"> «  14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двадцать три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двадцать три доллара США,00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двадцать три доллара США,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4123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4123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123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2025-08-14T05:50:34Z</cp:lastPrinted>
  <dcterms:created xsi:type="dcterms:W3CDTF">1996-10-14T23:33:28Z</dcterms:created>
  <dcterms:modified xsi:type="dcterms:W3CDTF">2025-08-14T05:50:37Z</dcterms:modified>
</cp:coreProperties>
</file>