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J30" i="2" l="1"/>
  <c r="H36" i="7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<sst xmlns="http://schemas.openxmlformats.org/spreadsheetml/2006/main" count="201" uniqueCount="163">
  <si>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</si>
  <si>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</si>
  <si>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</si>
  <si>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</si>
  <si>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</si>
  <si>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</si>
  <si>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</si>
  <si>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</si>
  <si>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</si>
  <si>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</si>
  <si>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</si>
  <si>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</si>
  <si>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</si>
  <si>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</si>
  <si>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</si>
  <si>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</si>
  <si>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</si>
  <si>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</si>
  <si>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</si>
  <si>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</si>
  <si>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</si>
  <si>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</si>
  <si>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</si>
  <si>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</si>
  <si>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</si>
  <si>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</si>
  <si>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</si>
  <si>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</si>
  <si>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</si>
  <si>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</si>
  <si>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</si>
  <si>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</si>
  <si>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</si>
  <si>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</si>
  <si>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</si>
  <si>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</si>
  <si>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</si>
  <si>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</si>
  <si>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</si>
  <si>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</si>
  <si>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</si>
  <si>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</si>
  <si>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</si>
  <si>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</si>
  <si>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</si>
  <si>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</si>
  <si>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</si>
  <si>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</si>
  <si>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</si>
  <si>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</si>
  <si>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</si>
  <si>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</si>
  <si>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</si>
  <si>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</si>
  <si>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</si>
  <si>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</si>
  <si>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</si>
  <si>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</si>
  <si>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</si>
  <si>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</si>
  <si>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</si>
  <si>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</si>
  <si>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</si>
  <si>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</si>
  <si>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</si>
  <si>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</si>
  <si>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</si>
  <si>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</si>
  <si>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</si>
  <si>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</si>
  <si>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</si>
  <si>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</si>
  <si>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</si>
  <si>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</si>
  <si>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</si>
  <si>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</si>
  <si>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</si>
  <si>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</si>
  <si>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</si>
  <si>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</si>
  <si>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</si>
  <si>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</si>
  <si>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</si>
  <si>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</si>
  <si>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</si>
  <si>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</si>
  <si>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</si>
  <si>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</si>
  <si>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</si>
  <si>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</si>
  <si>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</si>
  <si>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</si>
  <si>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</si>
  <si>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</si>
  <si>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</si>
  <si>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</si>
  <si>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</si>
  <si>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</si>
  <si>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</si>
  <si>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</si>
  <si>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</si>
  <si>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</si>
  <si>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</si>
  <si>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</si>
  <si>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</si>
  <si>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</si>
  <si>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</si>
  <si>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</si>
  <si>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</si>
  <si>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</si>
  <si>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</si>
  <si>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</si>
  <si>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</si>
  <si>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</si>
  <si>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</si>
  <si>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</si>
  <si>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</si>
  <si>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</si>
  <si>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</si>
  <si>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</si>
  <si>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</si>
  <si>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</si>
  <si>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</si>
  <si>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</si>
  <si>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</si>
  <si>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</si>
  <si>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</si>
  <si>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</si>
  <si>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</si>
  <si>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</si>
  <si>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</si>
  <si>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</si>
  <si>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</si>
  <si>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</si>
  <si>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</si>
  <si>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</si>
  <si>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</si>
  <si>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</si>
  <si>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</si>
  <si>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</si>
  <si>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</si>
  <si>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</si>
  <si>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</si>
  <si>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</si>
  <si>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</si>
  <si>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</si>
  <si>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</si>
  <si>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</si>
  <si>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</si>
  <si>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</si>
  <si>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</si>
  <si>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</si>
  <si>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</si>
  <si>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</si>
  <si>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</si>
  <si>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</si>
  <si>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</si>
  <si>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</si>
  <si>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10.08.2025г.</t>
  </si>
  <si>
    <t xml:space="preserve">ИНВОЙС № BEZ-A-57 от </t>
  </si>
  <si>
    <t xml:space="preserve">СПЕЦИФИКАЦИЯ № BEZ-A-57 от </t>
  </si>
  <si>
    <t>85550DBA/855586AA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</si>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</sst>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118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7" ht="15.6" x14ac:dyDescent="0.3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960</v>
      </c>
      <c r="F30" s="115" t="s">
        <v>27</v>
      </c>
      <c r="G30" s="106">
        <v>22803</v>
      </c>
      <c r="H30" s="106">
        <v>21075</v>
      </c>
      <c r="I30" s="108">
        <v>0.2</v>
      </c>
      <c r="J30" s="13">
        <f t="shared" ref="J30" si="0">H30*I30</f>
        <v>4215</v>
      </c>
      <c r="K30" s="12">
        <v>0</v>
      </c>
      <c r="L30" s="12">
        <v>0</v>
      </c>
      <c r="M30" s="13">
        <f t="shared" ref="M30" si="1">J30</f>
        <v>4215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960</v>
      </c>
      <c r="F31" s="15"/>
      <c r="G31" s="64">
        <f>SUM(G30:G30)</f>
        <v>22803</v>
      </c>
      <c r="H31" s="64">
        <f>SUM(H30:H30)</f>
        <v>21075</v>
      </c>
      <c r="I31" s="102"/>
      <c r="J31" s="17">
        <f>SUM(J30:J30)</f>
        <v>4215</v>
      </c>
      <c r="K31" s="16"/>
      <c r="L31" s="16"/>
      <c r="M31" s="17">
        <f>SUM(M30:M30)</f>
        <v>4215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пятнадцать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85" zoomScaleNormal="85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BEZ-A-57 от  10.08.2025г.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22803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10.08.2025г.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85550DBA/855586AA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B48" sqref="B48:E49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85550DBA/855586AA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BEZ-A-57 от  10.08.2025г.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960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22803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960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160</v>
      </c>
      <c r="C1" s="168"/>
      <c r="D1" s="168"/>
      <c r="E1" s="168"/>
      <c r="F1" s="148" t="str">
        <f>+Инвойс!F1</f>
        <v xml:space="preserve"> 10.08.2025г.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85550DBA/855586AA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6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960</v>
      </c>
      <c r="F30" s="115" t="str">
        <f>+Инвойс!F30</f>
        <v>кг</v>
      </c>
      <c r="G30" s="106">
        <f>+Инвойс!G30</f>
        <v>22803</v>
      </c>
      <c r="H30" s="106">
        <f>+Инвойс!H30</f>
        <v>21075</v>
      </c>
      <c r="I30" s="108">
        <f>+Инвойс!I30</f>
        <v>0.2</v>
      </c>
      <c r="J30" s="13">
        <f>+Инвойс!J30</f>
        <v>4215</v>
      </c>
      <c r="K30" s="12">
        <v>0</v>
      </c>
      <c r="L30" s="12">
        <v>0</v>
      </c>
      <c r="M30" s="13">
        <f>+Инвойс!M30</f>
        <v>4215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960</v>
      </c>
      <c r="F31" s="15"/>
      <c r="G31" s="64">
        <f>SUM(G30:G30)</f>
        <v>22803</v>
      </c>
      <c r="H31" s="64">
        <f>SUM(H30:H30)</f>
        <v>21075</v>
      </c>
      <c r="I31" s="102"/>
      <c r="J31" s="17">
        <f>SUM(J30:J30)</f>
        <v>4215</v>
      </c>
      <c r="K31" s="16"/>
      <c r="L31" s="16"/>
      <c r="M31" s="17">
        <f>SUM(M30:M30)</f>
        <v>4215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пятнадцать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5" sqref="A5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4215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пятнадцать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45879</v>
      </c>
      <c r="O3" s="175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пятнадцать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10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пятнадцать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4215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4215</v>
      </c>
      <c r="B29" s="47">
        <f>TRUNC(RIGHT(A29))</f>
        <v>5</v>
      </c>
      <c r="C29" s="51">
        <f>IF(B28=1,B29+10,IF(B29=0,0,B29))</f>
        <v>15</v>
      </c>
      <c r="D29" s="43" t="str">
        <f>IF(AND(C29&gt;9,C29&lt;16),IF(C29=10,D34,IF(C29=11,D35,IF(C29=12,D36,IF(C29=13,D37,IF(C29=14,D38,IF(C29=15,D39,)))))),"")</f>
        <v xml:space="preserve">пятнадцать </v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215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2025-08-10T11:34:29Z</cp:lastPrinted>
  <dcterms:created xsi:type="dcterms:W3CDTF">1996-10-14T23:33:28Z</dcterms:created>
  <dcterms:modified xsi:type="dcterms:W3CDTF">2025-08-10T11:34:33Z</dcterms:modified>
</cp:coreProperties>
</file>