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09EA07E-042C-4412-B88C-56313886D7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<sst xmlns="http://schemas.openxmlformats.org/spreadsheetml/2006/main" count="209" uniqueCount="163">
  <si>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</si>
  <si>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</si>
  <si>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</si>
  <si>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</si>
  <si>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</si>
  <si>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</si>
  <si>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</si>
  <si>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</si>
  <si>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</si>
  <si>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</si>
  <si>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</si>
  <si>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</si>
  <si>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</si>
  <si>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</si>
  <si>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</si>
  <si>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</si>
  <si>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</si>
  <si>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</si>
  <si>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</si>
  <si>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</si>
  <si>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</si>
  <si>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</si>
  <si>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</si>
  <si>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</si>
  <si>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</si>
  <si>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</si>
  <si>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</si>
  <si>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</si>
  <si>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</si>
  <si>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</si>
  <si>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</si>
  <si>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</si>
  <si>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</si>
  <si>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</si>
  <si>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</si>
  <si>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</si>
  <si>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</si>
  <si>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</si>
  <si>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</si>
  <si>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</si>
  <si>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</si>
  <si>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</si>
  <si>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</si>
  <si>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</si>
  <si>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</si>
  <si>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</si>
  <si>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</si>
  <si>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</si>
  <si>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</si>
  <si>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</si>
  <si>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</si>
  <si>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</si>
  <si>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</si>
  <si>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</si>
  <si>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</si>
  <si>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</si>
  <si>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</si>
  <si>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</si>
  <si>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</si>
  <si>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</si>
  <si>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</si>
  <si>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</si>
  <si>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</si>
  <si>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</si>
  <si>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</si>
  <si>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</si>
  <si>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</si>
  <si>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</si>
  <si>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</si>
  <si>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</si>
  <si>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</si>
  <si>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</si>
  <si>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</si>
  <si>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</si>
  <si>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</si>
  <si>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</si>
  <si>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</si>
  <si>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</si>
  <si>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</si>
  <si>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</si>
  <si>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</si>
  <si>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</si>
  <si>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</si>
  <si>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</si>
  <si>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</si>
  <si>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</si>
  <si>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</si>
  <si>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</si>
  <si>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</si>
  <si>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</si>
  <si>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</si>
  <si>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</si>
  <si>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</si>
  <si>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</si>
  <si>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</si>
  <si>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</si>
  <si>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</si>
  <si>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</si>
  <si>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</si>
  <si>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</si>
  <si>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</si>
  <si>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</si>
  <si>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</si>
  <si>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</si>
  <si>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</si>
  <si>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</si>
  <si>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</si>
  <si>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</si>
  <si>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</si>
  <si>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</si>
  <si>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</si>
  <si>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</si>
  <si>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</si>
  <si>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</si>
  <si>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</si>
  <si>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</si>
  <si>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</si>
  <si>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</si>
  <si>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</si>
  <si>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</si>
  <si>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</si>
  <si>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</si>
  <si>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</si>
  <si>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</si>
  <si>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</si>
  <si>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</si>
  <si>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</si>
  <si>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</si>
  <si>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</si>
  <si>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</si>
  <si>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</si>
  <si>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</si>
  <si>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</si>
  <si>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</si>
  <si>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</si>
  <si>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</si>
  <si>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</si>
  <si>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</si>
  <si>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</si>
  <si>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</si>
  <si>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</si>
  <si>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</si>
  <si>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</si>
  <si>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</si>
  <si>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</si>
  <si>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</si>
  <si>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</si>
  <si>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</si>
  <si>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</si>
  <si>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</si>
  <si>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</si>
  <si>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</si>
  <si>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</si>
  <si>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</si>
  <si>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</si>
  <si>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</si>
  <si>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</si>
  <si>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</si>
  <si>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>30.08.2025г.</t>
  </si>
  <si>
    <t xml:space="preserve">ИНВОЙС № PLG-A-40 от </t>
  </si>
  <si>
    <t>80M029PA/804793AA</t>
  </si>
  <si>
    <t xml:space="preserve">СПЕЦИФИКАЦИЯ № PLG-A-40 от </t>
  </si>
  <si>
    <t>/г. Владивосток/ г.Чита / г. Чебоксары / г. Краснодар / г.Пятигорск / г.Воронеж / /г.Нижневартовск/г.Нижний Новгород/г.Киров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</si>
</sst>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159</v>
      </c>
      <c r="D1" s="153"/>
      <c r="E1" s="153"/>
      <c r="F1" s="152" t="s">
        <v>158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149</v>
      </c>
      <c r="B5" s="154"/>
      <c r="C5" s="154"/>
      <c r="D5" s="154"/>
      <c r="E5" s="154"/>
      <c r="F5" s="6"/>
      <c r="G5" s="147" t="s">
        <v>139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150</v>
      </c>
      <c r="B6" s="141"/>
      <c r="C6" s="141"/>
      <c r="D6" s="141"/>
      <c r="E6" s="141"/>
      <c r="F6" s="7"/>
      <c r="G6" s="140" t="s">
        <v>140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151</v>
      </c>
      <c r="B7" s="141"/>
      <c r="C7" s="141"/>
      <c r="D7" s="141"/>
      <c r="E7" s="141"/>
      <c r="F7" s="63"/>
      <c r="G7" s="140" t="s">
        <v>141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145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149</v>
      </c>
      <c r="B14" s="154"/>
      <c r="C14" s="154"/>
      <c r="D14" s="154"/>
      <c r="E14" s="154"/>
      <c r="F14" s="6"/>
      <c r="G14" s="147" t="s">
        <v>139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">
        <v>150</v>
      </c>
      <c r="B15" s="141"/>
      <c r="C15" s="141"/>
      <c r="D15" s="141"/>
      <c r="E15" s="141"/>
      <c r="F15" s="7"/>
      <c r="G15" s="140" t="s">
        <v>140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151</v>
      </c>
      <c r="B16" s="141"/>
      <c r="C16" s="141"/>
      <c r="D16" s="141"/>
      <c r="E16" s="141"/>
      <c r="F16" s="63"/>
      <c r="G16" s="140" t="s">
        <v>141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145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7" t="s">
        <v>119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">
        <v>135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160</v>
      </c>
      <c r="F26" s="139"/>
      <c r="G26" s="139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125</v>
      </c>
      <c r="C30" s="107" t="s">
        <v>126</v>
      </c>
      <c r="D30" s="109" t="s">
        <v>111</v>
      </c>
      <c r="E30" s="101">
        <v>950</v>
      </c>
      <c r="F30" s="115" t="s">
        <v>27</v>
      </c>
      <c r="G30" s="106">
        <v>22800</v>
      </c>
      <c r="H30" s="106">
        <v>21090</v>
      </c>
      <c r="I30" s="108">
        <v>0.25</v>
      </c>
      <c r="J30" s="13">
        <f t="shared" ref="J30" si="0">H30*I30</f>
        <v>5272.5</v>
      </c>
      <c r="K30" s="12">
        <v>0</v>
      </c>
      <c r="L30" s="12">
        <v>0</v>
      </c>
      <c r="M30" s="13">
        <f t="shared" ref="M30" si="1">J30</f>
        <v>5272.5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22800</v>
      </c>
      <c r="H31" s="64">
        <f>SUM(H30:H30)</f>
        <v>21090</v>
      </c>
      <c r="I31" s="102"/>
      <c r="J31" s="17">
        <f>SUM(J30:J30)</f>
        <v>5272.5</v>
      </c>
      <c r="K31" s="16"/>
      <c r="L31" s="16"/>
      <c r="M31" s="17">
        <f>SUM(M30:M30)</f>
        <v>5272.5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семьдесят два доллара США,50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108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14" sqref="B1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110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162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PLG-A-40 от 30.08.2025г.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 xml:space="preserve">СВХ ООО "ГРИНЛАЙН" 10412110 - т/п Тольяттинский
445043, Самарская обл., г. Тольятти, ул. Вокзальная, д. 2
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59" t="str">
        <f>+C22</f>
        <v>30.08.2025г.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80M029PA/804793AA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80M029PA/804793AA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>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PLG-A-40 от 30.08.2025г.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950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22800</v>
      </c>
    </row>
    <row r="20" spans="2:10" ht="13.5" customHeight="1" x14ac:dyDescent="0.3">
      <c r="B20" s="83"/>
      <c r="E20" s="122"/>
      <c r="F20" s="117"/>
      <c r="G20" s="162"/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950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52" t="str">
        <f>+Инвойс!F1</f>
        <v>30.08.2025г.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GR-POL-01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«POLARIUM»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«POLARIUM»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80M029PA/804793AA</v>
      </c>
      <c r="F26" s="139"/>
      <c r="G26" s="139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50.4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950</v>
      </c>
      <c r="F30" s="115" t="str">
        <f>+Инвойс!F30</f>
        <v>кг</v>
      </c>
      <c r="G30" s="106">
        <f>+Инвойс!G30</f>
        <v>22800</v>
      </c>
      <c r="H30" s="106">
        <f>+Инвойс!H30</f>
        <v>21090</v>
      </c>
      <c r="I30" s="108">
        <f>+Инвойс!I30</f>
        <v>0.25</v>
      </c>
      <c r="J30" s="13">
        <f>+Инвойс!J30</f>
        <v>5272.5</v>
      </c>
      <c r="K30" s="12">
        <v>0</v>
      </c>
      <c r="L30" s="12">
        <v>0</v>
      </c>
      <c r="M30" s="13">
        <f>+Инвойс!M30</f>
        <v>5272.5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22800</v>
      </c>
      <c r="H31" s="64">
        <f>SUM(H30:H30)</f>
        <v>21090</v>
      </c>
      <c r="I31" s="102"/>
      <c r="J31" s="17">
        <f>SUM(J30:J30)</f>
        <v>5272.5</v>
      </c>
      <c r="K31" s="16"/>
      <c r="L31" s="16"/>
      <c r="M31" s="17">
        <f>SUM(M30:M30)</f>
        <v>5272.5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семьдесят два доллара США,50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0" t="s">
        <v>157</v>
      </c>
      <c r="B36" s="130"/>
      <c r="D36" s="18" t="str">
        <f>+Инвойс!D36</f>
        <v>Юнусов Х.Р</v>
      </c>
      <c r="E36" s="131"/>
      <c r="G36" s="128" t="s">
        <v>129</v>
      </c>
      <c r="H36" s="18" t="str">
        <f>Инвойс!G5</f>
        <v>ООО «ГРИН ВОРЛД»</v>
      </c>
      <c r="K36" s="132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6" zoomScale="85" zoomScaleNormal="85" workbookViewId="0">
      <selection activeCell="E12" sqref="E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115</v>
      </c>
    </row>
    <row r="3" spans="1:10" ht="52.8" x14ac:dyDescent="0.25">
      <c r="A3" s="129" t="s">
        <v>127</v>
      </c>
    </row>
    <row r="5" spans="1:10" ht="39.6" x14ac:dyDescent="0.25">
      <c r="A5" s="125" t="s">
        <v>116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5" t="s">
        <v>117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5" t="s">
        <v>118</v>
      </c>
    </row>
    <row r="10" spans="1:10" x14ac:dyDescent="0.25">
      <c r="A10" s="125"/>
      <c r="E10" s="18" t="s">
        <v>133</v>
      </c>
      <c r="J10" s="25" t="s">
        <v>134</v>
      </c>
    </row>
    <row r="11" spans="1:10" ht="52.8" x14ac:dyDescent="0.25">
      <c r="A11" s="125" t="s">
        <v>147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5" t="s">
        <v>119</v>
      </c>
    </row>
    <row r="15" spans="1:10" ht="39.6" x14ac:dyDescent="0.25">
      <c r="A15" s="125" t="s">
        <v>120</v>
      </c>
    </row>
    <row r="17" spans="1:1" ht="39.6" x14ac:dyDescent="0.25">
      <c r="A17" s="125" t="s">
        <v>121</v>
      </c>
    </row>
    <row r="19" spans="1:1" ht="39.6" x14ac:dyDescent="0.25">
      <c r="A19" s="127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5272.5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семьдесят два доллара США,50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45899</v>
      </c>
      <c r="O3" s="177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семьдесят два доллара США,50 центов. (в т.ч. НДС - 357,79)</v>
      </c>
      <c r="H4" s="32"/>
      <c r="I4" s="32"/>
      <c r="J4" s="32"/>
      <c r="K4" s="178" t="str">
        <f ca="1">CONCATENATE(" «  ",P3,"  »  ",Q3,"  ",R3," г.")</f>
        <v xml:space="preserve"> «  30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семьдесят два доллара США,50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семьдесят два доллара США,50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семьдесят два доллара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5272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5272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272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2025-08-30T17:10:55Z</cp:lastPrinted>
  <dcterms:created xsi:type="dcterms:W3CDTF">1996-10-14T23:33:28Z</dcterms:created>
  <dcterms:modified xsi:type="dcterms:W3CDTF">2025-08-30T17:10:56Z</dcterms:modified>
</cp:coreProperties>
</file>