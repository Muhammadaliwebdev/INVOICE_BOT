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B76007A-53D4-4C9D-9754-5AA8B1A2E6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<sst xmlns="http://schemas.openxmlformats.org/spreadsheetml/2006/main" count="211" uniqueCount="164">
  <si>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</si>
  <si>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</si>
  <si>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</si>
  <si>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</si>
  <si>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</si>
  <si>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</si>
  <si>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</si>
  <si>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</si>
  <si>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</si>
  <si>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</si>
  <si>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</si>
  <si>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</si>
  <si>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</si>
  <si>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</si>
  <si>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</si>
  <si>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</si>
  <si>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</si>
  <si>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</si>
  <si>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</si>
  <si>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</si>
  <si>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</si>
  <si>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</si>
  <si>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</si>
  <si>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</si>
  <si>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</si>
  <si>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</si>
  <si>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</si>
  <si>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</si>
  <si>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</si>
  <si>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</si>
  <si>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</si>
  <si>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</si>
  <si>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</si>
  <si>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</si>
  <si>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</si>
  <si>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</si>
  <si>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</si>
  <si>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</si>
  <si>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</si>
  <si>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</si>
  <si>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</si>
  <si>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</si>
  <si>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</si>
  <si>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</si>
  <si>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</si>
  <si>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</si>
  <si>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</si>
  <si>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</si>
  <si>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</si>
  <si>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</si>
  <si>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</si>
  <si>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</si>
  <si>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</si>
  <si>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</si>
  <si>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</si>
  <si>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</si>
  <si>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</si>
  <si>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</si>
  <si>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</si>
  <si>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</si>
  <si>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</si>
  <si>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</si>
  <si>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</si>
  <si>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</si>
  <si>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</si>
  <si>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</si>
  <si>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</si>
  <si>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</si>
  <si>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</si>
  <si>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</si>
  <si>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</si>
  <si>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</si>
  <si>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</si>
  <si>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</si>
  <si>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</si>
  <si>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</si>
  <si>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</si>
  <si>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</si>
  <si>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</si>
  <si>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</si>
  <si>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</si>
  <si>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</si>
  <si>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</si>
  <si>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</si>
  <si>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</si>
  <si>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</si>
  <si>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</si>
  <si>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</si>
  <si>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</si>
  <si>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</si>
  <si>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</si>
  <si>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</si>
  <si>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</si>
  <si>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</si>
  <si>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</si>
  <si>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</si>
  <si>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</si>
  <si>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</si>
  <si>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</si>
  <si>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</si>
  <si>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</si>
  <si>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</si>
  <si>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</si>
  <si>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</si>
  <si>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</si>
  <si>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</si>
  <si>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</si>
  <si>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</si>
  <si>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</si>
  <si>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</si>
  <si>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</si>
  <si>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</si>
  <si>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</si>
  <si>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</si>
  <si>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</si>
  <si>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</si>
  <si>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</si>
  <si>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</si>
  <si>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</si>
  <si>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</si>
  <si>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</si>
  <si>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</si>
  <si>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</si>
  <si>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</si>
  <si>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</si>
  <si>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</si>
  <si>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</si>
  <si>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</si>
  <si>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</si>
  <si>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</si>
  <si>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</si>
  <si>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</si>
  <si>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</si>
  <si>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</si>
  <si>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</si>
  <si>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</si>
  <si>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</si>
  <si>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</si>
  <si>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</si>
  <si>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</si>
  <si>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</si>
  <si>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</si>
  <si>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</si>
  <si>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</si>
  <si>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</si>
  <si>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</si>
  <si>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</si>
  <si>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</si>
  <si>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</si>
  <si>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</si>
  <si>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</si>
  <si>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</si>
  <si>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</si>
  <si>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</si>
  <si>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</si>
  <si>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</si>
  <si>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</si>
  <si>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</si>
  <si>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</si>
  <si>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EXG-F-6 от </t>
  </si>
  <si>
    <t xml:space="preserve"> 27.08.2025г.</t>
  </si>
  <si>
    <t>80043XBA/808468AA</t>
  </si>
  <si>
    <t xml:space="preserve">СПЕЦИФИКАЦИЯ № EXG-F-6 от </t>
  </si>
  <si>
    <t xml:space="preserve">      г.Оренбург/г.Уссурийск/г.Москва/г.Санкт-Петербург/г.Пермь/г. Новосибирск /г.Красноярск/г.Челябинск/г.Екатеринбург/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</si>
</sst>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147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148</v>
      </c>
      <c r="B5" s="136"/>
      <c r="C5" s="136"/>
      <c r="D5" s="136"/>
      <c r="E5" s="136"/>
      <c r="F5" s="6"/>
      <c r="G5" s="138" t="s">
        <v>139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149</v>
      </c>
      <c r="B6" s="143"/>
      <c r="C6" s="143"/>
      <c r="D6" s="143"/>
      <c r="E6" s="143"/>
      <c r="F6" s="7"/>
      <c r="G6" s="140" t="s">
        <v>140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150</v>
      </c>
      <c r="B7" s="143"/>
      <c r="C7" s="143"/>
      <c r="D7" s="143"/>
      <c r="E7" s="143"/>
      <c r="F7" s="63"/>
      <c r="G7" s="140" t="s">
        <v>141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5" x14ac:dyDescent="0.25">
      <c r="A9" s="8" t="s">
        <v>152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153</v>
      </c>
      <c r="B10" s="125"/>
      <c r="C10" s="125"/>
      <c r="D10" s="125"/>
      <c r="E10" s="125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154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155</v>
      </c>
      <c r="B12" s="8"/>
      <c r="C12" s="8"/>
      <c r="D12" s="8"/>
      <c r="E12" s="8"/>
      <c r="F12" s="7"/>
      <c r="G12" s="139" t="s">
        <v>145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148</v>
      </c>
      <c r="B14" s="136"/>
      <c r="C14" s="136"/>
      <c r="D14" s="136"/>
      <c r="E14" s="136"/>
      <c r="F14" s="6"/>
      <c r="G14" s="138" t="s">
        <v>139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149</v>
      </c>
      <c r="B15" s="143"/>
      <c r="C15" s="143"/>
      <c r="D15" s="143"/>
      <c r="E15" s="143"/>
      <c r="F15" s="7"/>
      <c r="G15" s="140" t="s">
        <v>140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150</v>
      </c>
      <c r="B16" s="143"/>
      <c r="C16" s="143"/>
      <c r="D16" s="143"/>
      <c r="E16" s="143"/>
      <c r="F16" s="63"/>
      <c r="G16" s="140" t="s">
        <v>141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153</v>
      </c>
      <c r="B19" s="125"/>
      <c r="C19" s="125"/>
      <c r="D19" s="125"/>
      <c r="E19" s="125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154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155</v>
      </c>
      <c r="B21" s="8"/>
      <c r="C21" s="8"/>
      <c r="D21" s="8"/>
      <c r="E21" s="8"/>
      <c r="G21" s="139" t="s">
        <v>145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116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137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125</v>
      </c>
      <c r="C30" s="107" t="s">
        <v>126</v>
      </c>
      <c r="D30" s="109" t="s">
        <v>111</v>
      </c>
      <c r="E30" s="101">
        <v>970</v>
      </c>
      <c r="F30" s="110" t="s">
        <v>27</v>
      </c>
      <c r="G30" s="106">
        <v>22750</v>
      </c>
      <c r="H30" s="106">
        <v>21005</v>
      </c>
      <c r="I30" s="108">
        <v>0.25</v>
      </c>
      <c r="J30" s="13">
        <f t="shared" ref="J30" si="0">H30*I30</f>
        <v>5251.25</v>
      </c>
      <c r="K30" s="12">
        <v>0</v>
      </c>
      <c r="L30" s="12">
        <v>0</v>
      </c>
      <c r="M30" s="13">
        <f t="shared" ref="M30" si="1">J30</f>
        <v>5251.25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22750</v>
      </c>
      <c r="H31" s="64">
        <f>SUM(H30:H30)</f>
        <v>21005</v>
      </c>
      <c r="I31" s="102"/>
      <c r="J31" s="17">
        <f>SUM(J30:J30)</f>
        <v>5251.25</v>
      </c>
      <c r="K31" s="16"/>
      <c r="L31" s="16"/>
      <c r="M31" s="17">
        <f>SUM(M30:M30)</f>
        <v>5251.25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двести пятьдесят один доллар США,25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C16" sqref="C16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163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EXG-F-6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80043XBA/808468AA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80043XBA/808468AA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EXG-F-6 от  27.08.2025г.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970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22750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970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0" sqref="A30:XFD30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4" t="str">
        <f>+Инвойс!F1</f>
        <v xml:space="preserve"> 27.08.2025г.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54" t="s">
        <v>114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80043XBA/808468AA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tr">
        <f>+Инвойс!F30</f>
        <v>кг</v>
      </c>
      <c r="G30" s="106">
        <f>+Инвойс!G30</f>
        <v>22750</v>
      </c>
      <c r="H30" s="106">
        <f>+Инвойс!H30</f>
        <v>21005</v>
      </c>
      <c r="I30" s="108">
        <f>+Инвойс!I30</f>
        <v>0.25</v>
      </c>
      <c r="J30" s="13">
        <f>+Инвойс!J30</f>
        <v>5251.25</v>
      </c>
      <c r="K30" s="12">
        <v>0</v>
      </c>
      <c r="L30" s="12">
        <v>0</v>
      </c>
      <c r="M30" s="13">
        <f>+Инвойс!M30</f>
        <v>5251.25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22750</v>
      </c>
      <c r="H31" s="64">
        <f>SUM(H30:H30)</f>
        <v>21005</v>
      </c>
      <c r="I31" s="102"/>
      <c r="J31" s="17">
        <f>SUM(J30:J30)</f>
        <v>5251.25</v>
      </c>
      <c r="K31" s="16"/>
      <c r="L31" s="16"/>
      <c r="M31" s="17">
        <f>SUM(M30:M30)</f>
        <v>5251.25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двести пятьдесят один доллар США,25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157</v>
      </c>
      <c r="B36" s="131"/>
      <c r="D36" s="18" t="str">
        <f>+Инвойс!D36</f>
        <v>АБДИЛАКИМОВ А.А</v>
      </c>
      <c r="E36" s="132"/>
      <c r="G36" s="129" t="s">
        <v>129</v>
      </c>
      <c r="H36" s="18" t="str">
        <f>Инвойс!G5</f>
        <v>ООО «ГРИН ВОРЛД»</v>
      </c>
      <c r="K36" s="133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115</v>
      </c>
    </row>
    <row r="3" spans="1:10" ht="51" x14ac:dyDescent="0.2">
      <c r="A3" s="130" t="s">
        <v>127</v>
      </c>
    </row>
    <row r="5" spans="1:10" ht="38.25" x14ac:dyDescent="0.2">
      <c r="A5" s="126" t="s">
        <v>116</v>
      </c>
    </row>
    <row r="6" spans="1:10" x14ac:dyDescent="0.2">
      <c r="E6" s="18" t="s">
        <v>128</v>
      </c>
      <c r="J6" s="25" t="s">
        <v>131</v>
      </c>
    </row>
    <row r="7" spans="1:10" ht="51" x14ac:dyDescent="0.2">
      <c r="A7" s="126" t="s">
        <v>117</v>
      </c>
    </row>
    <row r="8" spans="1:10" x14ac:dyDescent="0.2">
      <c r="E8" s="18" t="s">
        <v>137</v>
      </c>
      <c r="J8" s="25" t="s">
        <v>132</v>
      </c>
    </row>
    <row r="9" spans="1:10" ht="51" x14ac:dyDescent="0.2">
      <c r="A9" s="126" t="s">
        <v>118</v>
      </c>
    </row>
    <row r="10" spans="1:10" x14ac:dyDescent="0.2">
      <c r="A10" s="126"/>
      <c r="E10" s="18" t="s">
        <v>133</v>
      </c>
      <c r="J10" s="25" t="s">
        <v>134</v>
      </c>
    </row>
    <row r="11" spans="1:10" ht="51" x14ac:dyDescent="0.2">
      <c r="A11" s="126" t="s">
        <v>158</v>
      </c>
    </row>
    <row r="12" spans="1:10" x14ac:dyDescent="0.2">
      <c r="E12" s="18" t="s">
        <v>135</v>
      </c>
      <c r="J12" s="25" t="s">
        <v>136</v>
      </c>
    </row>
    <row r="13" spans="1:10" ht="51" x14ac:dyDescent="0.2">
      <c r="A13" s="126" t="s">
        <v>119</v>
      </c>
    </row>
    <row r="15" spans="1:10" ht="38.25" x14ac:dyDescent="0.2">
      <c r="A15" s="126" t="s">
        <v>120</v>
      </c>
    </row>
    <row r="17" spans="1:1" ht="38.25" x14ac:dyDescent="0.2">
      <c r="A17" s="126" t="s">
        <v>121</v>
      </c>
    </row>
    <row r="19" spans="1:1" ht="38.25" x14ac:dyDescent="0.2">
      <c r="A19" s="128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5251.25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пятьдесят один доллар США,25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45896</v>
      </c>
      <c r="O3" s="177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двести пятьдесят один доллар США,25 центов. (в т.ч. НДС - 357,79)</v>
      </c>
      <c r="H4" s="32"/>
      <c r="I4" s="32"/>
      <c r="J4" s="32"/>
      <c r="K4" s="178" t="str">
        <f ca="1">CONCATENATE(" «  ",P3,"  »  ",Q3,"  ",R3," г.")</f>
        <v xml:space="preserve"> «  27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пятьдесят один доллар США,25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пятьдесят один доллар США,25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двести пятьдесят один доллар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5251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5251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251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2025-08-27T05:20:00Z</cp:lastPrinted>
  <dcterms:created xsi:type="dcterms:W3CDTF">1996-10-14T23:33:28Z</dcterms:created>
  <dcterms:modified xsi:type="dcterms:W3CDTF">2025-08-27T05:20:33Z</dcterms:modified>
</cp:coreProperties>
</file>