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055D4AA-B7E7-44C4-94A9-0DFE36F89B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<sst xmlns="http://schemas.openxmlformats.org/spreadsheetml/2006/main" count="209" uniqueCount="163">
  <si>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</si>
  <si>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</si>
  <si>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</si>
  <si>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</si>
  <si>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</si>
  <si>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</si>
  <si>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</si>
  <si>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</si>
  <si>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</si>
  <si>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</si>
  <si>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</si>
  <si>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</si>
  <si>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</si>
  <si>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</si>
  <si>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</si>
  <si>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</si>
  <si>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</si>
  <si>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</si>
  <si>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</si>
  <si>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</si>
  <si>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</si>
  <si>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</si>
  <si>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</si>
  <si>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</si>
  <si>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</si>
  <si>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</si>
  <si>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</si>
  <si>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</si>
  <si>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</si>
  <si>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</si>
  <si>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</si>
  <si>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</si>
  <si>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</si>
  <si>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</si>
  <si>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</si>
  <si>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</si>
  <si>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</si>
  <si>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</si>
  <si>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</si>
  <si>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</si>
  <si>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</si>
  <si>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</si>
  <si>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</si>
  <si>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</si>
  <si>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</si>
  <si>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</si>
  <si>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</si>
  <si>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</si>
  <si>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</si>
  <si>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</si>
  <si>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</si>
  <si>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</si>
  <si>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</si>
  <si>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</si>
  <si>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</si>
  <si>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</si>
  <si>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</si>
  <si>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</si>
  <si>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</si>
  <si>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</si>
  <si>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</si>
  <si>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</si>
  <si>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</si>
  <si>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</si>
  <si>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</si>
  <si>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</si>
  <si>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</si>
  <si>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</si>
  <si>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</si>
  <si>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</si>
  <si>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</si>
  <si>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</si>
  <si>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</si>
  <si>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</si>
  <si>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</si>
  <si>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</si>
  <si>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</si>
  <si>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</si>
  <si>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</si>
  <si>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</si>
  <si>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</si>
  <si>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</si>
  <si>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</si>
  <si>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</si>
  <si>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</si>
  <si>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</si>
  <si>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</si>
  <si>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</si>
  <si>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</si>
  <si>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</si>
  <si>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</si>
  <si>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</si>
  <si>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</si>
  <si>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</si>
  <si>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</si>
  <si>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</si>
  <si>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</si>
  <si>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</si>
  <si>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</si>
  <si>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</si>
  <si>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</si>
  <si>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</si>
  <si>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</si>
  <si>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</si>
  <si>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</si>
  <si>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</si>
  <si>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</si>
  <si>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</si>
  <si>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</si>
  <si>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</si>
  <si>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</si>
  <si>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</si>
  <si>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</si>
  <si>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</si>
  <si>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</si>
  <si>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</si>
  <si>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</si>
  <si>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</si>
  <si>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</si>
  <si>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</si>
  <si>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</si>
  <si>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</si>
  <si>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</si>
  <si>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</si>
  <si>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</si>
  <si>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</si>
  <si>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</si>
  <si>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</si>
  <si>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</si>
  <si>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</si>
  <si>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</si>
  <si>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</si>
  <si>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</si>
  <si>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</si>
  <si>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</si>
  <si>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</si>
  <si>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</si>
  <si>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</si>
  <si>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</si>
  <si>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</si>
  <si>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</si>
  <si>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</si>
  <si>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</si>
  <si>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</si>
  <si>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</si>
  <si>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</si>
  <si>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</si>
  <si>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</si>
  <si>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</si>
  <si>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</si>
  <si>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</si>
  <si>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</si>
  <si>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</si>
  <si>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</si>
  <si>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</si>
  <si>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</si>
  <si>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</si>
  <si>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</si>
  <si>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ИНВОЙС № PLG-A-15 от </t>
  </si>
  <si>
    <t xml:space="preserve"> 27.08.2025г.</t>
  </si>
  <si>
    <t>20247VAA/203135AA</t>
  </si>
  <si>
    <t xml:space="preserve">СПЕЦИФИКАЦИЯ № PLG-A-15 от </t>
  </si>
  <si>
    <t>/г. Владивосток/ г.Чебоксары / г. Пенза / г. Краснодар / г.Пятигорск / г.Воронеж / /г.Нижневартовск/г.Нижний Новгород/г.Киров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</si>
</sst>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158</v>
      </c>
      <c r="D1" s="154"/>
      <c r="E1" s="154"/>
      <c r="F1" s="153" t="s">
        <v>159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148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149</v>
      </c>
      <c r="B5" s="155"/>
      <c r="C5" s="155"/>
      <c r="D5" s="155"/>
      <c r="E5" s="155"/>
      <c r="F5" s="6"/>
      <c r="G5" s="148" t="s">
        <v>139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150</v>
      </c>
      <c r="B6" s="142"/>
      <c r="C6" s="142"/>
      <c r="D6" s="142"/>
      <c r="E6" s="142"/>
      <c r="F6" s="7"/>
      <c r="G6" s="141" t="s">
        <v>140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151</v>
      </c>
      <c r="B7" s="142"/>
      <c r="C7" s="142"/>
      <c r="D7" s="142"/>
      <c r="E7" s="142"/>
      <c r="F7" s="63"/>
      <c r="G7" s="141" t="s">
        <v>141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138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4" t="s">
        <v>145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149</v>
      </c>
      <c r="B14" s="155"/>
      <c r="C14" s="155"/>
      <c r="D14" s="155"/>
      <c r="E14" s="155"/>
      <c r="F14" s="6"/>
      <c r="G14" s="148" t="s">
        <v>139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150</v>
      </c>
      <c r="B15" s="142"/>
      <c r="C15" s="142"/>
      <c r="D15" s="142"/>
      <c r="E15" s="142"/>
      <c r="F15" s="7"/>
      <c r="G15" s="141" t="s">
        <v>140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151</v>
      </c>
      <c r="B16" s="142"/>
      <c r="C16" s="142"/>
      <c r="D16" s="142"/>
      <c r="E16" s="142"/>
      <c r="F16" s="63"/>
      <c r="G16" s="141" t="s">
        <v>141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138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144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4" t="s">
        <v>145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117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137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160</v>
      </c>
      <c r="F26" s="140"/>
      <c r="G26" s="140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111</v>
      </c>
      <c r="E30" s="101">
        <v>1000</v>
      </c>
      <c r="F30" s="110" t="s">
        <v>27</v>
      </c>
      <c r="G30" s="106">
        <v>22700</v>
      </c>
      <c r="H30" s="106">
        <v>20900</v>
      </c>
      <c r="I30" s="108">
        <v>0.25</v>
      </c>
      <c r="J30" s="13">
        <f t="shared" ref="J30" si="0">H30*I30</f>
        <v>5225</v>
      </c>
      <c r="K30" s="12">
        <v>0</v>
      </c>
      <c r="L30" s="12">
        <v>0</v>
      </c>
      <c r="M30" s="13">
        <f t="shared" ref="M30" si="1">J30</f>
        <v>5225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1000</v>
      </c>
      <c r="F31" s="15"/>
      <c r="G31" s="64">
        <f>SUM(G30:G30)</f>
        <v>22700</v>
      </c>
      <c r="H31" s="64">
        <f>SUM(H30:H30)</f>
        <v>20900</v>
      </c>
      <c r="I31" s="102"/>
      <c r="J31" s="17">
        <f>SUM(J30:J30)</f>
        <v>5225</v>
      </c>
      <c r="K31" s="16"/>
      <c r="L31" s="16"/>
      <c r="M31" s="17">
        <f>SUM(M30:M30)</f>
        <v>5225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двести двадцать пять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108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zoomScale="115" zoomScaleNormal="115" workbookViewId="0">
      <selection activeCell="F4" sqref="F4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110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162</v>
      </c>
    </row>
    <row r="15" spans="1:11" ht="7.5" hidden="1" customHeight="1" x14ac:dyDescent="0.2"/>
    <row r="16" spans="1:11" ht="12" customHeight="1" x14ac:dyDescent="0.2">
      <c r="B16" s="70" t="s">
        <v>130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112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PLG-A-15 от  27.08.2025г.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22700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"Уралкомплект" 10412130 - т/п Оренбургский
460027, Оренбургская обл., г. Оренбург, ул. Донгузская, д. 62А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113</v>
      </c>
      <c r="D49" s="160" t="str">
        <f>+C22</f>
        <v xml:space="preserve"> 27.08.2025г.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20247VAA/203135AA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G22" sqref="G22:H22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20247VAA/203135AA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27.08.2025г.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PLG-A-15 от  27.08.2025г.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22700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1000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6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161</v>
      </c>
      <c r="C1" s="172"/>
      <c r="D1" s="172"/>
      <c r="E1" s="172"/>
      <c r="F1" s="153" t="str">
        <f>+Инвойс!F1</f>
        <v xml:space="preserve"> 27.08.2025г.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GR-POL-01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ООО «POLARIUM»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>Республика Узбекистан. Ташкентская область, Бекабадский район,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махалля Зафар, Гулистан МФЙ, улица Мустакиллик, дом 1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 «TURON BANK» МФО 00446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в/с: 20208840907287520001 (доллар США)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SWIFT: TURONUZ22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ИНН: 312302455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ООО «POLARIUM»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>Республика Узбекистан. Ташкентская область, Бекабадский район,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махалля Зафар, Гулистан МФЙ, улица Мустакиллик, дом 1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 «TURON BANK» МФО 00446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в/с: 20208840907287520001 (доллар США)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SWIFT: TURONUZ22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ИНН: 312302455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74" t="s">
        <v>114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20247VAA/203135AA</v>
      </c>
      <c r="F26" s="140"/>
      <c r="G26" s="140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2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22700</v>
      </c>
      <c r="H30" s="106">
        <f>+Инвойс!H30</f>
        <v>20900</v>
      </c>
      <c r="I30" s="108">
        <f>+Инвойс!I30</f>
        <v>0.25</v>
      </c>
      <c r="J30" s="13">
        <f>+Инвойс!J30</f>
        <v>5225</v>
      </c>
      <c r="K30" s="12">
        <v>0</v>
      </c>
      <c r="L30" s="12">
        <v>0</v>
      </c>
      <c r="M30" s="13">
        <f>+Инвойс!M30</f>
        <v>5225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1000</v>
      </c>
      <c r="F31" s="15"/>
      <c r="G31" s="64">
        <f>SUM(G30:G30)</f>
        <v>22700</v>
      </c>
      <c r="H31" s="64">
        <f>SUM(H30:H30)</f>
        <v>20900</v>
      </c>
      <c r="I31" s="102"/>
      <c r="J31" s="17">
        <f>SUM(J30:J30)</f>
        <v>5225</v>
      </c>
      <c r="K31" s="16"/>
      <c r="L31" s="16"/>
      <c r="M31" s="17">
        <f>SUM(M30:M30)</f>
        <v>5225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двести двадцать пять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157</v>
      </c>
      <c r="B36" s="131"/>
      <c r="D36" s="18" t="str">
        <f>+Инвойс!D36</f>
        <v>Юнусов Х.Р</v>
      </c>
      <c r="E36" s="132"/>
      <c r="G36" s="129" t="s">
        <v>129</v>
      </c>
      <c r="H36" s="18" t="str">
        <f>Инвойс!G5</f>
        <v>ООО «ГРИН ВОРЛД»</v>
      </c>
      <c r="K36" s="133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115</v>
      </c>
    </row>
    <row r="3" spans="1:10" ht="52.8" x14ac:dyDescent="0.25">
      <c r="A3" s="130" t="s">
        <v>127</v>
      </c>
    </row>
    <row r="5" spans="1:10" ht="39.6" x14ac:dyDescent="0.25">
      <c r="A5" s="126" t="s">
        <v>116</v>
      </c>
    </row>
    <row r="6" spans="1:10" x14ac:dyDescent="0.25">
      <c r="E6" s="18" t="s">
        <v>128</v>
      </c>
      <c r="J6" s="25" t="s">
        <v>131</v>
      </c>
    </row>
    <row r="7" spans="1:10" ht="52.8" x14ac:dyDescent="0.25">
      <c r="A7" s="126" t="s">
        <v>117</v>
      </c>
    </row>
    <row r="8" spans="1:10" x14ac:dyDescent="0.25">
      <c r="E8" s="18" t="s">
        <v>137</v>
      </c>
      <c r="J8" s="25" t="s">
        <v>132</v>
      </c>
    </row>
    <row r="9" spans="1:10" ht="52.8" x14ac:dyDescent="0.25">
      <c r="A9" s="126" t="s">
        <v>118</v>
      </c>
    </row>
    <row r="10" spans="1:10" x14ac:dyDescent="0.25">
      <c r="A10" s="126"/>
      <c r="E10" s="18" t="s">
        <v>133</v>
      </c>
      <c r="J10" s="25" t="s">
        <v>134</v>
      </c>
    </row>
    <row r="11" spans="1:10" ht="52.8" x14ac:dyDescent="0.25">
      <c r="A11" s="126" t="s">
        <v>147</v>
      </c>
    </row>
    <row r="12" spans="1:10" x14ac:dyDescent="0.25">
      <c r="E12" s="18" t="s">
        <v>135</v>
      </c>
      <c r="J12" s="25" t="s">
        <v>136</v>
      </c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5225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двадцать пять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45896</v>
      </c>
      <c r="O3" s="178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двести двадцать пять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27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двадцать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двадцать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двадцать пять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45896</v>
      </c>
    </row>
    <row r="13" spans="1:19" s="43" customFormat="1" x14ac:dyDescent="0.25">
      <c r="A13" s="49"/>
      <c r="D13" s="51"/>
      <c r="E13" s="52">
        <f>TRUNC(E2)</f>
        <v>5225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5">
      <c r="A29" s="54">
        <f>E13</f>
        <v>5225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225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2025-08-27T09:06:53Z</cp:lastPrinted>
  <dcterms:created xsi:type="dcterms:W3CDTF">1996-10-14T23:33:28Z</dcterms:created>
  <dcterms:modified xsi:type="dcterms:W3CDTF">2025-08-27T09:07:08Z</dcterms:modified>
</cp:coreProperties>
</file>