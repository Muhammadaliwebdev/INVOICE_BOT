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Windows 10\Desktop\"/>
    </mc:Choice>
  </mc:AlternateContent>
  <xr:revisionPtr revIDLastSave="0" documentId="13_ncr:1_{406D42CC-AB9C-4573-9630-8F5CCB88AF38}" xr6:coauthVersionLast="47" xr6:coauthVersionMax="47" xr10:uidLastSave="{00000000-0000-0000-0000-000000000000}"/>
  <bookViews>
    <workbookView xWindow="20370" yWindow="-3585" windowWidth="29040" windowHeight="1572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<sst xmlns="http://schemas.openxmlformats.org/spreadsheetml/2006/main" count="211" uniqueCount="164">
  <si>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</si>
  <si>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</si>
  <si>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</si>
  <si>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</si>
  <si>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</si>
  <si>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</si>
  <si>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</si>
  <si>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</si>
  <si>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</si>
  <si>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</si>
  <si>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</si>
  <si>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</si>
  <si>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</si>
  <si>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</si>
  <si>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</si>
  <si>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</si>
  <si>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</si>
  <si>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</si>
  <si>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</si>
  <si>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</si>
  <si>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</si>
  <si>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</si>
  <si>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</si>
  <si>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</si>
  <si>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</si>
  <si>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</si>
  <si>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</si>
  <si>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</si>
  <si>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</si>
  <si>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</si>
  <si>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</si>
  <si>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</si>
  <si>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</si>
  <si>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</si>
  <si>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</si>
  <si>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</si>
  <si>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</si>
  <si>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</si>
  <si>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</si>
  <si>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</si>
  <si>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</si>
  <si>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</si>
  <si>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</si>
  <si>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</si>
  <si>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</si>
  <si>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</si>
  <si>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</si>
  <si>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</si>
  <si>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</si>
  <si>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</si>
  <si>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</si>
  <si>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</si>
  <si>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</si>
  <si>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</si>
  <si>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</si>
  <si>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</si>
  <si>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</si>
  <si>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</si>
  <si>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</si>
  <si>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</si>
  <si>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</si>
  <si>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</si>
  <si>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</si>
  <si>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</si>
  <si>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</si>
  <si>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</si>
  <si>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</si>
  <si>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</si>
  <si>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</si>
  <si>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</si>
  <si>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</si>
  <si>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</si>
  <si>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</si>
  <si>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</si>
  <si>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</si>
  <si>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</si>
  <si>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</si>
  <si>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</si>
  <si>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</si>
  <si>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</si>
  <si>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</si>
  <si>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</si>
  <si>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</si>
  <si>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</si>
  <si>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</si>
  <si>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</si>
  <si>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</si>
  <si>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</si>
  <si>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</si>
  <si>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</si>
  <si>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</si>
  <si>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</si>
  <si>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</si>
  <si>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</si>
  <si>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</si>
  <si>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</si>
  <si>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</si>
  <si>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</si>
  <si>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</si>
  <si>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</si>
  <si>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</si>
  <si>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</si>
  <si>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</si>
  <si>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</si>
  <si>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</si>
  <si>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</si>
  <si>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</si>
  <si>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</si>
  <si>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</si>
  <si>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</si>
  <si>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</si>
  <si>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</si>
  <si>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</si>
  <si>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</si>
  <si>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</si>
  <si>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</si>
  <si>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</si>
  <si>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</si>
  <si>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</si>
  <si>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</si>
  <si>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</si>
  <si>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</si>
  <si>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</si>
  <si>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</si>
  <si>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</si>
  <si>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</si>
  <si>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</si>
  <si>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</si>
  <si>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</si>
  <si>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</si>
  <si>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</si>
  <si>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</si>
  <si>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</si>
  <si>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</si>
  <si>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</si>
  <si>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</si>
  <si>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</si>
  <si>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</si>
  <si>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</si>
  <si>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</si>
  <si>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</si>
  <si>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</si>
  <si>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</si>
  <si>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</si>
  <si>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</si>
  <si>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</si>
  <si>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</si>
  <si>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</si>
  <si>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</si>
  <si>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</si>
  <si>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</si>
  <si>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</si>
  <si>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</si>
  <si>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</si>
  <si>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</si>
  <si>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</si>
  <si>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</si>
  <si>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</si>
  <si>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</si>
  <si>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</si>
  <si>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EXG-F-10 от </t>
  </si>
  <si>
    <t>30S041JA/302128AA</t>
  </si>
  <si>
    <t xml:space="preserve">СПЕЦИФИКАЦИЯ № EXG-F-10 от </t>
  </si>
  <si>
    <t xml:space="preserve"> 28.08.2025г.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</si>
</sst>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160</v>
      </c>
      <c r="D1" s="135"/>
      <c r="E1" s="135"/>
      <c r="F1" s="134" t="s">
        <v>163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148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149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150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151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149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150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151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4" t="s">
        <v>159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">
        <v>138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124</v>
      </c>
      <c r="C30" s="107" t="s">
        <v>123</v>
      </c>
      <c r="D30" s="109" t="s">
        <v>111</v>
      </c>
      <c r="E30" s="101">
        <v>3350</v>
      </c>
      <c r="F30" s="110" t="s">
        <v>27</v>
      </c>
      <c r="G30" s="106">
        <v>22720</v>
      </c>
      <c r="H30" s="106">
        <v>20375</v>
      </c>
      <c r="I30" s="108">
        <v>1</v>
      </c>
      <c r="J30" s="13">
        <f t="shared" ref="J30" si="0">H30*I30</f>
        <v>20375</v>
      </c>
      <c r="K30" s="12">
        <v>0</v>
      </c>
      <c r="L30" s="12">
        <v>0</v>
      </c>
      <c r="M30" s="13">
        <f t="shared" ref="M30" si="1">J30</f>
        <v>20375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3350</v>
      </c>
      <c r="F31" s="15"/>
      <c r="G31" s="64">
        <f>SUM(G30:G30)</f>
        <v>22720</v>
      </c>
      <c r="H31" s="64">
        <f>SUM(H30:H30)</f>
        <v>20375</v>
      </c>
      <c r="I31" s="102"/>
      <c r="J31" s="17">
        <f>SUM(J30:J30)</f>
        <v>20375</v>
      </c>
      <c r="K31" s="16"/>
      <c r="L31" s="16"/>
      <c r="M31" s="17">
        <f>SUM(M30:M30)</f>
        <v>20375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Двадцать тысяч триста семьдесят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EXG-F-10 от  28.08.2025г.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3350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22720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г.Челябинский таможенный пост г.Челябинск ул. Ениссйская, 87А код поста 10504080   ООО "ГРИН ВОРЛД" 
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28.08.2025г.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30S041JA/302128AA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30S041JA/302128AA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28.08.2025г.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EXG-F-10 от  28.08.2025г.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3350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22720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3350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162</v>
      </c>
      <c r="C1" s="174"/>
      <c r="D1" s="174"/>
      <c r="E1" s="174"/>
      <c r="F1" s="134" t="str">
        <f>+Инвойс!F1</f>
        <v xml:space="preserve"> 28.08.2025г.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126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30S041JA/302128AA</v>
      </c>
      <c r="F26" s="156"/>
      <c r="G26" s="156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3350</v>
      </c>
      <c r="F30" s="116" t="str">
        <f>+Инвойс!F30</f>
        <v>кг</v>
      </c>
      <c r="G30" s="106">
        <f>+Инвойс!G30</f>
        <v>22720</v>
      </c>
      <c r="H30" s="106">
        <f>+Инвойс!H30</f>
        <v>20375</v>
      </c>
      <c r="I30" s="108">
        <f>+Инвойс!I30</f>
        <v>1</v>
      </c>
      <c r="J30" s="13">
        <f>+Инвойс!J30</f>
        <v>20375</v>
      </c>
      <c r="K30" s="12">
        <v>0</v>
      </c>
      <c r="L30" s="12">
        <v>0</v>
      </c>
      <c r="M30" s="13">
        <f>+Инвойс!M30</f>
        <v>20375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3350</v>
      </c>
      <c r="F31" s="15"/>
      <c r="G31" s="64">
        <f>SUM(G30:G30)</f>
        <v>22720</v>
      </c>
      <c r="H31" s="64">
        <f>SUM(H30:H30)</f>
        <v>20375</v>
      </c>
      <c r="I31" s="102"/>
      <c r="J31" s="17">
        <f>SUM(J30:J30)</f>
        <v>20375</v>
      </c>
      <c r="K31" s="16"/>
      <c r="L31" s="16"/>
      <c r="M31" s="17">
        <f>SUM(M30:M30)</f>
        <v>20375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Двадцать тысяч триста семьдесят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158</v>
      </c>
      <c r="B36" s="131"/>
      <c r="D36" s="18" t="str">
        <f>+Инвойс!D36</f>
        <v>АБДИЛАКИМОВ А.А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125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20375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тысяч триста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45897</v>
      </c>
      <c r="O3" s="178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тысяч триста семьдесят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28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тысяч триста семьдесят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тысяч триста семьдесят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семьдесят пять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45897</v>
      </c>
    </row>
    <row r="13" spans="1:19" s="43" customFormat="1" x14ac:dyDescent="0.2">
      <c r="A13" s="49"/>
      <c r="D13" s="51"/>
      <c r="E13" s="52">
        <f>TRUNC(E2)</f>
        <v>20375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203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2037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20375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10</cp:lastModifiedBy>
  <cp:lastPrinted>2025-08-27T19:51:13Z</cp:lastPrinted>
  <dcterms:created xsi:type="dcterms:W3CDTF">1996-10-14T23:33:28Z</dcterms:created>
  <dcterms:modified xsi:type="dcterms:W3CDTF">2025-08-27T19:51:14Z</dcterms:modified>
</cp:coreProperties>
</file>