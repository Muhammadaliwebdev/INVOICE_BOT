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<sst xmlns="http://schemas.openxmlformats.org/spreadsheetml/2006/main" count="201" uniqueCount="163">
  <si>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</si>
  <si>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</si>
  <si>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</si>
  <si>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</si>
  <si>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</si>
  <si>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</si>
  <si>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</si>
  <si>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</si>
  <si>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</si>
  <si>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</si>
  <si>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</si>
  <si>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</si>
  <si>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</si>
  <si>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</si>
  <si>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</si>
  <si>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</si>
  <si>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</si>
  <si>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</si>
  <si>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</si>
  <si>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</si>
  <si>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</si>
  <si>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</si>
  <si>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</si>
  <si>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</si>
  <si>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</si>
  <si>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</si>
  <si>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</si>
  <si>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</si>
  <si>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</si>
  <si>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</si>
  <si>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</si>
  <si>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</si>
  <si>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</si>
  <si>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</si>
  <si>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</si>
  <si>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</si>
  <si>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</si>
  <si>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</si>
  <si>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</si>
  <si>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</si>
  <si>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</si>
  <si>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</si>
  <si>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</si>
  <si>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</si>
  <si>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</si>
  <si>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</si>
  <si>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</si>
  <si>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</si>
  <si>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</si>
  <si>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</si>
  <si>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</si>
  <si>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</si>
  <si>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</si>
  <si>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</si>
  <si>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</si>
  <si>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</si>
  <si>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</si>
  <si>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</si>
  <si>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</si>
  <si>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</si>
  <si>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</si>
  <si>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</si>
  <si>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</si>
  <si>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</si>
  <si>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</si>
  <si>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</si>
  <si>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</si>
  <si>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</si>
  <si>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</si>
  <si>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</si>
  <si>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</si>
  <si>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</si>
  <si>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</si>
  <si>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</si>
  <si>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</si>
  <si>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</si>
  <si>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</si>
  <si>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</si>
  <si>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</si>
  <si>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</si>
  <si>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</si>
  <si>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</si>
  <si>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</si>
  <si>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</si>
  <si>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</si>
  <si>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</si>
  <si>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</si>
  <si>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</si>
  <si>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</si>
  <si>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</si>
  <si>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</si>
  <si>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</si>
  <si>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</si>
  <si>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</si>
  <si>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</si>
  <si>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</si>
  <si>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</si>
  <si>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</si>
  <si>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</si>
  <si>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</si>
  <si>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</si>
  <si>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</si>
  <si>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</si>
  <si>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</si>
  <si>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</si>
  <si>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</si>
  <si>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</si>
  <si>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</si>
  <si>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</si>
  <si>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</si>
  <si>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</si>
  <si>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</si>
  <si>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</si>
  <si>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</si>
  <si>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</si>
  <si>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</si>
  <si>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</si>
  <si>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</si>
  <si>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</si>
  <si>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</si>
  <si>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</si>
  <si>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</si>
  <si>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</si>
  <si>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</si>
  <si>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</si>
  <si>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</si>
  <si>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</si>
  <si>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</si>
  <si>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</si>
  <si>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</si>
  <si>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</si>
  <si>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</si>
  <si>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</si>
  <si>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</si>
  <si>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</si>
  <si>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</si>
  <si>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</si>
  <si>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</si>
  <si>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</si>
  <si>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</si>
  <si>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</si>
  <si>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</si>
  <si>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</si>
  <si>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</si>
  <si>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</si>
  <si>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</si>
  <si>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</si>
  <si>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</si>
  <si>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</si>
  <si>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</si>
  <si>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</si>
  <si>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</si>
  <si>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</si>
  <si>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</si>
  <si>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</si>
  <si>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</si>
  <si>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</si>
  <si>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</si>
  <si>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BEZ-A-100 от </t>
  </si>
  <si>
    <t xml:space="preserve"> 14.08.2025г.</t>
  </si>
  <si>
    <t>DAP - с Амандык , Республика Казахстан</t>
  </si>
  <si>
    <t>30H805BB/307738AA</t>
  </si>
  <si>
    <t xml:space="preserve">СПЕЦИФИКАЦИЯ № BEZ-A-100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</si>
</sst>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2" t="s">
        <v>158</v>
      </c>
      <c r="D1" s="132"/>
      <c r="E1" s="132"/>
      <c r="F1" s="131" t="s">
        <v>159</v>
      </c>
      <c r="G1" s="131"/>
      <c r="H1" s="13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8" t="s">
        <v>148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">
      <c r="A5" s="133" t="s">
        <v>149</v>
      </c>
      <c r="B5" s="133"/>
      <c r="C5" s="133"/>
      <c r="D5" s="133"/>
      <c r="E5" s="133"/>
      <c r="F5" s="6"/>
      <c r="G5" s="135" t="s">
        <v>138</v>
      </c>
      <c r="H5" s="135"/>
      <c r="I5" s="135"/>
      <c r="J5" s="135"/>
      <c r="K5" s="135"/>
      <c r="L5" s="135"/>
      <c r="M5" s="135"/>
    </row>
    <row r="6" spans="1:15" ht="15" x14ac:dyDescent="0.25">
      <c r="A6" s="124" t="s">
        <v>150</v>
      </c>
      <c r="B6" s="124"/>
      <c r="C6" s="124"/>
      <c r="D6" s="124"/>
      <c r="E6" s="124"/>
      <c r="F6" s="7"/>
      <c r="G6" s="137" t="s">
        <v>139</v>
      </c>
      <c r="H6" s="137"/>
      <c r="I6" s="137"/>
      <c r="J6" s="137"/>
      <c r="K6" s="137"/>
      <c r="L6" s="137"/>
      <c r="M6" s="137"/>
      <c r="N6" s="4"/>
    </row>
    <row r="7" spans="1:15" ht="15" x14ac:dyDescent="0.25">
      <c r="A7" s="124" t="s">
        <v>151</v>
      </c>
      <c r="B7" s="124"/>
      <c r="C7" s="124"/>
      <c r="D7" s="124"/>
      <c r="E7" s="124"/>
      <c r="F7" s="63"/>
      <c r="G7" s="137" t="s">
        <v>140</v>
      </c>
      <c r="H7" s="137"/>
      <c r="I7" s="137"/>
      <c r="J7" s="137"/>
      <c r="K7" s="137"/>
      <c r="L7" s="137"/>
      <c r="M7" s="137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2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">
      <c r="A14" s="133" t="s">
        <v>149</v>
      </c>
      <c r="B14" s="133"/>
      <c r="C14" s="133"/>
      <c r="D14" s="133"/>
      <c r="E14" s="133"/>
      <c r="F14" s="6"/>
      <c r="G14" s="135" t="s">
        <v>125</v>
      </c>
      <c r="H14" s="135"/>
      <c r="I14" s="135"/>
      <c r="J14" s="135"/>
      <c r="K14" s="135"/>
      <c r="L14" s="135"/>
      <c r="M14" s="135"/>
    </row>
    <row r="15" spans="1:15" ht="13.9" customHeight="1" x14ac:dyDescent="0.25">
      <c r="A15" s="124" t="s">
        <v>150</v>
      </c>
      <c r="B15" s="124"/>
      <c r="C15" s="124"/>
      <c r="D15" s="124"/>
      <c r="E15" s="124"/>
      <c r="F15" s="7"/>
      <c r="G15" s="137" t="s">
        <v>126</v>
      </c>
      <c r="H15" s="140"/>
      <c r="I15" s="140"/>
      <c r="J15" s="140"/>
      <c r="K15" s="140"/>
      <c r="L15" s="140"/>
      <c r="M15" s="140"/>
    </row>
    <row r="16" spans="1:15" ht="15" x14ac:dyDescent="0.25">
      <c r="A16" s="124" t="s">
        <v>151</v>
      </c>
      <c r="B16" s="124"/>
      <c r="C16" s="124"/>
      <c r="D16" s="124"/>
      <c r="E16" s="124"/>
      <c r="F16" s="63"/>
      <c r="G16" s="137" t="s">
        <v>127</v>
      </c>
      <c r="H16" s="137"/>
      <c r="I16" s="137"/>
      <c r="J16" s="137"/>
      <c r="K16" s="137"/>
      <c r="L16" s="137"/>
      <c r="M16" s="137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0" t="s">
        <v>119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</row>
    <row r="24" spans="1:17" ht="15.75" x14ac:dyDescent="0.25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1" t="s">
        <v>161</v>
      </c>
      <c r="F26" s="152"/>
      <c r="G26" s="152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2.25" x14ac:dyDescent="0.2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30" x14ac:dyDescent="0.2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1000</v>
      </c>
      <c r="F30" s="115" t="s">
        <v>27</v>
      </c>
      <c r="G30" s="106">
        <v>22800</v>
      </c>
      <c r="H30" s="106">
        <v>21000</v>
      </c>
      <c r="I30" s="108">
        <v>0.2</v>
      </c>
      <c r="J30" s="13">
        <f t="shared" ref="J30" si="0">H30*I30</f>
        <v>4200</v>
      </c>
      <c r="K30" s="12">
        <v>0</v>
      </c>
      <c r="L30" s="12">
        <v>0</v>
      </c>
      <c r="M30" s="13">
        <f t="shared" ref="M30" si="1">J30</f>
        <v>4200</v>
      </c>
      <c r="O30" s="100"/>
      <c r="Q30" s="100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1000</v>
      </c>
      <c r="F31" s="15"/>
      <c r="G31" s="64">
        <f>SUM(G30:G30)</f>
        <v>22800</v>
      </c>
      <c r="H31" s="64">
        <f>SUM(H30:H30)</f>
        <v>21000</v>
      </c>
      <c r="I31" s="102"/>
      <c r="J31" s="17">
        <f>SUM(J30:J30)</f>
        <v>4200</v>
      </c>
      <c r="K31" s="16"/>
      <c r="L31" s="16"/>
      <c r="M31" s="17">
        <f>SUM(M30:M30)</f>
        <v>4200</v>
      </c>
      <c r="P31" s="66"/>
    </row>
    <row r="32" spans="1:17" ht="13.5" x14ac:dyDescent="0.25">
      <c r="A32" s="2" t="s">
        <v>17</v>
      </c>
      <c r="B32" s="3"/>
      <c r="C32" s="11"/>
      <c r="D32" s="11"/>
      <c r="E32" s="142" t="str">
        <f>Лист1!B3</f>
        <v>Четыре тысячи двести долларов США, 00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0" zoomScale="115" zoomScaleNormal="115" workbookViewId="0">
      <selection activeCell="B31" sqref="B31:I41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BEZ-A-100 от  14.08.2025г.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22800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"Уралкомплект" 10412130 - т/п Оренбургский
460027, Оренбургская обл., г. Оренбург, ул. Донгузская, д. 62А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14.08.2025г.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30H805BB/307738AA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7" zoomScaleNormal="100" workbookViewId="0">
      <selection activeCell="F20" sqref="F20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59" t="s">
        <v>96</v>
      </c>
      <c r="C2" s="159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0" t="str">
        <f>+Инвойс!E26</f>
        <v>30H805BB/307738AA</v>
      </c>
      <c r="C14" s="160"/>
      <c r="D14" s="160"/>
      <c r="E14" s="160"/>
      <c r="F14" s="160"/>
      <c r="G14" s="160"/>
      <c r="H14" s="161" t="s">
        <v>108</v>
      </c>
      <c r="I14" s="161"/>
      <c r="J14" s="88" t="str">
        <f>+Инвойс!F1</f>
        <v xml:space="preserve"> 14.08.2025г.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BEZ-A-100 от  14.08.2025г.</v>
      </c>
      <c r="I15" s="162"/>
      <c r="J15" s="162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1000</v>
      </c>
      <c r="G18" s="163" t="str">
        <f>+CMR!F30</f>
        <v>Дыни свежие</v>
      </c>
      <c r="H18" s="163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22800</v>
      </c>
    </row>
    <row r="20" spans="2:10" ht="13.5" customHeight="1" x14ac:dyDescent="0.25">
      <c r="B20" s="83"/>
      <c r="E20" s="122"/>
      <c r="F20" s="117"/>
      <c r="G20" s="163"/>
      <c r="H20" s="163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25">
      <c r="B22" s="83"/>
      <c r="E22" s="122"/>
      <c r="F22" s="117"/>
      <c r="G22" s="163"/>
      <c r="H22" s="163"/>
      <c r="I22" s="118"/>
      <c r="J22" s="119"/>
    </row>
    <row r="23" spans="2:10" ht="14.25" customHeight="1" x14ac:dyDescent="0.25">
      <c r="B23" s="83"/>
      <c r="E23" s="122"/>
      <c r="F23" s="120"/>
      <c r="G23" s="157"/>
      <c r="H23" s="158"/>
      <c r="I23" s="121"/>
      <c r="J23" s="119"/>
    </row>
    <row r="24" spans="2:10" ht="12.75" customHeight="1" x14ac:dyDescent="0.25">
      <c r="B24" s="87"/>
      <c r="E24" s="122"/>
      <c r="F24" s="117"/>
      <c r="G24" s="163"/>
      <c r="H24" s="163"/>
      <c r="I24" s="118"/>
      <c r="J24" s="119"/>
    </row>
    <row r="25" spans="2:10" ht="12.75" customHeight="1" x14ac:dyDescent="0.25">
      <c r="B25" s="87"/>
      <c r="E25" s="122"/>
      <c r="F25" s="120"/>
      <c r="G25" s="157"/>
      <c r="H25" s="158"/>
      <c r="I25" s="121"/>
      <c r="J25" s="119"/>
    </row>
    <row r="26" spans="2:10" ht="12" customHeight="1" x14ac:dyDescent="0.25">
      <c r="B26" s="87"/>
      <c r="E26" s="122"/>
      <c r="F26" s="117"/>
      <c r="G26" s="163"/>
      <c r="H26" s="163"/>
      <c r="I26" s="118"/>
      <c r="J26" s="119"/>
    </row>
    <row r="27" spans="2:10" ht="14.25" customHeight="1" x14ac:dyDescent="0.25">
      <c r="B27" s="87"/>
      <c r="E27" s="122"/>
      <c r="F27" s="120"/>
      <c r="G27" s="157"/>
      <c r="H27" s="158"/>
      <c r="I27" s="121"/>
      <c r="J27" s="119"/>
    </row>
    <row r="28" spans="2:10" ht="12.75" customHeight="1" x14ac:dyDescent="0.25">
      <c r="B28" s="87"/>
      <c r="E28" s="122"/>
      <c r="F28" s="117"/>
      <c r="G28" s="163"/>
      <c r="H28" s="163"/>
      <c r="I28" s="118"/>
      <c r="J28" s="119"/>
    </row>
    <row r="29" spans="2:10" ht="12.75" customHeight="1" x14ac:dyDescent="0.25">
      <c r="B29" s="87"/>
      <c r="E29" s="122"/>
      <c r="F29" s="120"/>
      <c r="G29" s="157"/>
      <c r="H29" s="158"/>
      <c r="I29" s="121"/>
      <c r="J29" s="119"/>
    </row>
    <row r="30" spans="2:10" ht="12.75" customHeight="1" x14ac:dyDescent="0.25">
      <c r="B30" s="87"/>
      <c r="E30" s="122"/>
      <c r="F30" s="117"/>
      <c r="G30" s="163"/>
      <c r="H30" s="163"/>
      <c r="I30" s="118"/>
      <c r="J30" s="119"/>
    </row>
    <row r="31" spans="2:10" ht="13.5" customHeight="1" x14ac:dyDescent="0.25">
      <c r="B31" s="87"/>
      <c r="E31" s="122"/>
      <c r="F31" s="120"/>
      <c r="G31" s="157"/>
      <c r="H31" s="158"/>
      <c r="I31" s="121"/>
      <c r="J31" s="119"/>
    </row>
    <row r="32" spans="2:10" ht="13.5" customHeight="1" x14ac:dyDescent="0.25">
      <c r="B32" s="87"/>
      <c r="E32" s="122"/>
      <c r="F32" s="117"/>
      <c r="G32" s="163"/>
      <c r="H32" s="163"/>
      <c r="I32" s="118"/>
      <c r="J32" s="119"/>
    </row>
    <row r="33" spans="2:10" ht="13.5" customHeight="1" x14ac:dyDescent="0.25">
      <c r="B33" s="87"/>
      <c r="E33" s="122"/>
      <c r="F33" s="120"/>
      <c r="G33" s="157"/>
      <c r="H33" s="158"/>
      <c r="I33" s="121"/>
      <c r="J33" s="119"/>
    </row>
    <row r="34" spans="2:10" ht="13.5" customHeight="1" x14ac:dyDescent="0.25">
      <c r="B34" s="87"/>
      <c r="E34" s="122"/>
      <c r="F34" s="117"/>
      <c r="G34" s="163"/>
      <c r="H34" s="163"/>
      <c r="I34" s="118"/>
      <c r="J34" s="119"/>
    </row>
    <row r="35" spans="2:10" ht="12.75" customHeight="1" x14ac:dyDescent="0.25">
      <c r="B35" s="87"/>
      <c r="E35" s="122"/>
      <c r="F35" s="120"/>
      <c r="G35" s="157"/>
      <c r="H35" s="158"/>
      <c r="I35" s="121"/>
      <c r="J35" s="119"/>
    </row>
    <row r="36" spans="2:10" x14ac:dyDescent="0.25">
      <c r="B36" s="87"/>
      <c r="E36" s="122"/>
      <c r="F36" s="117"/>
      <c r="G36" s="163"/>
      <c r="H36" s="163"/>
      <c r="I36" s="118"/>
      <c r="J36" s="119"/>
    </row>
    <row r="37" spans="2:10" ht="13.5" customHeight="1" x14ac:dyDescent="0.25">
      <c r="B37" s="87"/>
      <c r="E37" s="122"/>
      <c r="F37" s="120"/>
      <c r="G37" s="157"/>
      <c r="H37" s="158"/>
      <c r="I37" s="121"/>
      <c r="J37" s="119"/>
    </row>
    <row r="38" spans="2:10" x14ac:dyDescent="0.25">
      <c r="B38" s="87"/>
      <c r="E38" s="122"/>
      <c r="F38" s="117"/>
      <c r="G38" s="163"/>
      <c r="H38" s="163"/>
      <c r="I38" s="118"/>
      <c r="J38" s="119"/>
    </row>
    <row r="39" spans="2:10" ht="13.5" customHeight="1" x14ac:dyDescent="0.25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25">
      <c r="B40" s="87"/>
      <c r="E40" s="122"/>
      <c r="F40" s="117"/>
      <c r="G40" s="163"/>
      <c r="H40" s="163"/>
      <c r="I40" s="118"/>
      <c r="J40" s="119"/>
    </row>
    <row r="41" spans="2:10" ht="14.25" hidden="1" customHeight="1" x14ac:dyDescent="0.25">
      <c r="B41" s="87"/>
      <c r="E41" s="122"/>
      <c r="F41" s="120"/>
      <c r="G41" s="157"/>
      <c r="H41" s="158"/>
      <c r="I41" s="121"/>
      <c r="J41" s="119"/>
    </row>
    <row r="42" spans="2:10" hidden="1" x14ac:dyDescent="0.25">
      <c r="B42" s="87"/>
      <c r="E42" s="122"/>
      <c r="F42" s="117"/>
      <c r="G42" s="163"/>
      <c r="H42" s="163"/>
      <c r="I42" s="118"/>
      <c r="J42" s="119"/>
    </row>
    <row r="43" spans="2:10" x14ac:dyDescent="0.25">
      <c r="B43" s="87"/>
      <c r="E43" s="122"/>
      <c r="F43" s="120"/>
      <c r="G43" s="157"/>
      <c r="H43" s="158"/>
      <c r="I43" s="121"/>
      <c r="J43" s="119"/>
    </row>
    <row r="44" spans="2:10" ht="9" customHeight="1" x14ac:dyDescent="0.25">
      <c r="B44" s="87"/>
      <c r="E44" s="95"/>
      <c r="F44" s="92"/>
      <c r="G44" s="165"/>
      <c r="H44" s="165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1000</v>
      </c>
      <c r="E47" s="167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162</v>
      </c>
      <c r="C1" s="171"/>
      <c r="D1" s="171"/>
      <c r="E1" s="171"/>
      <c r="F1" s="131" t="str">
        <f>+Инвойс!F1</f>
        <v xml:space="preserve"> 14.08.2025г.</v>
      </c>
      <c r="G1" s="131"/>
      <c r="H1" s="13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8" t="str">
        <f>+Инвойс!C2</f>
        <v>к контракту № EX1607 от 16.07.2025 года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">
      <c r="A5" s="133" t="str">
        <f>+Инвойс!A5</f>
        <v>OOO “BMB EXIM”</v>
      </c>
      <c r="B5" s="133"/>
      <c r="C5" s="133"/>
      <c r="D5" s="133"/>
      <c r="E5" s="133"/>
      <c r="F5" s="6"/>
      <c r="G5" s="135" t="str">
        <f>+Инвойс!G5</f>
        <v>ООО ТД «РЕСУРС»</v>
      </c>
      <c r="H5" s="135"/>
      <c r="I5" s="135"/>
      <c r="J5" s="135"/>
      <c r="K5" s="135"/>
      <c r="L5" s="135"/>
      <c r="M5" s="135"/>
    </row>
    <row r="6" spans="1:15" ht="15" x14ac:dyDescent="0.25">
      <c r="A6" s="169" t="str">
        <f>+Инвойс!A6</f>
        <v>Республика Узбекистан, Джизакская область,</v>
      </c>
      <c r="B6" s="169"/>
      <c r="C6" s="169"/>
      <c r="D6" s="169"/>
      <c r="E6" s="169"/>
      <c r="F6" s="7"/>
      <c r="G6" s="168" t="str">
        <f>+Инвойс!G6</f>
        <v xml:space="preserve">125362, Город Москва, вн.тер.г. муниципальный округ </v>
      </c>
      <c r="H6" s="168"/>
      <c r="I6" s="168"/>
      <c r="J6" s="168"/>
      <c r="K6" s="168"/>
      <c r="L6" s="168"/>
      <c r="M6" s="168"/>
      <c r="N6" s="4"/>
    </row>
    <row r="7" spans="1:15" ht="15" x14ac:dyDescent="0.25">
      <c r="A7" s="169" t="str">
        <f>+Инвойс!A7</f>
        <v>Шароф Рашидовский район, Токчилик МФЙ, ул Мустакиллик дом 92а</v>
      </c>
      <c r="B7" s="169"/>
      <c r="C7" s="169"/>
      <c r="D7" s="169"/>
      <c r="E7" s="169"/>
      <c r="F7" s="63"/>
      <c r="G7" s="168" t="str">
        <f>+Инвойс!G7</f>
        <v xml:space="preserve">Южное Тушино, ул Свободы, д. 35, стр. 43, помещ. 92/3 </v>
      </c>
      <c r="H7" s="168"/>
      <c r="I7" s="168"/>
      <c r="J7" s="168"/>
      <c r="K7" s="168"/>
      <c r="L7" s="168"/>
      <c r="M7" s="168"/>
    </row>
    <row r="8" spans="1:15" ht="15" customHeight="1" x14ac:dyDescent="0.25">
      <c r="A8" s="169" t="str">
        <f>+Инвойс!A8</f>
        <v>Р/с N 20208840905433267001   (USD)</v>
      </c>
      <c r="B8" s="169"/>
      <c r="C8" s="169"/>
      <c r="D8" s="169"/>
      <c r="E8" s="169"/>
      <c r="F8" s="63"/>
      <c r="G8" s="168" t="str">
        <f>+Инвойс!G8</f>
        <v>Банк: Азия-Инвест Банк (АО) ИНН: 9705116064 КПП: 770501001</v>
      </c>
      <c r="H8" s="168"/>
      <c r="I8" s="168"/>
      <c r="J8" s="168"/>
      <c r="K8" s="168"/>
      <c r="L8" s="168"/>
      <c r="M8" s="168"/>
    </row>
    <row r="9" spans="1:15" ht="15" x14ac:dyDescent="0.25">
      <c r="A9" s="169" t="str">
        <f>+Инвойс!A9</f>
        <v xml:space="preserve">в “Узсаноаткурилиш” Банк операционный </v>
      </c>
      <c r="B9" s="169"/>
      <c r="C9" s="169"/>
      <c r="D9" s="169"/>
      <c r="E9" s="169"/>
      <c r="F9" s="7"/>
      <c r="G9" s="168" t="str">
        <f>+Инвойс!G9</f>
        <v xml:space="preserve">Р/Счет: 40702840100000019384 ; БИК:  044525234 </v>
      </c>
      <c r="H9" s="168"/>
      <c r="I9" s="168"/>
      <c r="J9" s="168"/>
      <c r="K9" s="168"/>
      <c r="L9" s="168"/>
      <c r="M9" s="168"/>
      <c r="O9" s="7"/>
    </row>
    <row r="10" spans="1:15" ht="15" x14ac:dyDescent="0.25">
      <c r="A10" s="169" t="str">
        <f>+Инвойс!A10</f>
        <v>МФО 00440</v>
      </c>
      <c r="B10" s="169"/>
      <c r="C10" s="169"/>
      <c r="D10" s="169"/>
      <c r="E10" s="169"/>
      <c r="F10" s="7"/>
      <c r="G10" s="168" t="str">
        <f>+Инвойс!G10</f>
        <v xml:space="preserve">Корр.счет: 30101810445250000234  </v>
      </c>
      <c r="H10" s="168"/>
      <c r="I10" s="168"/>
      <c r="J10" s="168"/>
      <c r="K10" s="168"/>
      <c r="L10" s="168"/>
      <c r="M10" s="168"/>
    </row>
    <row r="11" spans="1:15" ht="15" x14ac:dyDescent="0.25">
      <c r="A11" s="169" t="str">
        <f>+Инвойс!A11</f>
        <v>ИНН: 308822933</v>
      </c>
      <c r="B11" s="169"/>
      <c r="C11" s="169"/>
      <c r="D11" s="169"/>
      <c r="E11" s="169"/>
      <c r="F11" s="7"/>
      <c r="G11" s="168" t="str">
        <f>+Инвойс!G11</f>
        <v>(SWIFT code: ASIJRUMM)</v>
      </c>
      <c r="H11" s="168"/>
      <c r="I11" s="168"/>
      <c r="J11" s="168"/>
      <c r="K11" s="168"/>
      <c r="L11" s="168"/>
      <c r="M11" s="168"/>
    </row>
    <row r="12" spans="1:15" ht="36" customHeight="1" x14ac:dyDescent="0.25">
      <c r="A12" s="136"/>
      <c r="B12" s="136"/>
      <c r="C12" s="136"/>
      <c r="D12" s="136"/>
      <c r="E12" s="136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2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">
      <c r="A14" s="133" t="str">
        <f>+Инвойс!A14</f>
        <v>OOO “BMB EXIM”</v>
      </c>
      <c r="B14" s="133"/>
      <c r="C14" s="133"/>
      <c r="D14" s="133"/>
      <c r="E14" s="133"/>
      <c r="F14" s="6"/>
      <c r="G14" s="135" t="str">
        <f>+Инвойс!G14</f>
        <v>OOO «Западные ворота»</v>
      </c>
      <c r="H14" s="135"/>
      <c r="I14" s="135"/>
      <c r="J14" s="135"/>
      <c r="K14" s="135"/>
      <c r="L14" s="135"/>
      <c r="M14" s="135"/>
    </row>
    <row r="15" spans="1:15" ht="13.9" customHeight="1" x14ac:dyDescent="0.25">
      <c r="A15" s="169" t="str">
        <f>+Инвойс!A15</f>
        <v>Республика Узбекистан, Джизакская область,</v>
      </c>
      <c r="B15" s="169"/>
      <c r="C15" s="169"/>
      <c r="D15" s="169"/>
      <c r="E15" s="169"/>
      <c r="F15" s="7"/>
      <c r="G15" s="168" t="str">
        <f>+Инвойс!G15</f>
        <v>108811, г. Москва, вн.тер.г. муниципальный округ</v>
      </c>
      <c r="H15" s="168"/>
      <c r="I15" s="168"/>
      <c r="J15" s="168"/>
      <c r="K15" s="168"/>
      <c r="L15" s="168"/>
      <c r="M15" s="168"/>
    </row>
    <row r="16" spans="1:15" ht="15" x14ac:dyDescent="0.25">
      <c r="A16" s="169" t="str">
        <f>+Инвойс!A16</f>
        <v>Шароф Рашидовский район, Токчилик МФЙ, ул Мустакиллик дом 92а</v>
      </c>
      <c r="B16" s="169"/>
      <c r="C16" s="169"/>
      <c r="D16" s="169"/>
      <c r="E16" s="169"/>
      <c r="F16" s="63"/>
      <c r="G16" s="168" t="str">
        <f>+Инвойс!G16</f>
        <v>Солнцево, Киевское шоссе, 23-й км, д.8, стр.1</v>
      </c>
      <c r="H16" s="168"/>
      <c r="I16" s="168"/>
      <c r="J16" s="168"/>
      <c r="K16" s="168"/>
      <c r="L16" s="168"/>
      <c r="M16" s="168"/>
    </row>
    <row r="17" spans="1:17" ht="15" customHeight="1" x14ac:dyDescent="0.25">
      <c r="A17" s="169" t="str">
        <f>+Инвойс!A17</f>
        <v>Р/с N 20208840905433267001   (USD)</v>
      </c>
      <c r="B17" s="169"/>
      <c r="C17" s="169"/>
      <c r="D17" s="169"/>
      <c r="E17" s="169"/>
      <c r="F17" s="63"/>
      <c r="G17" s="168" t="str">
        <f>+Инвойс!G17</f>
        <v xml:space="preserve">р/с USD 40702810501400013450 </v>
      </c>
      <c r="H17" s="168"/>
      <c r="I17" s="168"/>
      <c r="J17" s="168"/>
      <c r="K17" s="168"/>
      <c r="L17" s="168"/>
      <c r="M17" s="168"/>
    </row>
    <row r="18" spans="1:17" ht="15" x14ac:dyDescent="0.25">
      <c r="A18" s="169" t="str">
        <f>+Инвойс!A18</f>
        <v xml:space="preserve">в “Узсаноаткурилиш” Банк операционный </v>
      </c>
      <c r="B18" s="169"/>
      <c r="C18" s="169"/>
      <c r="D18" s="169"/>
      <c r="E18" s="169"/>
      <c r="F18" s="7"/>
      <c r="G18" s="168" t="str">
        <f>+Инвойс!G18</f>
        <v>Банк: Филиал АО «АЛЬФА-БАНК»</v>
      </c>
      <c r="H18" s="168"/>
      <c r="I18" s="168"/>
      <c r="J18" s="168"/>
      <c r="K18" s="168"/>
      <c r="L18" s="168"/>
      <c r="M18" s="168"/>
    </row>
    <row r="19" spans="1:17" ht="15" x14ac:dyDescent="0.25">
      <c r="A19" s="169" t="str">
        <f>+Инвойс!A19</f>
        <v>МФО 00440</v>
      </c>
      <c r="B19" s="169"/>
      <c r="C19" s="169"/>
      <c r="D19" s="169"/>
      <c r="E19" s="169"/>
      <c r="F19" s="7"/>
      <c r="G19" s="168" t="str">
        <f>+Инвойс!G19</f>
        <v>к/с:  30101810200000000593</v>
      </c>
      <c r="H19" s="168"/>
      <c r="I19" s="168"/>
      <c r="J19" s="168"/>
      <c r="K19" s="168"/>
      <c r="L19" s="168"/>
      <c r="M19" s="168"/>
    </row>
    <row r="20" spans="1:17" ht="15" x14ac:dyDescent="0.25">
      <c r="A20" s="169" t="str">
        <f>+Инвойс!A20</f>
        <v>ИНН: 308822933</v>
      </c>
      <c r="B20" s="169"/>
      <c r="C20" s="169"/>
      <c r="D20" s="169"/>
      <c r="E20" s="169"/>
      <c r="F20" s="7"/>
      <c r="G20" s="168" t="str">
        <f>+Инвойс!G20</f>
        <v>ИНН/КПП 5004025693/775101001 ОГРН 1135004001802</v>
      </c>
      <c r="H20" s="168"/>
      <c r="I20" s="168"/>
      <c r="J20" s="168"/>
      <c r="K20" s="168"/>
      <c r="L20" s="168"/>
      <c r="M20" s="168"/>
    </row>
    <row r="21" spans="1:17" ht="15" x14ac:dyDescent="0.25">
      <c r="A21" s="169"/>
      <c r="B21" s="169"/>
      <c r="C21" s="169"/>
      <c r="D21" s="169"/>
      <c r="E21" s="169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1" t="str">
        <f>+Инвойс!E26</f>
        <v>30H805BB/307738AA</v>
      </c>
      <c r="F26" s="152"/>
      <c r="G26" s="152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2.25" x14ac:dyDescent="0.2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1000</v>
      </c>
      <c r="F30" s="115" t="str">
        <f>+Инвойс!F30</f>
        <v>кг</v>
      </c>
      <c r="G30" s="106">
        <f>+Инвойс!G30</f>
        <v>22800</v>
      </c>
      <c r="H30" s="106">
        <f>+Инвойс!H30</f>
        <v>21000</v>
      </c>
      <c r="I30" s="108">
        <f>+Инвойс!I30</f>
        <v>0.2</v>
      </c>
      <c r="J30" s="13">
        <f>+Инвойс!J30</f>
        <v>4200</v>
      </c>
      <c r="K30" s="12">
        <v>0</v>
      </c>
      <c r="L30" s="12">
        <v>0</v>
      </c>
      <c r="M30" s="13">
        <f>+Инвойс!M30</f>
        <v>4200</v>
      </c>
      <c r="O30" s="100"/>
      <c r="Q30" s="100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1000</v>
      </c>
      <c r="F31" s="15"/>
      <c r="G31" s="64">
        <f>SUM(G30:G30)</f>
        <v>22800</v>
      </c>
      <c r="H31" s="64">
        <f>SUM(H30:H30)</f>
        <v>21000</v>
      </c>
      <c r="I31" s="102"/>
      <c r="J31" s="17">
        <f>SUM(J30:J30)</f>
        <v>4200</v>
      </c>
      <c r="K31" s="16"/>
      <c r="L31" s="16"/>
      <c r="M31" s="17">
        <f>SUM(M30:M30)</f>
        <v>4200</v>
      </c>
      <c r="P31" s="66"/>
    </row>
    <row r="32" spans="1:17" ht="13.5" x14ac:dyDescent="0.25">
      <c r="A32" s="2" t="s">
        <v>17</v>
      </c>
      <c r="B32" s="3"/>
      <c r="C32" s="11"/>
      <c r="D32" s="11"/>
      <c r="E32" s="142" t="str">
        <f>Лист1!B3</f>
        <v>Четыре тысячи двести долларов США, 00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75" x14ac:dyDescent="0.25">
      <c r="A36" s="7" t="s">
        <v>157</v>
      </c>
      <c r="B36" s="7"/>
      <c r="D36" s="25" t="s">
        <v>156</v>
      </c>
      <c r="E36" s="24"/>
      <c r="G36" s="128" t="s">
        <v>145</v>
      </c>
      <c r="H36" t="str">
        <f>Инвойс!G5</f>
        <v>ООО ТД «РЕСУРС»</v>
      </c>
      <c r="K36" s="129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7" sqref="A7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5" t="s">
        <v>117</v>
      </c>
    </row>
    <row r="3" spans="1:1" ht="51" x14ac:dyDescent="0.2">
      <c r="A3" s="130" t="s">
        <v>137</v>
      </c>
    </row>
    <row r="5" spans="1:1" ht="38.25" x14ac:dyDescent="0.2">
      <c r="A5" s="125" t="s">
        <v>118</v>
      </c>
    </row>
    <row r="7" spans="1:1" ht="51" x14ac:dyDescent="0.2">
      <c r="A7" s="125" t="s">
        <v>119</v>
      </c>
    </row>
    <row r="9" spans="1:1" ht="51" x14ac:dyDescent="0.2">
      <c r="A9" s="125" t="s">
        <v>120</v>
      </c>
    </row>
    <row r="10" spans="1:1" x14ac:dyDescent="0.2">
      <c r="A10" s="125"/>
    </row>
    <row r="11" spans="1:1" ht="51" x14ac:dyDescent="0.2">
      <c r="A11" s="125" t="s">
        <v>121</v>
      </c>
    </row>
    <row r="13" spans="1:1" ht="51" x14ac:dyDescent="0.2">
      <c r="A13" s="125" t="s">
        <v>122</v>
      </c>
    </row>
    <row r="15" spans="1:1" ht="38.25" x14ac:dyDescent="0.2">
      <c r="A15" s="125" t="s">
        <v>123</v>
      </c>
    </row>
    <row r="17" spans="1:1" ht="38.25" x14ac:dyDescent="0.2">
      <c r="A17" s="125" t="s">
        <v>124</v>
      </c>
    </row>
    <row r="19" spans="1:1" ht="38.25" x14ac:dyDescent="0.2">
      <c r="A19" s="127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Инвойс!M31</f>
        <v>4200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долларов США, 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45883</v>
      </c>
      <c r="O3" s="175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двести долларов США, 00 центов. (в т.ч. НДС - 357,79)</v>
      </c>
      <c r="H4" s="32"/>
      <c r="I4" s="32"/>
      <c r="J4" s="32"/>
      <c r="K4" s="176" t="str">
        <f ca="1">CONCATENATE(" «  ",P3,"  »  ",Q3,"  ",R3," г.")</f>
        <v xml:space="preserve"> «  14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долларов США, 00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долларов США, 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45883</v>
      </c>
    </row>
    <row r="13" spans="1:19" s="43" customFormat="1" x14ac:dyDescent="0.2">
      <c r="A13" s="49"/>
      <c r="D13" s="51"/>
      <c r="E13" s="52">
        <f>TRUNC(E2)</f>
        <v>4200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4200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200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2025-08-14T14:30:40Z</cp:lastPrinted>
  <dcterms:created xsi:type="dcterms:W3CDTF">1996-10-14T23:33:28Z</dcterms:created>
  <dcterms:modified xsi:type="dcterms:W3CDTF">2025-08-14T14:30:42Z</dcterms:modified>
</cp:coreProperties>
</file>