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05A9F7-8B36-459F-B1E7-5884BAB6E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<sst xmlns="http://schemas.openxmlformats.org/spreadsheetml/2006/main" count="201" uniqueCount="163">
  <si>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</si>
  <si>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</si>
  <si>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</si>
  <si>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</si>
  <si>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</si>
  <si>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</si>
  <si>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</si>
  <si>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</si>
  <si>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</si>
  <si>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</si>
  <si>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</si>
  <si>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</si>
  <si>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</si>
  <si>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</si>
  <si>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</si>
  <si>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</si>
  <si>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</si>
  <si>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</si>
  <si>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</si>
  <si>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</si>
  <si>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</si>
  <si>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</si>
  <si>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</si>
  <si>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</si>
  <si>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</si>
  <si>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</si>
  <si>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</si>
  <si>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</si>
  <si>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</si>
  <si>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</si>
  <si>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</si>
  <si>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</si>
  <si>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</si>
  <si>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</si>
  <si>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</si>
  <si>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</si>
  <si>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</si>
  <si>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</si>
  <si>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</si>
  <si>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</si>
  <si>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</si>
  <si>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</si>
  <si>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</si>
  <si>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</si>
  <si>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</si>
  <si>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</si>
  <si>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</si>
  <si>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</si>
  <si>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</si>
  <si>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</si>
  <si>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</si>
  <si>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</si>
  <si>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</si>
  <si>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</si>
  <si>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</si>
  <si>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</si>
  <si>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</si>
  <si>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</si>
  <si>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</si>
  <si>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</si>
  <si>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</si>
  <si>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</si>
  <si>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</si>
  <si>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</si>
  <si>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</si>
  <si>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</si>
  <si>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</si>
  <si>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</si>
  <si>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</si>
  <si>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</si>
  <si>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</si>
  <si>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</si>
  <si>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</si>
  <si>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</si>
  <si>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</si>
  <si>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</si>
  <si>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</si>
  <si>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</si>
  <si>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</si>
  <si>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</si>
  <si>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</si>
  <si>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</si>
  <si>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</si>
  <si>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</si>
  <si>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</si>
  <si>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</si>
  <si>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</si>
  <si>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</si>
  <si>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</si>
  <si>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</si>
  <si>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</si>
  <si>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</si>
  <si>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</si>
  <si>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</si>
  <si>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</si>
  <si>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</si>
  <si>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</si>
  <si>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</si>
  <si>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</si>
  <si>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</si>
  <si>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</si>
  <si>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</si>
  <si>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</si>
  <si>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</si>
  <si>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</si>
  <si>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</si>
  <si>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</si>
  <si>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</si>
  <si>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</si>
  <si>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</si>
  <si>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</si>
  <si>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</si>
  <si>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</si>
  <si>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</si>
  <si>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</si>
  <si>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</si>
  <si>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</si>
  <si>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</si>
  <si>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</si>
  <si>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</si>
  <si>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</si>
  <si>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</si>
  <si>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</si>
  <si>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</si>
  <si>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</si>
  <si>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</si>
  <si>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</si>
  <si>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</si>
  <si>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</si>
  <si>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</si>
  <si>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</si>
  <si>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</si>
  <si>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</si>
  <si>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</si>
  <si>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</si>
  <si>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</si>
  <si>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</si>
  <si>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</si>
  <si>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</si>
  <si>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</si>
  <si>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</si>
  <si>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</si>
  <si>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</si>
  <si>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</si>
  <si>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</si>
  <si>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</si>
  <si>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</si>
  <si>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</si>
  <si>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</si>
  <si>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</si>
  <si>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</si>
  <si>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</si>
  <si>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</si>
  <si>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</si>
  <si>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</si>
  <si>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</si>
  <si>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</si>
  <si>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BEZ-O-13 от </t>
  </si>
  <si>
    <t xml:space="preserve"> 11.08.2025г.</t>
  </si>
  <si>
    <t>DAP - с Амандык , Республика Казахстан</t>
  </si>
  <si>
    <t>80X600CB/806249BA</t>
  </si>
  <si>
    <t xml:space="preserve">СПЕЦИФИКАЦИЯ № BEZ-O-13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</si>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</sst>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157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147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148</v>
      </c>
      <c r="B5" s="151"/>
      <c r="C5" s="151"/>
      <c r="D5" s="151"/>
      <c r="E5" s="151"/>
      <c r="F5" s="6"/>
      <c r="G5" s="144" t="s">
        <v>137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9" t="s">
        <v>138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9" t="s">
        <v>139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148</v>
      </c>
      <c r="B14" s="151"/>
      <c r="C14" s="151"/>
      <c r="D14" s="151"/>
      <c r="E14" s="151"/>
      <c r="F14" s="6"/>
      <c r="G14" s="144" t="s">
        <v>124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9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9" t="s">
        <v>126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118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162</v>
      </c>
      <c r="E30" s="101">
        <v>1000</v>
      </c>
      <c r="F30" s="110" t="s">
        <v>27</v>
      </c>
      <c r="G30" s="106">
        <v>23000</v>
      </c>
      <c r="H30" s="106">
        <v>22000</v>
      </c>
      <c r="I30" s="108">
        <v>0.2</v>
      </c>
      <c r="J30" s="13">
        <f t="shared" ref="J30" si="0">H30*I30</f>
        <v>4400</v>
      </c>
      <c r="K30" s="12">
        <v>0</v>
      </c>
      <c r="L30" s="12">
        <v>0</v>
      </c>
      <c r="M30" s="13">
        <f t="shared" ref="M30" si="1">J30</f>
        <v>4400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22000</v>
      </c>
      <c r="I31" s="102"/>
      <c r="J31" s="17">
        <f>SUM(J30:J30)</f>
        <v>4400</v>
      </c>
      <c r="K31" s="16"/>
      <c r="L31" s="16"/>
      <c r="M31" s="17">
        <f>SUM(M30:M30)</f>
        <v>4400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четыреста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1" sqref="J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BEZ-O-13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80X600CB/806249BA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" zoomScaleNormal="100" workbookViewId="0">
      <selection activeCell="L28" sqref="L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80X600CB/806249BA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BEZ-O-13 от  11.08.2025г.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1000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161</v>
      </c>
      <c r="C1" s="169"/>
      <c r="D1" s="169"/>
      <c r="E1" s="169"/>
      <c r="F1" s="149" t="str">
        <f>+Инвойс!F1</f>
        <v xml:space="preserve"> 11.08.2025г.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80X600CB/806249BA</v>
      </c>
      <c r="F26" s="138"/>
      <c r="G26" s="138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Пласт. ящик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22000</v>
      </c>
      <c r="I30" s="108">
        <f>+Инвойс!I30</f>
        <v>0.2</v>
      </c>
      <c r="J30" s="13">
        <f>+Инвойс!J30</f>
        <v>4400</v>
      </c>
      <c r="K30" s="12">
        <v>0</v>
      </c>
      <c r="L30" s="12">
        <v>0</v>
      </c>
      <c r="M30" s="13">
        <f>+Инвойс!M30</f>
        <v>4400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22000</v>
      </c>
      <c r="I31" s="102"/>
      <c r="J31" s="17">
        <f>SUM(J30:J30)</f>
        <v>4400</v>
      </c>
      <c r="K31" s="16"/>
      <c r="L31" s="16"/>
      <c r="M31" s="17">
        <f>SUM(M30:M30)</f>
        <v>4400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четыреста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4400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четыреста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четыреста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четыреста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четыреста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4400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440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4400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2025-08-11T09:54:41Z</cp:lastPrinted>
  <dcterms:created xsi:type="dcterms:W3CDTF">1996-10-14T23:33:28Z</dcterms:created>
  <dcterms:modified xsi:type="dcterms:W3CDTF">2025-08-11T09:54:48Z</dcterms:modified>
</cp:coreProperties>
</file>