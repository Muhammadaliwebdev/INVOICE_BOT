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B9BC949-A3A3-4F94-A4B6-E3C585AD30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C10" i="4" l="1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<sst xmlns="http://schemas.openxmlformats.org/spreadsheetml/2006/main" count="208" uniqueCount="166">
  <si>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</si>
  <si>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</si>
  <si>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</si>
  <si>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</si>
  <si>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</si>
  <si>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</si>
  <si>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</si>
  <si>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</si>
  <si>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</si>
  <si>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</si>
  <si>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</si>
  <si>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</si>
  <si>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</si>
  <si>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</si>
  <si>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</si>
  <si>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</si>
  <si>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</si>
  <si>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</si>
  <si>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</si>
  <si>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</si>
  <si>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</si>
  <si>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</si>
  <si>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</si>
  <si>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</si>
  <si>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</si>
  <si>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</si>
  <si>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</si>
  <si>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</si>
  <si>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</si>
  <si>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</si>
  <si>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</si>
  <si>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</si>
  <si>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</si>
  <si>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</si>
  <si>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</si>
  <si>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</si>
  <si>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</si>
  <si>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</si>
  <si>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</si>
  <si>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</si>
  <si>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</si>
  <si>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</si>
  <si>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</si>
  <si>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</si>
  <si>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</si>
  <si>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</si>
  <si>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</si>
  <si>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</si>
  <si>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</si>
  <si>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</si>
  <si>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</si>
  <si>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</si>
  <si>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</si>
  <si>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</si>
  <si>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</si>
  <si>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</si>
  <si>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</si>
  <si>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</si>
  <si>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</si>
  <si>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</si>
  <si>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</si>
  <si>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</si>
  <si>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</si>
  <si>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</si>
  <si>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</si>
  <si>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</si>
  <si>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</si>
  <si>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</si>
  <si>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</si>
  <si>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</si>
  <si>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</si>
  <si>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</si>
  <si>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</si>
  <si>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</si>
  <si>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</si>
  <si>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</si>
  <si>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</si>
  <si>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</si>
  <si>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</si>
  <si>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</si>
  <si>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</si>
  <si>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</si>
  <si>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</si>
  <si>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</si>
  <si>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</si>
  <si>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</si>
  <si>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</si>
  <si>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</si>
  <si>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</si>
  <si>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</si>
  <si>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</si>
  <si>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</si>
  <si>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</si>
  <si>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</si>
  <si>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</si>
  <si>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</si>
  <si>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</si>
  <si>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</si>
  <si>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</si>
  <si>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</si>
  <si>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</si>
  <si>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</si>
  <si>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</si>
  <si>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</si>
  <si>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</si>
  <si>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</si>
  <si>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</si>
  <si>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</si>
  <si>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</si>
  <si>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</si>
  <si>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</si>
  <si>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</si>
  <si>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</si>
  <si>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</si>
  <si>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</si>
  <si>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</si>
  <si>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</si>
  <si>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</si>
  <si>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</si>
  <si>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</si>
  <si>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</si>
  <si>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</si>
  <si>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</si>
  <si>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</si>
  <si>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</si>
  <si>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</si>
  <si>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</si>
  <si>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</si>
  <si>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</si>
  <si>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</si>
  <si>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</si>
  <si>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</si>
  <si>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</si>
  <si>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</si>
  <si>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</si>
  <si>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</si>
  <si>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</si>
  <si>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</si>
  <si>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</si>
  <si>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</si>
  <si>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</si>
  <si>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</si>
  <si>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</si>
  <si>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</si>
  <si>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</si>
  <si>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</si>
  <si>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</si>
  <si>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</si>
  <si>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</si>
  <si>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</si>
  <si>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</si>
  <si>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</si>
  <si>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</si>
  <si>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</si>
  <si>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</si>
  <si>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</si>
  <si>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</si>
  <si>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</si>
  <si>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</si>
  <si>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EXZ-M-2 от </t>
  </si>
  <si>
    <t xml:space="preserve"> 08.09.2025г.</t>
  </si>
  <si>
    <t>30X874NB/309716AA</t>
  </si>
  <si>
    <t>навалом</t>
  </si>
  <si>
    <t>-</t>
  </si>
  <si>
    <t xml:space="preserve">СПЕЦИФИКАЦИЯ № EXZ-M-2 от </t>
  </si>
  <si>
    <t>Пласт. ящик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</si>
</sst>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37</xdr:row>
      <xdr:rowOff>123262</xdr:rowOff>
    </xdr:from>
    <xdr:to>
      <xdr:col>3</xdr:col>
      <xdr:colOff>439882</xdr:colOff>
      <xdr:row>51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37</xdr:row>
      <xdr:rowOff>78440</xdr:rowOff>
    </xdr:from>
    <xdr:to>
      <xdr:col>5</xdr:col>
      <xdr:colOff>179852</xdr:colOff>
      <xdr:row>40</xdr:row>
      <xdr:rowOff>173915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38</xdr:row>
      <xdr:rowOff>11205</xdr:rowOff>
    </xdr:from>
    <xdr:to>
      <xdr:col>2</xdr:col>
      <xdr:colOff>427079</xdr:colOff>
      <xdr:row>51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37</xdr:row>
      <xdr:rowOff>156882</xdr:rowOff>
    </xdr:from>
    <xdr:to>
      <xdr:col>4</xdr:col>
      <xdr:colOff>112618</xdr:colOff>
      <xdr:row>41</xdr:row>
      <xdr:rowOff>69475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37</xdr:row>
      <xdr:rowOff>56029</xdr:rowOff>
    </xdr:from>
    <xdr:to>
      <xdr:col>11</xdr:col>
      <xdr:colOff>231957</xdr:colOff>
      <xdr:row>51</xdr:row>
      <xdr:rowOff>22409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9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140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129</v>
      </c>
      <c r="B5" s="136"/>
      <c r="C5" s="136"/>
      <c r="D5" s="136"/>
      <c r="E5" s="136"/>
      <c r="F5" s="6"/>
      <c r="G5" s="138" t="s">
        <v>141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130</v>
      </c>
      <c r="B6" s="143"/>
      <c r="C6" s="143"/>
      <c r="D6" s="143"/>
      <c r="E6" s="143"/>
      <c r="F6" s="7"/>
      <c r="G6" s="140" t="s">
        <v>142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131</v>
      </c>
      <c r="B7" s="143"/>
      <c r="C7" s="143"/>
      <c r="D7" s="143"/>
      <c r="E7" s="143"/>
      <c r="F7" s="63"/>
      <c r="G7" s="140" t="s">
        <v>143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132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133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134</v>
      </c>
      <c r="B10" s="125"/>
      <c r="C10" s="125"/>
      <c r="D10" s="125"/>
      <c r="E10" s="125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135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136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129</v>
      </c>
      <c r="B14" s="136"/>
      <c r="C14" s="136"/>
      <c r="D14" s="136"/>
      <c r="E14" s="136"/>
      <c r="F14" s="6"/>
      <c r="G14" s="138" t="s">
        <v>148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130</v>
      </c>
      <c r="B15" s="143"/>
      <c r="C15" s="143"/>
      <c r="D15" s="143"/>
      <c r="E15" s="143"/>
      <c r="F15" s="7"/>
      <c r="G15" s="140" t="s">
        <v>149</v>
      </c>
      <c r="H15" s="143"/>
      <c r="I15" s="143"/>
      <c r="J15" s="143"/>
      <c r="K15" s="143"/>
      <c r="L15" s="143"/>
      <c r="M15" s="143"/>
    </row>
    <row r="16" spans="1:15" ht="13.8" x14ac:dyDescent="0.25">
      <c r="A16" s="143" t="s">
        <v>131</v>
      </c>
      <c r="B16" s="143"/>
      <c r="C16" s="143"/>
      <c r="D16" s="143"/>
      <c r="E16" s="143"/>
      <c r="F16" s="63"/>
      <c r="G16" s="140" t="s">
        <v>150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132</v>
      </c>
      <c r="B17" s="8"/>
      <c r="C17" s="8"/>
      <c r="D17" s="8"/>
      <c r="E17" s="8"/>
      <c r="F17" s="63"/>
      <c r="G17" s="7" t="s">
        <v>151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133</v>
      </c>
      <c r="B18" s="8"/>
      <c r="C18" s="8"/>
      <c r="D18" s="8"/>
      <c r="E18" s="8"/>
      <c r="F18" s="7"/>
      <c r="G18" s="8" t="s">
        <v>152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134</v>
      </c>
      <c r="B19" s="125"/>
      <c r="C19" s="125"/>
      <c r="D19" s="125"/>
      <c r="E19" s="125"/>
      <c r="F19" s="7"/>
      <c r="G19" s="7" t="s">
        <v>153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135</v>
      </c>
      <c r="B20" s="8"/>
      <c r="C20" s="8"/>
      <c r="D20" s="8"/>
      <c r="E20" s="8"/>
      <c r="F20" s="7"/>
      <c r="G20" s="7" t="s">
        <v>154</v>
      </c>
      <c r="H20" s="23"/>
      <c r="I20" s="23"/>
      <c r="J20" s="23"/>
    </row>
    <row r="21" spans="1:17" ht="13.8" x14ac:dyDescent="0.25">
      <c r="A21" s="99" t="s">
        <v>136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126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158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124</v>
      </c>
      <c r="C30" s="107" t="s">
        <v>125</v>
      </c>
      <c r="D30" s="109" t="s">
        <v>165</v>
      </c>
      <c r="E30" s="101">
        <v>1010</v>
      </c>
      <c r="F30" s="116" t="s">
        <v>27</v>
      </c>
      <c r="G30" s="106">
        <v>22050</v>
      </c>
      <c r="H30" s="106">
        <v>21040</v>
      </c>
      <c r="I30" s="108">
        <v>0.2</v>
      </c>
      <c r="J30" s="13">
        <f t="shared" ref="J30:J31" si="0">H30*I30</f>
        <v>4208</v>
      </c>
      <c r="K30" s="12">
        <v>0</v>
      </c>
      <c r="L30" s="12">
        <v>0</v>
      </c>
      <c r="M30" s="13">
        <f t="shared" ref="M30:M31" si="1">J30</f>
        <v>4208</v>
      </c>
      <c r="O30" s="100"/>
      <c r="Q30" s="100"/>
    </row>
    <row r="31" spans="1:17" ht="13.8" x14ac:dyDescent="0.25">
      <c r="A31" s="127">
        <v>2</v>
      </c>
      <c r="B31" s="101" t="s">
        <v>124</v>
      </c>
      <c r="C31" s="107" t="s">
        <v>125</v>
      </c>
      <c r="D31" s="109" t="s">
        <v>162</v>
      </c>
      <c r="E31" s="101" t="s">
        <v>163</v>
      </c>
      <c r="F31" s="110" t="s">
        <v>27</v>
      </c>
      <c r="G31" s="106">
        <v>450</v>
      </c>
      <c r="H31" s="106">
        <v>450</v>
      </c>
      <c r="I31" s="108">
        <v>0.2</v>
      </c>
      <c r="J31" s="13">
        <f t="shared" si="0"/>
        <v>90</v>
      </c>
      <c r="K31" s="12">
        <v>0</v>
      </c>
      <c r="L31" s="12">
        <v>0</v>
      </c>
      <c r="M31" s="13">
        <f t="shared" si="1"/>
        <v>90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1010</v>
      </c>
      <c r="F32" s="15"/>
      <c r="G32" s="64">
        <f>SUM(G30:G31)</f>
        <v>22500</v>
      </c>
      <c r="H32" s="64">
        <f>SUM(H30:H31)</f>
        <v>21490</v>
      </c>
      <c r="I32" s="102"/>
      <c r="J32" s="17">
        <f>SUM(J30:J31)</f>
        <v>4298</v>
      </c>
      <c r="K32" s="16"/>
      <c r="L32" s="16"/>
      <c r="M32" s="17">
        <f>SUM(M30:M31)</f>
        <v>4298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Четыре тысячи двести девяносто восемь долларов США, 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 t="s">
        <v>109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3.8" x14ac:dyDescent="0.25">
      <c r="A37" s="7" t="s">
        <v>28</v>
      </c>
      <c r="B37" s="7"/>
      <c r="D37" s="25" t="s">
        <v>137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I37" sqref="I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155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08.09.2025г.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EXZ-M-2 от  08.09.2025г.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1010</v>
      </c>
      <c r="D30" s="103" t="str">
        <f>+Инвойс!D30</f>
        <v>Пласт. ящик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22050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450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0" t="str">
        <f>+C22</f>
        <v xml:space="preserve"> 08.09.2025г.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30X874NB/309716AA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3" zoomScaleNormal="100" workbookViewId="0">
      <selection activeCell="H45" sqref="H4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30X874NB/309716AA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08.09.2025г.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EXZ-M-2 от  08.09.2025г.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1010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22050</v>
      </c>
    </row>
    <row r="20" spans="2:10" ht="13.5" customHeight="1" x14ac:dyDescent="0.3">
      <c r="B20" s="83"/>
      <c r="E20" s="123"/>
      <c r="F20" s="118" t="str">
        <f>+Инвойс!E31</f>
        <v>-</v>
      </c>
      <c r="G20" s="167" t="str">
        <f>+CMR!F31</f>
        <v>Дыни свежие</v>
      </c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навалом</v>
      </c>
      <c r="G21" s="161" t="str">
        <f>+Инвойс!C31</f>
        <v>0807190001</v>
      </c>
      <c r="H21" s="162"/>
      <c r="I21" s="122" t="s">
        <v>103</v>
      </c>
      <c r="J21" s="120">
        <f>+Инвойс!G31</f>
        <v>450</v>
      </c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v>1010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4" zoomScale="85" zoomScaleNormal="85" workbookViewId="0">
      <selection activeCell="G30" sqref="G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164</v>
      </c>
      <c r="C1" s="174"/>
      <c r="D1" s="174"/>
      <c r="E1" s="174"/>
      <c r="F1" s="134" t="str">
        <f>+Инвойс!F1</f>
        <v xml:space="preserve"> 08.09.2025г.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30X874NB/309716AA</v>
      </c>
      <c r="F26" s="156"/>
      <c r="G26" s="156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6.4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Пласт. ящик</v>
      </c>
      <c r="E30" s="101">
        <f>+Инвойс!E30</f>
        <v>1010</v>
      </c>
      <c r="F30" s="116" t="str">
        <f>+Инвойс!F30</f>
        <v>кг</v>
      </c>
      <c r="G30" s="106">
        <f>+Инвойс!G30</f>
        <v>22050</v>
      </c>
      <c r="H30" s="106">
        <f>+Инвойс!H30</f>
        <v>21040</v>
      </c>
      <c r="I30" s="108">
        <f>+Инвойс!I30</f>
        <v>0.2</v>
      </c>
      <c r="J30" s="13">
        <f>+Инвойс!J30</f>
        <v>4208</v>
      </c>
      <c r="K30" s="12">
        <v>0</v>
      </c>
      <c r="L30" s="12">
        <v>0</v>
      </c>
      <c r="M30" s="13">
        <f>+Инвойс!M30</f>
        <v>4208</v>
      </c>
      <c r="O30" s="100"/>
      <c r="Q30" s="100"/>
    </row>
    <row r="31" spans="1:17" ht="13.8" x14ac:dyDescent="0.25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450</v>
      </c>
      <c r="H31" s="106">
        <f>+Инвойс!H31</f>
        <v>450</v>
      </c>
      <c r="I31" s="108">
        <f>+Инвойс!I31</f>
        <v>0.2</v>
      </c>
      <c r="J31" s="13">
        <f>+Инвойс!J31</f>
        <v>90</v>
      </c>
      <c r="K31" s="12">
        <v>0</v>
      </c>
      <c r="L31" s="12">
        <v>0</v>
      </c>
      <c r="M31" s="13">
        <f>+Инвойс!M31</f>
        <v>90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1010</v>
      </c>
      <c r="F32" s="15"/>
      <c r="G32" s="64">
        <f>SUM(G30:G31)</f>
        <v>22500</v>
      </c>
      <c r="H32" s="64">
        <f>SUM(H30:H31)</f>
        <v>21490</v>
      </c>
      <c r="I32" s="102"/>
      <c r="J32" s="17">
        <f>SUM(J30:J31)</f>
        <v>4298</v>
      </c>
      <c r="K32" s="16"/>
      <c r="L32" s="16"/>
      <c r="M32" s="17">
        <f>SUM(M30:M31)</f>
        <v>4298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Четыре тысячи двести девяносто восемь долларов США, 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6" x14ac:dyDescent="0.3">
      <c r="A37" s="131" t="s">
        <v>138</v>
      </c>
      <c r="B37" s="131"/>
      <c r="D37" s="18" t="str">
        <f>+Инвойс!D37</f>
        <v>АБДИЛАКИМОВ А.А</v>
      </c>
      <c r="E37" s="132"/>
      <c r="G37" s="129" t="s">
        <v>127</v>
      </c>
      <c r="H37" s="18" t="str">
        <f>Инвойс!G5</f>
        <v>ООО «Аспект»</v>
      </c>
      <c r="K37" s="133" t="s">
        <v>156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/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115</v>
      </c>
    </row>
    <row r="3" spans="1:10" ht="52.8" x14ac:dyDescent="0.25">
      <c r="A3" s="130" t="s">
        <v>126</v>
      </c>
    </row>
    <row r="5" spans="1:10" ht="92.4" x14ac:dyDescent="0.25">
      <c r="A5" s="126" t="s">
        <v>139</v>
      </c>
    </row>
    <row r="6" spans="1:10" x14ac:dyDescent="0.25">
      <c r="E6" s="18"/>
      <c r="J6" s="25"/>
    </row>
    <row r="7" spans="1:10" ht="52.8" x14ac:dyDescent="0.25">
      <c r="A7" s="126" t="s">
        <v>116</v>
      </c>
    </row>
    <row r="8" spans="1:10" x14ac:dyDescent="0.25">
      <c r="E8" s="18"/>
      <c r="J8" s="25"/>
    </row>
    <row r="9" spans="1:10" ht="52.8" x14ac:dyDescent="0.25">
      <c r="A9" s="126" t="s">
        <v>117</v>
      </c>
    </row>
    <row r="10" spans="1:10" x14ac:dyDescent="0.25">
      <c r="A10" s="126"/>
      <c r="E10" s="18"/>
      <c r="J10" s="25"/>
    </row>
    <row r="11" spans="1:10" ht="52.8" x14ac:dyDescent="0.25">
      <c r="A11" s="126" t="s">
        <v>157</v>
      </c>
    </row>
    <row r="12" spans="1:10" x14ac:dyDescent="0.25">
      <c r="E12" s="18"/>
      <c r="J12" s="25"/>
    </row>
    <row r="13" spans="1:10" ht="52.8" x14ac:dyDescent="0.25">
      <c r="A13" s="126" t="s">
        <v>118</v>
      </c>
    </row>
    <row r="15" spans="1:10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Инвойс!M32</f>
        <v>4298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девяносто восемь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45908</v>
      </c>
      <c r="O3" s="178"/>
      <c r="P3">
        <f ca="1">DAY(N3)</f>
        <v>8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Четыре тысячи двести девяносто восемь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8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девяносто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девяносто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девяносто восемь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45908</v>
      </c>
    </row>
    <row r="13" spans="1:19" s="43" customFormat="1" x14ac:dyDescent="0.25">
      <c r="A13" s="49"/>
      <c r="D13" s="51"/>
      <c r="E13" s="52">
        <f>TRUNC(E2)</f>
        <v>4298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4298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298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2025-09-08T08:04:55Z</cp:lastPrinted>
  <dcterms:created xsi:type="dcterms:W3CDTF">1996-10-14T23:33:28Z</dcterms:created>
  <dcterms:modified xsi:type="dcterms:W3CDTF">2025-09-08T08:05:19Z</dcterms:modified>
</cp:coreProperties>
</file>