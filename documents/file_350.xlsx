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18266D38-A7DB-4912-83D6-4BCDCD3028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" i="2" l="1"/>
  <c r="M32" i="2" s="1"/>
  <c r="J33" i="2" l="1"/>
  <c r="M33" i="2" s="1"/>
  <c r="J31" i="2"/>
  <c r="J30" i="2"/>
  <c r="D39" i="7"/>
  <c r="H39" i="7" l="1"/>
  <c r="I31" i="4" l="1"/>
  <c r="I32" i="4"/>
  <c r="I33" i="4"/>
  <c r="G31" i="4"/>
  <c r="G32" i="4"/>
  <c r="G33" i="4"/>
  <c r="F31" i="4"/>
  <c r="F32" i="4"/>
  <c r="F33" i="4"/>
  <c r="B31" i="4"/>
  <c r="C31" i="4"/>
  <c r="D31" i="4"/>
  <c r="B32" i="4"/>
  <c r="C32" i="4"/>
  <c r="D32" i="4"/>
  <c r="B33" i="4"/>
  <c r="C33" i="4"/>
  <c r="D33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3" i="7" l="1"/>
  <c r="C32" i="7"/>
  <c r="C31" i="7"/>
  <c r="C30" i="7"/>
  <c r="A31" i="7"/>
  <c r="B31" i="7"/>
  <c r="D31" i="7"/>
  <c r="E31" i="7"/>
  <c r="F31" i="7"/>
  <c r="G31" i="7"/>
  <c r="H31" i="7"/>
  <c r="I31" i="7"/>
  <c r="A32" i="7"/>
  <c r="B32" i="7"/>
  <c r="D32" i="7"/>
  <c r="E32" i="7"/>
  <c r="F32" i="7"/>
  <c r="G32" i="7"/>
  <c r="H32" i="7"/>
  <c r="I32" i="7"/>
  <c r="A33" i="7"/>
  <c r="B33" i="7"/>
  <c r="D33" i="7"/>
  <c r="E33" i="7"/>
  <c r="F33" i="7"/>
  <c r="G33" i="7"/>
  <c r="H33" i="7"/>
  <c r="I33" i="7"/>
  <c r="I30" i="7"/>
  <c r="H30" i="7"/>
  <c r="F30" i="7"/>
  <c r="G30" i="7"/>
  <c r="E30" i="7"/>
  <c r="D30" i="7"/>
  <c r="B30" i="7"/>
  <c r="A30" i="7"/>
  <c r="E26" i="7"/>
  <c r="C24" i="7"/>
  <c r="F1" i="7"/>
  <c r="G34" i="7" l="1"/>
  <c r="E34" i="7"/>
  <c r="H34" i="7" l="1"/>
  <c r="E34" i="2" l="1"/>
  <c r="G34" i="2" l="1"/>
  <c r="H34" i="2"/>
  <c r="G25" i="5"/>
  <c r="G23" i="5"/>
  <c r="G21" i="5"/>
  <c r="G19" i="5"/>
  <c r="J25" i="5"/>
  <c r="J23" i="5"/>
  <c r="J21" i="5"/>
  <c r="F25" i="5"/>
  <c r="F24" i="5"/>
  <c r="F23" i="5"/>
  <c r="F22" i="5"/>
  <c r="F21" i="5"/>
  <c r="F20" i="5"/>
  <c r="F19" i="5"/>
  <c r="F18" i="5"/>
  <c r="J19" i="5"/>
  <c r="G30" i="4"/>
  <c r="G20" i="5"/>
  <c r="G22" i="5"/>
  <c r="G24" i="5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2" i="7"/>
  <c r="M30" i="2" l="1"/>
  <c r="M30" i="7" s="1"/>
  <c r="J30" i="7"/>
  <c r="M31" i="2"/>
  <c r="M31" i="7" s="1"/>
  <c r="J31" i="7"/>
  <c r="M33" i="7"/>
  <c r="J33" i="7"/>
  <c r="J34" i="2"/>
  <c r="M32" i="7"/>
  <c r="S3" i="3"/>
  <c r="S4" i="3"/>
  <c r="P3" i="3"/>
  <c r="R3" i="3"/>
  <c r="Q3" i="3" l="1"/>
  <c r="K4" i="3" s="1"/>
  <c r="J34" i="7"/>
  <c r="M34" i="7"/>
  <c r="M34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5" i="2" l="1"/>
  <c r="E3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<sst xmlns="http://schemas.openxmlformats.org/spreadsheetml/2006/main" count="226" uniqueCount="166">
  <si>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</si>
  <si>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</si>
  <si>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</si>
  <si>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</si>
  <si>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</si>
  <si>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</si>
  <si>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</si>
  <si>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</si>
  <si>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</si>
  <si>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</si>
  <si>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</si>
  <si>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</si>
  <si>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</si>
  <si>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</si>
  <si>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</si>
  <si>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</si>
  <si>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</si>
  <si>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</si>
  <si>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</si>
  <si>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</si>
  <si>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</si>
  <si>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</si>
  <si>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</si>
  <si>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</si>
  <si>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</si>
  <si>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</si>
  <si>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</si>
  <si>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</si>
  <si>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</si>
  <si>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</si>
  <si>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</si>
  <si>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</si>
  <si>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</si>
  <si>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</si>
  <si>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</si>
  <si>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</si>
  <si>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</si>
  <si>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</si>
  <si>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</si>
  <si>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</si>
  <si>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</si>
  <si>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</si>
  <si>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</si>
  <si>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</si>
  <si>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</si>
  <si>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</si>
  <si>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</si>
  <si>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</si>
  <si>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</si>
  <si>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</si>
  <si>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</si>
  <si>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</si>
  <si>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</si>
  <si>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</si>
  <si>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</si>
  <si>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</si>
  <si>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</si>
  <si>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</si>
  <si>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</si>
  <si>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</si>
  <si>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</si>
  <si>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</si>
  <si>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</si>
  <si>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</si>
  <si>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</si>
  <si>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</si>
  <si>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</si>
  <si>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</si>
  <si>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</si>
  <si>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</si>
  <si>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</si>
  <si>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</si>
  <si>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</si>
  <si>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</si>
  <si>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</si>
  <si>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</si>
  <si>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</si>
  <si>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</si>
  <si>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</si>
  <si>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</si>
  <si>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</si>
  <si>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</si>
  <si>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</si>
  <si>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</si>
  <si>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</si>
  <si>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</si>
  <si>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</si>
  <si>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</si>
  <si>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</si>
  <si>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</si>
  <si>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</si>
  <si>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</si>
  <si>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</si>
  <si>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</si>
  <si>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</si>
  <si>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</si>
  <si>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</si>
  <si>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</si>
  <si>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</si>
  <si>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</si>
  <si>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</si>
  <si>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</si>
  <si>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</si>
  <si>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</si>
  <si>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</si>
  <si>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</si>
  <si>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</si>
  <si>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</si>
  <si>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</si>
  <si>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</si>
  <si>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</si>
  <si>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</si>
  <si>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</si>
  <si>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</si>
  <si>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</si>
  <si>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Перец горький свежий</t>
  </si>
  <si>
    <t>0709609900</t>
  </si>
  <si>
    <t>Перец стручковый сладкий свежий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</si>
  <si>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</si>
  <si>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</si>
  <si>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</si>
  <si>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</si>
  <si>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</si>
  <si>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</si>
  <si>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</si>
  <si>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</si>
  <si>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0709601003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</si>
  <si>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</si>
  <si>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</si>
  <si>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</si>
  <si>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</si>
  <si>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</si>
  <si>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</si>
  <si>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</si>
  <si>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</si>
  <si>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</si>
  <si>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</si>
  <si>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</si>
  <si>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</si>
  <si>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</si>
  <si>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</si>
  <si>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</si>
  <si>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</si>
  <si>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</si>
  <si>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</si>
  <si>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</si>
  <si>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</si>
  <si>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</si>
  <si>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</si>
  <si>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</si>
  <si>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</si>
  <si>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</si>
  <si>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</si>
  <si>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</si>
  <si>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</si>
  <si>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</si>
  <si>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</si>
  <si>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</si>
  <si>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</si>
  <si>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</si>
  <si>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</si>
  <si>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</si>
  <si>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EXG-F-34 от </t>
  </si>
  <si>
    <t xml:space="preserve"> 01.09.2025г.</t>
  </si>
  <si>
    <t xml:space="preserve">СПЕЦИФИКАЦИЯ № EXG-F-34 от </t>
  </si>
  <si>
    <t>50H000832/507723BA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</si>
</sst>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39</xdr:row>
      <xdr:rowOff>123262</xdr:rowOff>
    </xdr:from>
    <xdr:to>
      <xdr:col>3</xdr:col>
      <xdr:colOff>439882</xdr:colOff>
      <xdr:row>53</xdr:row>
      <xdr:rowOff>100852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39</xdr:row>
      <xdr:rowOff>78440</xdr:rowOff>
    </xdr:from>
    <xdr:to>
      <xdr:col>5</xdr:col>
      <xdr:colOff>179852</xdr:colOff>
      <xdr:row>42</xdr:row>
      <xdr:rowOff>173913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40</xdr:row>
      <xdr:rowOff>11205</xdr:rowOff>
    </xdr:from>
    <xdr:to>
      <xdr:col>2</xdr:col>
      <xdr:colOff>427079</xdr:colOff>
      <xdr:row>53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39</xdr:row>
      <xdr:rowOff>156882</xdr:rowOff>
    </xdr:from>
    <xdr:to>
      <xdr:col>4</xdr:col>
      <xdr:colOff>112618</xdr:colOff>
      <xdr:row>43</xdr:row>
      <xdr:rowOff>69476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39</xdr:row>
      <xdr:rowOff>44824</xdr:rowOff>
    </xdr:from>
    <xdr:to>
      <xdr:col>9</xdr:col>
      <xdr:colOff>578784</xdr:colOff>
      <xdr:row>50</xdr:row>
      <xdr:rowOff>128960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5"/>
  <sheetViews>
    <sheetView tabSelected="1" topLeftCell="A16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162</v>
      </c>
      <c r="D1" s="154"/>
      <c r="E1" s="154"/>
      <c r="F1" s="153" t="s">
        <v>163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150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151</v>
      </c>
      <c r="B5" s="155"/>
      <c r="C5" s="155"/>
      <c r="D5" s="155"/>
      <c r="E5" s="155"/>
      <c r="F5" s="6"/>
      <c r="G5" s="148" t="s">
        <v>142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152</v>
      </c>
      <c r="B6" s="142"/>
      <c r="C6" s="142"/>
      <c r="D6" s="142"/>
      <c r="E6" s="142"/>
      <c r="F6" s="7"/>
      <c r="G6" s="141" t="s">
        <v>143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153</v>
      </c>
      <c r="B7" s="142"/>
      <c r="C7" s="142"/>
      <c r="D7" s="142"/>
      <c r="E7" s="142"/>
      <c r="F7" s="63"/>
      <c r="G7" s="141" t="s">
        <v>144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154</v>
      </c>
      <c r="B8" s="8"/>
      <c r="C8" s="8"/>
      <c r="D8" s="8"/>
      <c r="E8" s="8"/>
      <c r="F8" s="63"/>
      <c r="G8" s="7" t="s">
        <v>145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155</v>
      </c>
      <c r="B9" s="8"/>
      <c r="C9" s="8"/>
      <c r="D9" s="8"/>
      <c r="E9" s="8"/>
      <c r="F9" s="7"/>
      <c r="G9" s="7" t="s">
        <v>146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156</v>
      </c>
      <c r="B10" s="124"/>
      <c r="C10" s="124"/>
      <c r="D10" s="124"/>
      <c r="E10" s="124"/>
      <c r="F10" s="7"/>
      <c r="G10" s="7" t="s">
        <v>141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157</v>
      </c>
      <c r="B11" s="8"/>
      <c r="C11" s="8"/>
      <c r="D11" s="8"/>
      <c r="E11" s="8"/>
      <c r="F11" s="7"/>
      <c r="G11" s="7" t="s">
        <v>147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158</v>
      </c>
      <c r="B12" s="8"/>
      <c r="C12" s="8"/>
      <c r="D12" s="8"/>
      <c r="E12" s="8"/>
      <c r="F12" s="7"/>
      <c r="G12" s="144" t="s">
        <v>148</v>
      </c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151</v>
      </c>
      <c r="B14" s="155"/>
      <c r="C14" s="155"/>
      <c r="D14" s="155"/>
      <c r="E14" s="155"/>
      <c r="F14" s="6"/>
      <c r="G14" s="148" t="s">
        <v>142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152</v>
      </c>
      <c r="B15" s="142"/>
      <c r="C15" s="142"/>
      <c r="D15" s="142"/>
      <c r="E15" s="142"/>
      <c r="F15" s="7"/>
      <c r="G15" s="141" t="s">
        <v>143</v>
      </c>
      <c r="H15" s="141"/>
      <c r="I15" s="141"/>
      <c r="J15" s="141"/>
      <c r="K15" s="141"/>
      <c r="L15" s="141"/>
      <c r="M15" s="141"/>
    </row>
    <row r="16" spans="1:15" ht="13.8" x14ac:dyDescent="0.25">
      <c r="A16" s="142" t="s">
        <v>153</v>
      </c>
      <c r="B16" s="142"/>
      <c r="C16" s="142"/>
      <c r="D16" s="142"/>
      <c r="E16" s="142"/>
      <c r="F16" s="63"/>
      <c r="G16" s="141" t="s">
        <v>144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154</v>
      </c>
      <c r="B17" s="8"/>
      <c r="C17" s="8"/>
      <c r="D17" s="8"/>
      <c r="E17" s="8"/>
      <c r="F17" s="63"/>
      <c r="G17" s="7" t="s">
        <v>145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155</v>
      </c>
      <c r="B18" s="8"/>
      <c r="C18" s="8"/>
      <c r="D18" s="8"/>
      <c r="E18" s="8"/>
      <c r="F18" s="7"/>
      <c r="G18" s="7" t="s">
        <v>146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156</v>
      </c>
      <c r="B19" s="124"/>
      <c r="C19" s="124"/>
      <c r="D19" s="124"/>
      <c r="E19" s="124"/>
      <c r="F19" s="7"/>
      <c r="G19" s="7" t="s">
        <v>141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157</v>
      </c>
      <c r="B20" s="8"/>
      <c r="C20" s="8"/>
      <c r="D20" s="8"/>
      <c r="E20" s="8"/>
      <c r="F20" s="7"/>
      <c r="G20" s="7" t="s">
        <v>147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158</v>
      </c>
      <c r="B21" s="8"/>
      <c r="C21" s="8"/>
      <c r="D21" s="8"/>
      <c r="E21" s="8"/>
      <c r="G21" s="144" t="s">
        <v>148</v>
      </c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8" t="s">
        <v>127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">
        <v>140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165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0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0" t="s">
        <v>12</v>
      </c>
      <c r="H29" s="110" t="s">
        <v>13</v>
      </c>
      <c r="I29" s="135"/>
      <c r="J29" s="111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25" t="s">
        <v>117</v>
      </c>
      <c r="C30" s="107" t="s">
        <v>126</v>
      </c>
      <c r="D30" s="109" t="s">
        <v>111</v>
      </c>
      <c r="E30" s="101">
        <v>1000</v>
      </c>
      <c r="F30" s="115" t="s">
        <v>27</v>
      </c>
      <c r="G30" s="106">
        <v>19000</v>
      </c>
      <c r="H30" s="106">
        <v>17500</v>
      </c>
      <c r="I30" s="108">
        <v>0.4</v>
      </c>
      <c r="J30" s="13">
        <f t="shared" ref="J30:J31" si="0">H30*I30</f>
        <v>7000</v>
      </c>
      <c r="K30" s="12">
        <v>0</v>
      </c>
      <c r="L30" s="12">
        <v>0</v>
      </c>
      <c r="M30" s="13">
        <f t="shared" ref="M30:M31" si="1">J30</f>
        <v>7000</v>
      </c>
      <c r="O30" s="100"/>
      <c r="Q30" s="100"/>
    </row>
    <row r="31" spans="1:17" ht="27.6" x14ac:dyDescent="0.25">
      <c r="A31" s="127">
        <v>2</v>
      </c>
      <c r="B31" s="125" t="s">
        <v>115</v>
      </c>
      <c r="C31" s="107" t="s">
        <v>116</v>
      </c>
      <c r="D31" s="109" t="s">
        <v>111</v>
      </c>
      <c r="E31" s="101">
        <v>100</v>
      </c>
      <c r="F31" s="115" t="s">
        <v>27</v>
      </c>
      <c r="G31" s="106">
        <v>800</v>
      </c>
      <c r="H31" s="106">
        <v>700</v>
      </c>
      <c r="I31" s="108">
        <v>1.05</v>
      </c>
      <c r="J31" s="13">
        <f t="shared" si="0"/>
        <v>735</v>
      </c>
      <c r="K31" s="12">
        <v>0</v>
      </c>
      <c r="L31" s="12">
        <v>0</v>
      </c>
      <c r="M31" s="13">
        <f t="shared" si="1"/>
        <v>735</v>
      </c>
      <c r="O31" s="100"/>
      <c r="Q31" s="100"/>
    </row>
    <row r="32" spans="1:17" ht="27.6" x14ac:dyDescent="0.25">
      <c r="A32" s="127">
        <v>3</v>
      </c>
      <c r="B32" s="125" t="s">
        <v>117</v>
      </c>
      <c r="C32" s="107" t="s">
        <v>126</v>
      </c>
      <c r="D32" s="109" t="s">
        <v>111</v>
      </c>
      <c r="E32" s="101">
        <v>100</v>
      </c>
      <c r="F32" s="115" t="s">
        <v>27</v>
      </c>
      <c r="G32" s="106">
        <v>1900</v>
      </c>
      <c r="H32" s="106">
        <v>1750</v>
      </c>
      <c r="I32" s="108">
        <v>0.4</v>
      </c>
      <c r="J32" s="13">
        <f t="shared" ref="J32:J33" si="2">H32*I32</f>
        <v>700</v>
      </c>
      <c r="K32" s="12">
        <v>0</v>
      </c>
      <c r="L32" s="12">
        <v>0</v>
      </c>
      <c r="M32" s="13">
        <f t="shared" ref="M32:M33" si="3">J32</f>
        <v>700</v>
      </c>
      <c r="O32" s="100"/>
      <c r="Q32" s="100"/>
    </row>
    <row r="33" spans="1:17" ht="27.6" x14ac:dyDescent="0.25">
      <c r="A33" s="127">
        <v>4</v>
      </c>
      <c r="B33" s="125" t="s">
        <v>115</v>
      </c>
      <c r="C33" s="107" t="s">
        <v>116</v>
      </c>
      <c r="D33" s="109" t="s">
        <v>111</v>
      </c>
      <c r="E33" s="101">
        <v>50</v>
      </c>
      <c r="F33" s="115" t="s">
        <v>27</v>
      </c>
      <c r="G33" s="106">
        <v>400</v>
      </c>
      <c r="H33" s="106">
        <v>350</v>
      </c>
      <c r="I33" s="108">
        <v>1.05</v>
      </c>
      <c r="J33" s="13">
        <f t="shared" si="2"/>
        <v>367.5</v>
      </c>
      <c r="K33" s="12">
        <v>0</v>
      </c>
      <c r="L33" s="12">
        <v>0</v>
      </c>
      <c r="M33" s="13">
        <f t="shared" si="3"/>
        <v>367.5</v>
      </c>
      <c r="O33" s="100"/>
      <c r="Q33" s="100"/>
    </row>
    <row r="34" spans="1:17" ht="13.8" x14ac:dyDescent="0.25">
      <c r="A34" s="151" t="s">
        <v>0</v>
      </c>
      <c r="B34" s="152"/>
      <c r="C34" s="14"/>
      <c r="D34" s="15"/>
      <c r="E34" s="64">
        <f>SUM(E30:E33)</f>
        <v>1250</v>
      </c>
      <c r="F34" s="15"/>
      <c r="G34" s="64">
        <f>SUM(G30:G33)</f>
        <v>22100</v>
      </c>
      <c r="H34" s="64">
        <f>SUM(H30:H33)</f>
        <v>20300</v>
      </c>
      <c r="I34" s="102"/>
      <c r="J34" s="17">
        <f>SUM(J30:J33)</f>
        <v>8802.5</v>
      </c>
      <c r="K34" s="16"/>
      <c r="L34" s="16"/>
      <c r="M34" s="17">
        <f>SUM(M30:M33)</f>
        <v>8802.5</v>
      </c>
      <c r="P34" s="66"/>
    </row>
    <row r="35" spans="1:17" ht="13.8" x14ac:dyDescent="0.3">
      <c r="A35" s="2" t="s">
        <v>17</v>
      </c>
      <c r="B35" s="3"/>
      <c r="C35" s="11"/>
      <c r="D35" s="11"/>
      <c r="E35" s="149" t="str">
        <f>Лист1!B3</f>
        <v>Восемь тысяч восемьсот два доллара США,50 центов.</v>
      </c>
      <c r="F35" s="150"/>
      <c r="G35" s="150"/>
      <c r="H35" s="150"/>
      <c r="I35" s="150"/>
      <c r="J35" s="150"/>
      <c r="K35" s="150"/>
      <c r="L35" s="150"/>
      <c r="M35" s="150"/>
    </row>
    <row r="36" spans="1:17" ht="20.25" customHeight="1" x14ac:dyDescent="0.25">
      <c r="A36" s="145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</row>
    <row r="37" spans="1:17" ht="25.5" customHeight="1" x14ac:dyDescent="0.25">
      <c r="A37" s="145" t="s">
        <v>109</v>
      </c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26"/>
    </row>
    <row r="39" spans="1:17" ht="13.8" x14ac:dyDescent="0.25">
      <c r="A39" s="7" t="s">
        <v>28</v>
      </c>
      <c r="B39" s="7"/>
      <c r="D39" s="25" t="s">
        <v>159</v>
      </c>
      <c r="E39" s="24"/>
    </row>
    <row r="40" spans="1:17" ht="13.8" x14ac:dyDescent="0.25">
      <c r="A40" s="7"/>
      <c r="B40" s="9"/>
    </row>
    <row r="41" spans="1:17" ht="13.8" x14ac:dyDescent="0.25">
      <c r="A41" s="7" t="s">
        <v>18</v>
      </c>
      <c r="B41" s="9"/>
    </row>
    <row r="42" spans="1:17" ht="13.8" x14ac:dyDescent="0.25">
      <c r="A42" s="7"/>
      <c r="B42" s="9"/>
    </row>
    <row r="43" spans="1:17" ht="13.8" x14ac:dyDescent="0.25">
      <c r="A43" s="7" t="s">
        <v>29</v>
      </c>
      <c r="B43" s="9"/>
    </row>
    <row r="44" spans="1:17" ht="13.8" x14ac:dyDescent="0.25">
      <c r="A44" s="8"/>
      <c r="B44" s="9"/>
    </row>
    <row r="45" spans="1:17" x14ac:dyDescent="0.25">
      <c r="A45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7:M37"/>
    <mergeCell ref="G15:M15"/>
    <mergeCell ref="G13:M13"/>
    <mergeCell ref="G14:M14"/>
    <mergeCell ref="E35:M35"/>
    <mergeCell ref="E28:E29"/>
    <mergeCell ref="C28:C29"/>
    <mergeCell ref="D28:D29"/>
    <mergeCell ref="A36:M36"/>
    <mergeCell ref="A34:B34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B25" sqref="B25:D25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133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01.09.2025г.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EXG-F-34 от  01.09.2025г.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Пласт. ящик</v>
      </c>
      <c r="E30" s="103"/>
      <c r="F30" s="103" t="str">
        <f>+Инвойс!B30</f>
        <v>Перец стручковый сладкий свежий</v>
      </c>
      <c r="G30" s="104" t="str">
        <f>+Инвойс!C30</f>
        <v>0709601003</v>
      </c>
      <c r="H30" s="103"/>
      <c r="I30" s="105">
        <f>+Инвойс!G30</f>
        <v>19000</v>
      </c>
    </row>
    <row r="31" spans="1:9" ht="9" customHeight="1" x14ac:dyDescent="0.2">
      <c r="A31" s="74"/>
      <c r="B31" s="103">
        <f>+Инвойс!A31</f>
        <v>2</v>
      </c>
      <c r="C31" s="103">
        <f>+Инвойс!E31</f>
        <v>100</v>
      </c>
      <c r="D31" s="103" t="str">
        <f>+Инвойс!D31</f>
        <v>Пласт. ящик</v>
      </c>
      <c r="E31" s="103"/>
      <c r="F31" s="103" t="str">
        <f>+Инвойс!B31</f>
        <v>Перец горький свежий</v>
      </c>
      <c r="G31" s="104" t="str">
        <f>+Инвойс!C31</f>
        <v>0709609900</v>
      </c>
      <c r="H31" s="103"/>
      <c r="I31" s="105">
        <f>+Инвойс!G31</f>
        <v>800</v>
      </c>
    </row>
    <row r="32" spans="1:9" ht="9" customHeight="1" x14ac:dyDescent="0.2">
      <c r="A32" s="74"/>
      <c r="B32" s="103">
        <f>+Инвойс!A32</f>
        <v>3</v>
      </c>
      <c r="C32" s="103">
        <f>+Инвойс!E32</f>
        <v>100</v>
      </c>
      <c r="D32" s="103" t="str">
        <f>+Инвойс!D32</f>
        <v>Пласт. ящик</v>
      </c>
      <c r="E32" s="103"/>
      <c r="F32" s="103" t="str">
        <f>+Инвойс!B32</f>
        <v>Перец стручковый сладкий свежий</v>
      </c>
      <c r="G32" s="104" t="str">
        <f>+Инвойс!C32</f>
        <v>0709601003</v>
      </c>
      <c r="H32" s="103"/>
      <c r="I32" s="105">
        <f>+Инвойс!G32</f>
        <v>1900</v>
      </c>
    </row>
    <row r="33" spans="1:9" ht="9" customHeight="1" x14ac:dyDescent="0.2">
      <c r="A33" s="74"/>
      <c r="B33" s="103">
        <f>+Инвойс!A33</f>
        <v>4</v>
      </c>
      <c r="C33" s="103">
        <f>+Инвойс!E33</f>
        <v>50</v>
      </c>
      <c r="D33" s="103" t="str">
        <f>+Инвойс!D33</f>
        <v>Пласт. ящик</v>
      </c>
      <c r="E33" s="103"/>
      <c r="F33" s="103" t="str">
        <f>+Инвойс!B33</f>
        <v>Перец горький свежий</v>
      </c>
      <c r="G33" s="104" t="str">
        <f>+Инвойс!C33</f>
        <v>0709609900</v>
      </c>
      <c r="H33" s="103"/>
      <c r="I33" s="105">
        <f>+Инвойс!G33</f>
        <v>400</v>
      </c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"ОМАС" 10610050 - т/п Омский 
644117, Омская обл., г. Омск, ул. 3-я Молодежная, д. 6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01.09.2025г.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50H000832/507723BA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B14" sqref="B14:G14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8" t="s">
        <v>96</v>
      </c>
      <c r="C2" s="168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9" t="str">
        <f>+Инвойс!E26</f>
        <v>50H000832/507723BA</v>
      </c>
      <c r="C14" s="169"/>
      <c r="D14" s="169"/>
      <c r="E14" s="169"/>
      <c r="F14" s="169"/>
      <c r="G14" s="169"/>
      <c r="H14" s="170" t="s">
        <v>107</v>
      </c>
      <c r="I14" s="170"/>
      <c r="J14" s="88" t="str">
        <f>+Инвойс!F1</f>
        <v xml:space="preserve"> 01.09.2025г.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EXG-F-34 от  01.09.2025г.</v>
      </c>
      <c r="I15" s="171"/>
      <c r="J15" s="171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1000</v>
      </c>
      <c r="G18" s="163" t="str">
        <f>+CMR!F30</f>
        <v>Перец стручковый сладкий свежий</v>
      </c>
      <c r="H18" s="163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Пласт. ящик</v>
      </c>
      <c r="G19" s="161" t="str">
        <f>+Инвойс!C30</f>
        <v>0709601003</v>
      </c>
      <c r="H19" s="162"/>
      <c r="I19" s="121" t="s">
        <v>103</v>
      </c>
      <c r="J19" s="119">
        <f>+Инвойс!G30</f>
        <v>19000</v>
      </c>
    </row>
    <row r="20" spans="2:10" ht="13.5" customHeight="1" x14ac:dyDescent="0.3">
      <c r="B20" s="83"/>
      <c r="E20" s="122"/>
      <c r="F20" s="117">
        <f>+Инвойс!E31</f>
        <v>100</v>
      </c>
      <c r="G20" s="163" t="str">
        <f>+CMR!F31</f>
        <v>Перец горький свежий</v>
      </c>
      <c r="H20" s="163"/>
      <c r="I20" s="118"/>
      <c r="J20" s="119"/>
    </row>
    <row r="21" spans="2:10" ht="13.5" customHeight="1" x14ac:dyDescent="0.3">
      <c r="B21" s="83" t="s">
        <v>104</v>
      </c>
      <c r="E21" s="122"/>
      <c r="F21" s="120" t="str">
        <f>+Инвойс!D31</f>
        <v>Пласт. ящик</v>
      </c>
      <c r="G21" s="161" t="str">
        <f>+Инвойс!C31</f>
        <v>0709609900</v>
      </c>
      <c r="H21" s="162"/>
      <c r="I21" s="121" t="s">
        <v>103</v>
      </c>
      <c r="J21" s="119">
        <f>+Инвойс!G31</f>
        <v>800</v>
      </c>
    </row>
    <row r="22" spans="2:10" ht="12.75" customHeight="1" x14ac:dyDescent="0.3">
      <c r="B22" s="83"/>
      <c r="E22" s="122"/>
      <c r="F22" s="117">
        <f>+Инвойс!E32</f>
        <v>100</v>
      </c>
      <c r="G22" s="163" t="str">
        <f>+CMR!F32</f>
        <v>Перец стручковый сладкий свежий</v>
      </c>
      <c r="H22" s="163"/>
      <c r="I22" s="118"/>
      <c r="J22" s="119"/>
    </row>
    <row r="23" spans="2:10" ht="14.25" customHeight="1" x14ac:dyDescent="0.3">
      <c r="B23" s="83"/>
      <c r="E23" s="122"/>
      <c r="F23" s="120" t="str">
        <f>+Инвойс!D32</f>
        <v>Пласт. ящик</v>
      </c>
      <c r="G23" s="161" t="str">
        <f>+Инвойс!C32</f>
        <v>0709601003</v>
      </c>
      <c r="H23" s="162"/>
      <c r="I23" s="121" t="s">
        <v>103</v>
      </c>
      <c r="J23" s="119">
        <f>+Инвойс!G32</f>
        <v>1900</v>
      </c>
    </row>
    <row r="24" spans="2:10" ht="12.75" customHeight="1" x14ac:dyDescent="0.3">
      <c r="B24" s="87"/>
      <c r="E24" s="122"/>
      <c r="F24" s="117">
        <f>+Инвойс!E33</f>
        <v>50</v>
      </c>
      <c r="G24" s="163" t="str">
        <f>+CMR!F33</f>
        <v>Перец горький свежий</v>
      </c>
      <c r="H24" s="163"/>
      <c r="I24" s="118"/>
      <c r="J24" s="119"/>
    </row>
    <row r="25" spans="2:10" ht="12.75" customHeight="1" x14ac:dyDescent="0.3">
      <c r="B25" s="87"/>
      <c r="E25" s="122"/>
      <c r="F25" s="120" t="str">
        <f>+Инвойс!D33</f>
        <v>Пласт. ящик</v>
      </c>
      <c r="G25" s="161" t="str">
        <f>+Инвойс!C33</f>
        <v>0709609900</v>
      </c>
      <c r="H25" s="162"/>
      <c r="I25" s="121" t="s">
        <v>103</v>
      </c>
      <c r="J25" s="119">
        <f>+Инвойс!G33</f>
        <v>400</v>
      </c>
    </row>
    <row r="26" spans="2:10" ht="12" customHeight="1" x14ac:dyDescent="0.3">
      <c r="B26" s="87"/>
      <c r="E26" s="122"/>
      <c r="F26" s="117"/>
      <c r="G26" s="163"/>
      <c r="H26" s="163"/>
      <c r="I26" s="118"/>
      <c r="J26" s="119"/>
    </row>
    <row r="27" spans="2:10" ht="14.25" customHeight="1" x14ac:dyDescent="0.3">
      <c r="B27" s="87"/>
      <c r="E27" s="122"/>
      <c r="F27" s="120"/>
      <c r="G27" s="161"/>
      <c r="H27" s="162"/>
      <c r="I27" s="121"/>
      <c r="J27" s="119"/>
    </row>
    <row r="28" spans="2:10" ht="12.75" customHeight="1" x14ac:dyDescent="0.3">
      <c r="B28" s="87"/>
      <c r="E28" s="122"/>
      <c r="F28" s="117"/>
      <c r="G28" s="163"/>
      <c r="H28" s="163"/>
      <c r="I28" s="118"/>
      <c r="J28" s="119"/>
    </row>
    <row r="29" spans="2:10" ht="12.75" customHeight="1" x14ac:dyDescent="0.3">
      <c r="B29" s="87"/>
      <c r="E29" s="122"/>
      <c r="F29" s="120"/>
      <c r="G29" s="161"/>
      <c r="H29" s="162"/>
      <c r="I29" s="121"/>
      <c r="J29" s="119"/>
    </row>
    <row r="30" spans="2:10" ht="12.75" customHeight="1" x14ac:dyDescent="0.3">
      <c r="B30" s="87"/>
      <c r="E30" s="122"/>
      <c r="F30" s="117"/>
      <c r="G30" s="163"/>
      <c r="H30" s="163"/>
      <c r="I30" s="118"/>
      <c r="J30" s="119"/>
    </row>
    <row r="31" spans="2:10" ht="13.5" customHeight="1" x14ac:dyDescent="0.3">
      <c r="B31" s="87"/>
      <c r="E31" s="122"/>
      <c r="F31" s="120"/>
      <c r="G31" s="161"/>
      <c r="H31" s="162"/>
      <c r="I31" s="121"/>
      <c r="J31" s="119"/>
    </row>
    <row r="32" spans="2:10" ht="13.5" customHeight="1" x14ac:dyDescent="0.3">
      <c r="B32" s="87"/>
      <c r="E32" s="122"/>
      <c r="F32" s="117"/>
      <c r="G32" s="163"/>
      <c r="H32" s="163"/>
      <c r="I32" s="118"/>
      <c r="J32" s="119"/>
    </row>
    <row r="33" spans="2:10" ht="13.5" customHeight="1" x14ac:dyDescent="0.3">
      <c r="B33" s="87"/>
      <c r="E33" s="122"/>
      <c r="F33" s="120"/>
      <c r="G33" s="161"/>
      <c r="H33" s="162"/>
      <c r="I33" s="121"/>
      <c r="J33" s="119"/>
    </row>
    <row r="34" spans="2:10" ht="13.5" customHeight="1" x14ac:dyDescent="0.3">
      <c r="B34" s="87"/>
      <c r="E34" s="122"/>
      <c r="F34" s="117"/>
      <c r="G34" s="163"/>
      <c r="H34" s="163"/>
      <c r="I34" s="118"/>
      <c r="J34" s="119"/>
    </row>
    <row r="35" spans="2:10" ht="12.75" customHeight="1" x14ac:dyDescent="0.3">
      <c r="B35" s="87"/>
      <c r="E35" s="122"/>
      <c r="F35" s="120"/>
      <c r="G35" s="161"/>
      <c r="H35" s="162"/>
      <c r="I35" s="121"/>
      <c r="J35" s="119"/>
    </row>
    <row r="36" spans="2:10" x14ac:dyDescent="0.3">
      <c r="B36" s="87"/>
      <c r="E36" s="122"/>
      <c r="F36" s="117"/>
      <c r="G36" s="163"/>
      <c r="H36" s="163"/>
      <c r="I36" s="118"/>
      <c r="J36" s="119"/>
    </row>
    <row r="37" spans="2:10" ht="13.5" customHeight="1" x14ac:dyDescent="0.3">
      <c r="B37" s="87"/>
      <c r="E37" s="122"/>
      <c r="F37" s="120"/>
      <c r="G37" s="161"/>
      <c r="H37" s="162"/>
      <c r="I37" s="121"/>
      <c r="J37" s="119"/>
    </row>
    <row r="38" spans="2:10" x14ac:dyDescent="0.3">
      <c r="B38" s="87"/>
      <c r="E38" s="122"/>
      <c r="F38" s="117"/>
      <c r="G38" s="163"/>
      <c r="H38" s="163"/>
      <c r="I38" s="118"/>
      <c r="J38" s="119"/>
    </row>
    <row r="39" spans="2:10" ht="13.5" customHeight="1" x14ac:dyDescent="0.3">
      <c r="B39" s="87"/>
      <c r="E39" s="122"/>
      <c r="F39" s="120"/>
      <c r="G39" s="161"/>
      <c r="H39" s="162"/>
      <c r="I39" s="121"/>
      <c r="J39" s="119"/>
    </row>
    <row r="40" spans="2:10" ht="14.25" hidden="1" customHeight="1" x14ac:dyDescent="0.3">
      <c r="B40" s="87"/>
      <c r="E40" s="122"/>
      <c r="F40" s="117"/>
      <c r="G40" s="163"/>
      <c r="H40" s="163"/>
      <c r="I40" s="118"/>
      <c r="J40" s="119"/>
    </row>
    <row r="41" spans="2:10" ht="14.25" hidden="1" customHeight="1" x14ac:dyDescent="0.3">
      <c r="B41" s="87"/>
      <c r="E41" s="122"/>
      <c r="F41" s="120"/>
      <c r="G41" s="161"/>
      <c r="H41" s="162"/>
      <c r="I41" s="121"/>
      <c r="J41" s="119"/>
    </row>
    <row r="42" spans="2:10" hidden="1" x14ac:dyDescent="0.3">
      <c r="B42" s="87"/>
      <c r="E42" s="122"/>
      <c r="F42" s="117"/>
      <c r="G42" s="163"/>
      <c r="H42" s="163"/>
      <c r="I42" s="118"/>
      <c r="J42" s="119"/>
    </row>
    <row r="43" spans="2:10" x14ac:dyDescent="0.3">
      <c r="B43" s="87"/>
      <c r="E43" s="122"/>
      <c r="F43" s="120"/>
      <c r="G43" s="161"/>
      <c r="H43" s="162"/>
      <c r="I43" s="121"/>
      <c r="J43" s="119"/>
    </row>
    <row r="44" spans="2:10" ht="9" customHeight="1" x14ac:dyDescent="0.3">
      <c r="B44" s="87"/>
      <c r="E44" s="95"/>
      <c r="F44" s="92"/>
      <c r="G44" s="165"/>
      <c r="H44" s="165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1250</v>
      </c>
      <c r="E47" s="167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5"/>
  <sheetViews>
    <sheetView topLeftCell="A6" zoomScale="70" zoomScaleNormal="70" workbookViewId="0">
      <selection activeCell="A34" sqref="A34:XFD6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164</v>
      </c>
      <c r="C1" s="172"/>
      <c r="D1" s="172"/>
      <c r="E1" s="172"/>
      <c r="F1" s="153" t="str">
        <f>+Инвойс!F1</f>
        <v xml:space="preserve"> 01.09.2025г.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GR-EX-01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OOO “EXACT GROUP”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43" t="str">
        <f>+Инвойс!A6</f>
        <v>РЕСПУБЛИКА УЗБЕКИСТАН. СУРХАНДАРЬИНСКАЯ ОБЛАСТЬ,</v>
      </c>
      <c r="B6" s="143"/>
      <c r="C6" s="143"/>
      <c r="D6" s="143"/>
      <c r="E6" s="143"/>
      <c r="F6" s="7"/>
      <c r="G6" s="173" t="str">
        <f>+Инвойс!G6</f>
        <v xml:space="preserve">454106, ЧЕЛЯБИНСКАЯ ОБЛАСТЬ, Г ЧЕЛЯБИНСК, </v>
      </c>
      <c r="H6" s="173"/>
      <c r="I6" s="173"/>
      <c r="J6" s="173"/>
      <c r="K6" s="173"/>
      <c r="L6" s="173"/>
      <c r="M6" s="173"/>
      <c r="N6" s="4"/>
    </row>
    <row r="7" spans="1:15" ht="13.8" x14ac:dyDescent="0.25">
      <c r="A7" s="143" t="str">
        <f>+Инвойс!A7</f>
        <v>ШЕРАБАДСКИЙ РАЙОН, МФЙ «БАХОР», УЛИЦА ШЕРЖАН, ДОМ 19Б</v>
      </c>
      <c r="B7" s="143"/>
      <c r="C7" s="143"/>
      <c r="D7" s="143"/>
      <c r="E7" s="143"/>
      <c r="F7" s="63"/>
      <c r="G7" s="173" t="str">
        <f>+Инвойс!G7</f>
        <v>УЛ ОСТРОВСКОГО, Д. 36, КВ. 176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3" t="str">
        <f>+Инвойс!A8</f>
        <v>в АКБ“KAPITAL BANK”  МФО: 01158  Swift: KACHUZ22</v>
      </c>
      <c r="B8" s="143"/>
      <c r="C8" s="143"/>
      <c r="D8" s="143"/>
      <c r="E8" s="143"/>
      <c r="F8" s="63"/>
      <c r="G8" s="173" t="str">
        <f>+Инвойс!G8</f>
        <v>ИНН/ КПП 7448223299 / 744801001</v>
      </c>
      <c r="H8" s="173"/>
      <c r="I8" s="173"/>
      <c r="J8" s="173"/>
      <c r="K8" s="173"/>
      <c r="L8" s="173"/>
      <c r="M8" s="173"/>
    </row>
    <row r="9" spans="1:15" ht="13.8" x14ac:dyDescent="0.25">
      <c r="A9" s="143" t="str">
        <f>+Инвойс!A9</f>
        <v>Доллар США: 20208840607280925001</v>
      </c>
      <c r="B9" s="143"/>
      <c r="C9" s="143"/>
      <c r="D9" s="143"/>
      <c r="E9" s="143"/>
      <c r="F9" s="7"/>
      <c r="G9" s="173" t="str">
        <f>+Инвойс!G9</f>
        <v>р/с 40702810000000024357</v>
      </c>
      <c r="H9" s="173"/>
      <c r="I9" s="173"/>
      <c r="J9" s="173"/>
      <c r="K9" s="173"/>
      <c r="L9" s="173"/>
      <c r="M9" s="173"/>
      <c r="O9" s="7"/>
    </row>
    <row r="10" spans="1:15" ht="13.8" x14ac:dyDescent="0.25">
      <c r="A10" s="143" t="str">
        <f>+Инвойс!A10</f>
        <v>Корреспондирующий банк (RUB): АКБ "Азия Инвест Банк" (АО) :</v>
      </c>
      <c r="B10" s="143"/>
      <c r="C10" s="143"/>
      <c r="D10" s="143"/>
      <c r="E10" s="143"/>
      <c r="F10" s="7"/>
      <c r="G10" s="173" t="str">
        <f>+Инвойс!G10</f>
        <v>Корр. счет: 30101810445250000234</v>
      </c>
      <c r="H10" s="173"/>
      <c r="I10" s="173"/>
      <c r="J10" s="173"/>
      <c r="K10" s="173"/>
      <c r="L10" s="173"/>
      <c r="M10" s="173"/>
    </row>
    <row r="11" spans="1:15" ht="13.8" x14ac:dyDescent="0.25">
      <c r="A11" s="143" t="str">
        <f>+Инвойс!A11</f>
        <v>SWIFT:ASIJRUMM / БИК 044525234,</v>
      </c>
      <c r="B11" s="143"/>
      <c r="C11" s="143"/>
      <c r="D11" s="143"/>
      <c r="E11" s="143"/>
      <c r="F11" s="7"/>
      <c r="G11" s="173" t="str">
        <f>+Инвойс!G11</f>
        <v>Азия-Инвест Банк (АО) г. Москва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OOO “EXACT GROUP”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tr">
        <f>+Инвойс!A15</f>
        <v>РЕСПУБЛИКА УЗБЕКИСТАН. СУРХАНДАРЬИНСКАЯ ОБЛАСТЬ,</v>
      </c>
      <c r="B15" s="143"/>
      <c r="C15" s="143"/>
      <c r="D15" s="143"/>
      <c r="E15" s="143"/>
      <c r="F15" s="7"/>
      <c r="G15" s="173" t="str">
        <f>+Инвойс!G15</f>
        <v xml:space="preserve">454106, ЧЕЛЯБИНСКАЯ ОБЛАСТЬ, Г ЧЕЛЯБИНСК, </v>
      </c>
      <c r="H15" s="173"/>
      <c r="I15" s="173"/>
      <c r="J15" s="173"/>
      <c r="K15" s="173"/>
      <c r="L15" s="173"/>
      <c r="M15" s="173"/>
    </row>
    <row r="16" spans="1:15" ht="13.8" x14ac:dyDescent="0.25">
      <c r="A16" s="143" t="str">
        <f>+Инвойс!A16</f>
        <v>ШЕРАБАДСКИЙ РАЙОН, МФЙ «БАХОР», УЛИЦА ШЕРЖАН, ДОМ 19Б</v>
      </c>
      <c r="B16" s="143"/>
      <c r="C16" s="143"/>
      <c r="D16" s="143"/>
      <c r="E16" s="143"/>
      <c r="F16" s="63"/>
      <c r="G16" s="173" t="str">
        <f>+Инвойс!G16</f>
        <v>УЛ ОСТРОВСКОГО, Д. 36, КВ. 176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43" t="str">
        <f>+Инвойс!A17</f>
        <v>в АКБ“KAPITAL BANK”  МФО: 01158  Swift: KACHUZ22</v>
      </c>
      <c r="B17" s="143"/>
      <c r="C17" s="143"/>
      <c r="D17" s="143"/>
      <c r="E17" s="143"/>
      <c r="F17" s="63"/>
      <c r="G17" s="173" t="str">
        <f>+Инвойс!G17</f>
        <v>ИНН/ КПП 7448223299 / 744801001</v>
      </c>
      <c r="H17" s="173"/>
      <c r="I17" s="173"/>
      <c r="J17" s="173"/>
      <c r="K17" s="173"/>
      <c r="L17" s="173"/>
      <c r="M17" s="173"/>
    </row>
    <row r="18" spans="1:17" ht="13.8" x14ac:dyDescent="0.25">
      <c r="A18" s="143" t="str">
        <f>+Инвойс!A18</f>
        <v>Доллар США: 20208840607280925001</v>
      </c>
      <c r="B18" s="143"/>
      <c r="C18" s="143"/>
      <c r="D18" s="143"/>
      <c r="E18" s="143"/>
      <c r="F18" s="7"/>
      <c r="G18" s="173" t="str">
        <f>+Инвойс!G18</f>
        <v>р/с 40702810000000024357</v>
      </c>
      <c r="H18" s="173"/>
      <c r="I18" s="173"/>
      <c r="J18" s="173"/>
      <c r="K18" s="173"/>
      <c r="L18" s="173"/>
      <c r="M18" s="173"/>
    </row>
    <row r="19" spans="1:17" ht="13.8" x14ac:dyDescent="0.25">
      <c r="A19" s="143" t="str">
        <f>+Инвойс!A19</f>
        <v>Корреспондирующий банк (RUB): АКБ "Азия Инвест Банк" (АО) :</v>
      </c>
      <c r="B19" s="143"/>
      <c r="C19" s="143"/>
      <c r="D19" s="143"/>
      <c r="E19" s="143"/>
      <c r="F19" s="7"/>
      <c r="G19" s="173" t="str">
        <f>+Инвойс!G19</f>
        <v>Корр. счет: 30101810445250000234</v>
      </c>
      <c r="H19" s="173"/>
      <c r="I19" s="173"/>
      <c r="J19" s="173"/>
      <c r="K19" s="173"/>
      <c r="L19" s="173"/>
      <c r="M19" s="173"/>
    </row>
    <row r="20" spans="1:17" ht="13.8" x14ac:dyDescent="0.25">
      <c r="A20" s="143" t="str">
        <f>+Инвойс!A20</f>
        <v>SWIFT:ASIJRUMM / БИК 044525234,</v>
      </c>
      <c r="B20" s="143"/>
      <c r="C20" s="143"/>
      <c r="D20" s="143"/>
      <c r="E20" s="143"/>
      <c r="F20" s="7"/>
      <c r="G20" s="173" t="str">
        <f>+Инвойс!G20</f>
        <v>Азия-Инвест Банк (АО) г. Москва</v>
      </c>
      <c r="H20" s="173"/>
      <c r="I20" s="173"/>
      <c r="J20" s="173"/>
      <c r="K20" s="173"/>
      <c r="L20" s="173"/>
      <c r="M20" s="173"/>
    </row>
    <row r="21" spans="1:17" ht="13.8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3">
      <c r="A22" s="1" t="s">
        <v>128</v>
      </c>
      <c r="C22" s="65"/>
      <c r="F22" s="1"/>
    </row>
    <row r="23" spans="1:17" ht="26.25" hidden="1" customHeight="1" x14ac:dyDescent="0.25">
      <c r="A23" s="69" t="s">
        <v>87</v>
      </c>
      <c r="B23" s="68"/>
      <c r="C23" s="174" t="s">
        <v>118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50H000832/507723BA</v>
      </c>
      <c r="F26" s="140"/>
      <c r="G26" s="140"/>
      <c r="J26" s="21"/>
    </row>
    <row r="27" spans="1:17" ht="34.5" customHeight="1" x14ac:dyDescent="0.25">
      <c r="A27" s="67" t="s">
        <v>129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0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0" t="s">
        <v>12</v>
      </c>
      <c r="H29" s="110" t="s">
        <v>13</v>
      </c>
      <c r="I29" s="135"/>
      <c r="J29" s="111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f>+Инвойс!A30</f>
        <v>1</v>
      </c>
      <c r="B30" s="101" t="str">
        <f>+Инвойс!B30</f>
        <v>Перец стручковый сладкий свежий</v>
      </c>
      <c r="C30" s="107" t="str">
        <f>+Инвойс!C30</f>
        <v>0709601003</v>
      </c>
      <c r="D30" s="114" t="str">
        <f>+Инвойс!D30</f>
        <v>Пласт. ящик</v>
      </c>
      <c r="E30" s="101">
        <f>+Инвойс!E30</f>
        <v>1000</v>
      </c>
      <c r="F30" s="115" t="str">
        <f>+Инвойс!F30</f>
        <v>кг</v>
      </c>
      <c r="G30" s="106">
        <f>+Инвойс!G30</f>
        <v>19000</v>
      </c>
      <c r="H30" s="106">
        <f>+Инвойс!H30</f>
        <v>17500</v>
      </c>
      <c r="I30" s="108">
        <f>+Инвойс!I30</f>
        <v>0.4</v>
      </c>
      <c r="J30" s="13">
        <f>+Инвойс!J30</f>
        <v>7000</v>
      </c>
      <c r="K30" s="12">
        <v>0</v>
      </c>
      <c r="L30" s="12">
        <v>0</v>
      </c>
      <c r="M30" s="13">
        <f>+Инвойс!M30</f>
        <v>7000</v>
      </c>
      <c r="O30" s="100"/>
      <c r="Q30" s="100"/>
    </row>
    <row r="31" spans="1:17" ht="13.8" x14ac:dyDescent="0.25">
      <c r="A31" s="127">
        <f>+Инвойс!A31</f>
        <v>2</v>
      </c>
      <c r="B31" s="101" t="str">
        <f>+Инвойс!B31</f>
        <v>Перец горький свежий</v>
      </c>
      <c r="C31" s="107" t="str">
        <f>+Инвойс!C31</f>
        <v>0709609900</v>
      </c>
      <c r="D31" s="114" t="str">
        <f>+Инвойс!D31</f>
        <v>Пласт. ящик</v>
      </c>
      <c r="E31" s="101">
        <f>+Инвойс!E31</f>
        <v>100</v>
      </c>
      <c r="F31" s="115" t="str">
        <f>+Инвойс!F31</f>
        <v>кг</v>
      </c>
      <c r="G31" s="106">
        <f>+Инвойс!G31</f>
        <v>800</v>
      </c>
      <c r="H31" s="106">
        <f>+Инвойс!H31</f>
        <v>700</v>
      </c>
      <c r="I31" s="108">
        <f>+Инвойс!I31</f>
        <v>1.05</v>
      </c>
      <c r="J31" s="13">
        <f>+Инвойс!J31</f>
        <v>735</v>
      </c>
      <c r="K31" s="12">
        <v>0</v>
      </c>
      <c r="L31" s="12">
        <v>0</v>
      </c>
      <c r="M31" s="13">
        <f>+Инвойс!M31</f>
        <v>735</v>
      </c>
      <c r="O31" s="100"/>
      <c r="Q31" s="100"/>
    </row>
    <row r="32" spans="1:17" ht="27.6" x14ac:dyDescent="0.25">
      <c r="A32" s="127">
        <f>+Инвойс!A32</f>
        <v>3</v>
      </c>
      <c r="B32" s="101" t="str">
        <f>+Инвойс!B32</f>
        <v>Перец стручковый сладкий свежий</v>
      </c>
      <c r="C32" s="107" t="str">
        <f>+Инвойс!C32</f>
        <v>0709601003</v>
      </c>
      <c r="D32" s="114" t="str">
        <f>+Инвойс!D32</f>
        <v>Пласт. ящик</v>
      </c>
      <c r="E32" s="101">
        <f>+Инвойс!E32</f>
        <v>100</v>
      </c>
      <c r="F32" s="115" t="str">
        <f>+Инвойс!F32</f>
        <v>кг</v>
      </c>
      <c r="G32" s="106">
        <f>+Инвойс!G32</f>
        <v>1900</v>
      </c>
      <c r="H32" s="106">
        <f>+Инвойс!H32</f>
        <v>1750</v>
      </c>
      <c r="I32" s="108">
        <f>+Инвойс!I32</f>
        <v>0.4</v>
      </c>
      <c r="J32" s="13">
        <f>+Инвойс!J32</f>
        <v>700</v>
      </c>
      <c r="K32" s="12">
        <v>0</v>
      </c>
      <c r="L32" s="12">
        <v>0</v>
      </c>
      <c r="M32" s="13">
        <f>+Инвойс!M32</f>
        <v>700</v>
      </c>
      <c r="O32" s="100"/>
      <c r="Q32" s="100"/>
    </row>
    <row r="33" spans="1:17" ht="13.8" x14ac:dyDescent="0.25">
      <c r="A33" s="127">
        <f>+Инвойс!A33</f>
        <v>4</v>
      </c>
      <c r="B33" s="101" t="str">
        <f>+Инвойс!B33</f>
        <v>Перец горький свежий</v>
      </c>
      <c r="C33" s="107" t="str">
        <f>+Инвойс!C33</f>
        <v>0709609900</v>
      </c>
      <c r="D33" s="114" t="str">
        <f>+Инвойс!D33</f>
        <v>Пласт. ящик</v>
      </c>
      <c r="E33" s="101">
        <f>+Инвойс!E33</f>
        <v>50</v>
      </c>
      <c r="F33" s="115" t="str">
        <f>+Инвойс!F33</f>
        <v>кг</v>
      </c>
      <c r="G33" s="106">
        <f>+Инвойс!G33</f>
        <v>400</v>
      </c>
      <c r="H33" s="106">
        <f>+Инвойс!H33</f>
        <v>350</v>
      </c>
      <c r="I33" s="108">
        <f>+Инвойс!I33</f>
        <v>1.05</v>
      </c>
      <c r="J33" s="13">
        <f>+Инвойс!J33</f>
        <v>367.5</v>
      </c>
      <c r="K33" s="12">
        <v>0</v>
      </c>
      <c r="L33" s="12">
        <v>0</v>
      </c>
      <c r="M33" s="13">
        <f>+Инвойс!M33</f>
        <v>367.5</v>
      </c>
      <c r="O33" s="100"/>
      <c r="Q33" s="100"/>
    </row>
    <row r="34" spans="1:17" ht="13.8" x14ac:dyDescent="0.25">
      <c r="A34" s="151" t="s">
        <v>0</v>
      </c>
      <c r="B34" s="152"/>
      <c r="C34" s="14"/>
      <c r="D34" s="15"/>
      <c r="E34" s="64">
        <f>SUM(E30:E33)</f>
        <v>1250</v>
      </c>
      <c r="F34" s="15"/>
      <c r="G34" s="64">
        <f>SUM(G30:G33)</f>
        <v>22100</v>
      </c>
      <c r="H34" s="64">
        <f>SUM(H30:H33)</f>
        <v>20300</v>
      </c>
      <c r="I34" s="102"/>
      <c r="J34" s="17">
        <f>SUM(J30:J33)</f>
        <v>8802.5</v>
      </c>
      <c r="K34" s="16"/>
      <c r="L34" s="16"/>
      <c r="M34" s="17">
        <f>SUM(M30:M33)</f>
        <v>8802.5</v>
      </c>
      <c r="P34" s="66"/>
    </row>
    <row r="35" spans="1:17" ht="13.8" x14ac:dyDescent="0.3">
      <c r="A35" s="2" t="s">
        <v>17</v>
      </c>
      <c r="B35" s="3"/>
      <c r="C35" s="11"/>
      <c r="D35" s="11"/>
      <c r="E35" s="149" t="str">
        <f>Лист1!B3</f>
        <v>Восемь тысяч восемьсот два доллара США,50 центов.</v>
      </c>
      <c r="F35" s="150"/>
      <c r="G35" s="150"/>
      <c r="H35" s="150"/>
      <c r="I35" s="150"/>
      <c r="J35" s="150"/>
      <c r="K35" s="150"/>
      <c r="L35" s="150"/>
      <c r="M35" s="150"/>
    </row>
    <row r="36" spans="1:17" ht="20.25" customHeight="1" x14ac:dyDescent="0.25">
      <c r="A36" s="145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</row>
    <row r="37" spans="1:17" ht="25.5" customHeight="1" x14ac:dyDescent="0.25">
      <c r="A37" s="145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26"/>
    </row>
    <row r="39" spans="1:17" s="18" customFormat="1" ht="15.6" x14ac:dyDescent="0.3">
      <c r="A39" s="131" t="s">
        <v>160</v>
      </c>
      <c r="B39" s="131"/>
      <c r="D39" s="18" t="str">
        <f>+Инвойс!D39</f>
        <v>АБДИЛАКИМОВ А.А</v>
      </c>
      <c r="E39" s="132"/>
      <c r="G39" s="129" t="s">
        <v>132</v>
      </c>
      <c r="H39" s="18" t="str">
        <f>Инвойс!G5</f>
        <v>ООО «ГРИН ВОРЛД»</v>
      </c>
      <c r="K39" s="133" t="s">
        <v>149</v>
      </c>
    </row>
    <row r="40" spans="1:17" ht="13.8" x14ac:dyDescent="0.25">
      <c r="A40" s="7"/>
      <c r="B40" s="9"/>
    </row>
    <row r="41" spans="1:17" ht="13.8" x14ac:dyDescent="0.25">
      <c r="A41" s="7"/>
      <c r="B41" s="9"/>
    </row>
    <row r="42" spans="1:17" ht="13.8" x14ac:dyDescent="0.25">
      <c r="A42" s="7"/>
      <c r="B42" s="9"/>
    </row>
    <row r="43" spans="1:17" ht="13.8" x14ac:dyDescent="0.25">
      <c r="A43" s="7"/>
      <c r="B43" s="9"/>
    </row>
    <row r="44" spans="1:17" ht="13.8" x14ac:dyDescent="0.25">
      <c r="A44" s="8"/>
      <c r="B44" s="9"/>
    </row>
    <row r="45" spans="1:17" x14ac:dyDescent="0.25">
      <c r="A45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6:M36"/>
    <mergeCell ref="A37:M37"/>
    <mergeCell ref="G28:H28"/>
    <mergeCell ref="I28:I29"/>
    <mergeCell ref="K28:L28"/>
    <mergeCell ref="M28:M29"/>
    <mergeCell ref="A34:B34"/>
    <mergeCell ref="E35:M35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5" zoomScale="85" zoomScaleNormal="85" workbookViewId="0">
      <selection activeCell="E8" sqref="E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119</v>
      </c>
    </row>
    <row r="3" spans="1:10" ht="52.8" x14ac:dyDescent="0.25">
      <c r="A3" s="130" t="s">
        <v>130</v>
      </c>
    </row>
    <row r="5" spans="1:10" ht="39.6" x14ac:dyDescent="0.25">
      <c r="A5" s="126" t="s">
        <v>120</v>
      </c>
    </row>
    <row r="6" spans="1:10" x14ac:dyDescent="0.25">
      <c r="E6" s="18" t="s">
        <v>131</v>
      </c>
      <c r="J6" s="25" t="s">
        <v>134</v>
      </c>
    </row>
    <row r="7" spans="1:10" ht="52.8" x14ac:dyDescent="0.25">
      <c r="A7" s="126" t="s">
        <v>121</v>
      </c>
    </row>
    <row r="8" spans="1:10" x14ac:dyDescent="0.25">
      <c r="E8" s="18" t="s">
        <v>140</v>
      </c>
      <c r="J8" s="25" t="s">
        <v>135</v>
      </c>
    </row>
    <row r="9" spans="1:10" ht="52.8" x14ac:dyDescent="0.25">
      <c r="A9" s="126" t="s">
        <v>122</v>
      </c>
    </row>
    <row r="10" spans="1:10" x14ac:dyDescent="0.25">
      <c r="A10" s="126"/>
      <c r="E10" s="18" t="s">
        <v>136</v>
      </c>
      <c r="J10" s="25" t="s">
        <v>137</v>
      </c>
    </row>
    <row r="11" spans="1:10" ht="52.8" x14ac:dyDescent="0.25">
      <c r="A11" s="126" t="s">
        <v>161</v>
      </c>
    </row>
    <row r="12" spans="1:10" x14ac:dyDescent="0.25">
      <c r="E12" s="18" t="s">
        <v>138</v>
      </c>
      <c r="J12" s="25" t="s">
        <v>139</v>
      </c>
    </row>
    <row r="13" spans="1:10" ht="52.8" x14ac:dyDescent="0.25">
      <c r="A13" s="126" t="s">
        <v>123</v>
      </c>
    </row>
    <row r="15" spans="1:10" ht="39.6" x14ac:dyDescent="0.25">
      <c r="A15" s="126" t="s">
        <v>124</v>
      </c>
    </row>
    <row r="17" spans="1:1" ht="39.6" x14ac:dyDescent="0.25">
      <c r="A17" s="126" t="s">
        <v>125</v>
      </c>
    </row>
    <row r="19" spans="1:1" ht="39.6" x14ac:dyDescent="0.25">
      <c r="A19" s="128" t="s">
        <v>127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Инвойс!M34</f>
        <v>8802.5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Восемь тысяч восемьсот два доллара США,50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45901</v>
      </c>
      <c r="O3" s="178"/>
      <c r="P3">
        <f ca="1">DAY(N3)</f>
        <v>1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Восемь тысяч восемьсот два доллара США,50 центов. (в т.ч. НДС - 357,79)</v>
      </c>
      <c r="H4" s="32"/>
      <c r="I4" s="32"/>
      <c r="J4" s="32"/>
      <c r="K4" s="179" t="str">
        <f ca="1">CONCATENATE(" «  ",P3,"  »  ",Q3,"  ",R3," г.")</f>
        <v xml:space="preserve"> «  1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восемь тысяч восемьсот два доллара США,50 центов.</v>
      </c>
    </row>
    <row r="6" spans="1:19" s="36" customFormat="1" x14ac:dyDescent="0.25">
      <c r="A6" s="38" t="s">
        <v>37</v>
      </c>
      <c r="B6" s="36" t="str">
        <f>CONCATENATE(A8,A9,A10,A11,A12,B8,B9,C9)</f>
        <v>восемь тысяч восемьсот два доллара США,50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226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в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восемь тысяч </v>
      </c>
      <c r="D10" s="47"/>
      <c r="E10" s="48"/>
      <c r="F10" s="41" t="str">
        <f>PROPER(F9)</f>
        <v>В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восемьсот два доллара США,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45901</v>
      </c>
    </row>
    <row r="13" spans="1:19" s="43" customFormat="1" x14ac:dyDescent="0.25">
      <c r="A13" s="49"/>
      <c r="D13" s="51"/>
      <c r="E13" s="52">
        <f>TRUNC(E2)</f>
        <v>8802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8</v>
      </c>
      <c r="B25" s="47">
        <f>TRUNC(RIGHT(A25))</f>
        <v>8</v>
      </c>
      <c r="C25" s="51">
        <f>IF(B24=1,B25+10,IF(B25=0,0,B25))</f>
        <v>8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восемь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8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88</v>
      </c>
      <c r="B27" s="47">
        <f>TRUNC(RIGHT(A27))</f>
        <v>8</v>
      </c>
      <c r="C27" s="51">
        <f>B27</f>
        <v>8</v>
      </c>
      <c r="E27" s="55" t="str">
        <f>IF(B27=1,E43,IF(B27=2,G35,IF(B27=3,G36,IF(B27=4,G37,IF(B27=5,G38,IF(B27=6,G39,IF(B27=7,G40,IF(B27=8,G41,G42))))))))</f>
        <v xml:space="preserve">восемьсот </v>
      </c>
    </row>
    <row r="28" spans="1:9" s="43" customFormat="1" x14ac:dyDescent="0.25">
      <c r="A28" s="54">
        <f>TRUNC(A29/10)</f>
        <v>880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8802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802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2025-09-01T09:22:44Z</cp:lastPrinted>
  <dcterms:created xsi:type="dcterms:W3CDTF">1996-10-14T23:33:28Z</dcterms:created>
  <dcterms:modified xsi:type="dcterms:W3CDTF">2025-09-01T09:22:54Z</dcterms:modified>
</cp:coreProperties>
</file>