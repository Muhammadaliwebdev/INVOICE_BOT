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/>
</workbook>
</file>

<file path=xl/calcChain.xml><?xml version="1.0" encoding="utf-8"?>
<calcChain xmlns="http://schemas.openxmlformats.org/spreadsheetml/2006/main">
  <c r="J30" i="2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H31" i="7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<sst xmlns="http://schemas.openxmlformats.org/spreadsheetml/2006/main" count="202" uniqueCount="163">
  <si>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</si>
  <si>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</si>
  <si>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</si>
  <si>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</si>
  <si>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</si>
  <si>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</si>
  <si>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</si>
  <si>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</si>
  <si>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</si>
  <si>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</si>
  <si>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</si>
  <si>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</si>
  <si>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</si>
  <si>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</si>
  <si>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</si>
  <si>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</si>
  <si>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</si>
  <si>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</si>
  <si>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</si>
  <si>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</si>
  <si>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</si>
  <si>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</si>
  <si>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</si>
  <si>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</si>
  <si>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</si>
  <si>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</si>
  <si>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</si>
  <si>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</si>
  <si>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</si>
  <si>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</si>
  <si>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</si>
  <si>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</si>
  <si>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</si>
  <si>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</si>
  <si>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</si>
  <si>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</si>
  <si>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</si>
  <si>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</si>
  <si>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</si>
  <si>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</si>
  <si>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</si>
  <si>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</si>
  <si>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</si>
  <si>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</si>
  <si>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</si>
  <si>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</si>
  <si>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</si>
  <si>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</si>
  <si>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</si>
  <si>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</si>
  <si>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</si>
  <si>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</si>
  <si>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</si>
  <si>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</si>
  <si>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</si>
  <si>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</si>
  <si>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</si>
  <si>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</si>
  <si>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</si>
  <si>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</si>
  <si>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</si>
  <si>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</si>
  <si>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</si>
  <si>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</si>
  <si>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</si>
  <si>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</si>
  <si>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</si>
  <si>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</si>
  <si>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</si>
  <si>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</si>
  <si>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</si>
  <si>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</si>
  <si>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</si>
  <si>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</si>
  <si>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</si>
  <si>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</si>
  <si>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</si>
  <si>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</si>
  <si>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</si>
  <si>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</si>
  <si>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</si>
  <si>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</si>
  <si>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</si>
  <si>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</si>
  <si>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</si>
  <si>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</si>
  <si>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</si>
  <si>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</si>
  <si>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</si>
  <si>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</si>
  <si>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</si>
  <si>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</si>
  <si>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</si>
  <si>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</si>
  <si>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</si>
  <si>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</si>
  <si>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</si>
  <si>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</si>
  <si>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</si>
  <si>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</si>
  <si>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</si>
  <si>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</si>
  <si>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</si>
  <si>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</si>
  <si>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</si>
  <si>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</si>
  <si>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</si>
  <si>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</si>
  <si>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</si>
  <si>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</si>
  <si>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</si>
  <si>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</si>
  <si>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</si>
  <si>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</si>
  <si>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</si>
  <si>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</si>
  <si>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</si>
  <si>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</si>
  <si>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</si>
  <si>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</si>
  <si>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</si>
  <si>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</si>
  <si>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</si>
  <si>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</si>
  <si>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</si>
  <si>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</si>
  <si>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</si>
  <si>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</si>
  <si>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</si>
  <si>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</si>
  <si>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</si>
  <si>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</si>
  <si>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</si>
  <si>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Арбузы свежие</t>
  </si>
  <si>
    <t>0807110001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</si>
  <si>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</si>
  <si>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</si>
  <si>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</si>
  <si>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</si>
  <si>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</si>
  <si>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</si>
  <si>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</si>
  <si>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</si>
  <si>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</si>
  <si>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</si>
  <si>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</si>
  <si>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</si>
  <si>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</si>
  <si>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</si>
  <si>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</si>
  <si>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</si>
  <si>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</si>
  <si>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</si>
  <si>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</si>
  <si>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</si>
  <si>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11.08.2025г.</t>
  </si>
  <si>
    <t xml:space="preserve">ИНВОЙС № BEZ-A-70 от </t>
  </si>
  <si>
    <t xml:space="preserve">СПЕЦИФИКАЦИЯ № BEZ-A-70 от </t>
  </si>
  <si>
    <t>20Q437HA/203183AA</t>
  </si>
  <si>
    <t>DAP - с Амандык , Республика Казахстан</t>
  </si>
  <si>
    <t>Навалом</t>
  </si>
  <si>
    <t>-</t>
  </si>
  <si>
    <t>г.Уфа / г.Кемерово /г. Иркутск /г.Омск /г. Ижевск/ г.Крым Симферополь/ Российская федерация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</si>
</sst>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=""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=""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4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156</v>
      </c>
      <c r="D1" s="133"/>
      <c r="E1" s="133"/>
      <c r="F1" s="132" t="s">
        <v>155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145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146</v>
      </c>
      <c r="B5" s="134"/>
      <c r="C5" s="134"/>
      <c r="D5" s="134"/>
      <c r="E5" s="134"/>
      <c r="F5" s="6"/>
      <c r="G5" s="136" t="s">
        <v>136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147</v>
      </c>
      <c r="B6" s="125"/>
      <c r="C6" s="125"/>
      <c r="D6" s="125"/>
      <c r="E6" s="125"/>
      <c r="F6" s="7"/>
      <c r="G6" s="138" t="s">
        <v>137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148</v>
      </c>
      <c r="B7" s="125"/>
      <c r="C7" s="125"/>
      <c r="D7" s="125"/>
      <c r="E7" s="125"/>
      <c r="F7" s="63"/>
      <c r="G7" s="138" t="s">
        <v>138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139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150</v>
      </c>
      <c r="B9" s="8"/>
      <c r="C9" s="8"/>
      <c r="D9" s="8"/>
      <c r="E9" s="8"/>
      <c r="F9" s="7"/>
      <c r="G9" s="7" t="s">
        <v>140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151</v>
      </c>
      <c r="B10" s="125"/>
      <c r="C10" s="125"/>
      <c r="D10" s="125"/>
      <c r="E10" s="125"/>
      <c r="F10" s="7"/>
      <c r="G10" s="7" t="s">
        <v>141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152</v>
      </c>
      <c r="B11" s="8"/>
      <c r="C11" s="8"/>
      <c r="D11" s="8"/>
      <c r="E11" s="8"/>
      <c r="F11" s="7"/>
      <c r="G11" s="7" t="s">
        <v>142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146</v>
      </c>
      <c r="B14" s="134"/>
      <c r="C14" s="134"/>
      <c r="D14" s="134"/>
      <c r="E14" s="134"/>
      <c r="F14" s="6"/>
      <c r="G14" s="136" t="s">
        <v>123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147</v>
      </c>
      <c r="B15" s="125"/>
      <c r="C15" s="125"/>
      <c r="D15" s="125"/>
      <c r="E15" s="125"/>
      <c r="F15" s="7"/>
      <c r="G15" s="138" t="s">
        <v>124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148</v>
      </c>
      <c r="B16" s="125"/>
      <c r="C16" s="125"/>
      <c r="D16" s="125"/>
      <c r="E16" s="125"/>
      <c r="F16" s="63"/>
      <c r="G16" s="138" t="s">
        <v>125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126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150</v>
      </c>
      <c r="B18" s="8"/>
      <c r="C18" s="8"/>
      <c r="D18" s="8"/>
      <c r="E18" s="8"/>
      <c r="F18" s="7"/>
      <c r="G18" s="8" t="s">
        <v>127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151</v>
      </c>
      <c r="B19" s="125"/>
      <c r="C19" s="125"/>
      <c r="D19" s="125"/>
      <c r="E19" s="125"/>
      <c r="F19" s="7"/>
      <c r="G19" s="7" t="s">
        <v>128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152</v>
      </c>
      <c r="B20" s="8"/>
      <c r="C20" s="8"/>
      <c r="D20" s="8"/>
      <c r="E20" s="8"/>
      <c r="F20" s="7"/>
      <c r="G20" s="7" t="s">
        <v>129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116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158</v>
      </c>
      <c r="F26" s="153"/>
      <c r="G26" s="153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13.8" x14ac:dyDescent="0.25">
      <c r="A30" s="127">
        <v>1</v>
      </c>
      <c r="B30" s="101" t="s">
        <v>133</v>
      </c>
      <c r="C30" s="107" t="s">
        <v>134</v>
      </c>
      <c r="D30" s="109" t="s">
        <v>160</v>
      </c>
      <c r="E30" s="101" t="s">
        <v>161</v>
      </c>
      <c r="F30" s="110" t="s">
        <v>27</v>
      </c>
      <c r="G30" s="106">
        <v>23500</v>
      </c>
      <c r="H30" s="106">
        <v>23500</v>
      </c>
      <c r="I30" s="108">
        <v>0.2</v>
      </c>
      <c r="J30" s="13">
        <f t="shared" ref="J30" si="0">H30*I30</f>
        <v>4700</v>
      </c>
      <c r="K30" s="12">
        <v>0</v>
      </c>
      <c r="L30" s="12">
        <v>0</v>
      </c>
      <c r="M30" s="13">
        <f t="shared" ref="M30" si="1">J30</f>
        <v>4700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/>
      <c r="F31" s="15"/>
      <c r="G31" s="64">
        <f>SUM(G30:G30)</f>
        <v>23500</v>
      </c>
      <c r="H31" s="64">
        <f>SUM(H30:H30)</f>
        <v>23500</v>
      </c>
      <c r="I31" s="102"/>
      <c r="J31" s="17">
        <f>SUM(J30:J30)</f>
        <v>4700</v>
      </c>
      <c r="K31" s="16"/>
      <c r="L31" s="16"/>
      <c r="M31" s="17">
        <f>SUM(M30:M30)</f>
        <v>4700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семьсот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153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115" zoomScaleNormal="115" workbookViewId="0">
      <selection activeCell="B25" sqref="B25:D25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162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BEZ-A-70 от 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 t="str">
        <f>+Инвойс!E30</f>
        <v>-</v>
      </c>
      <c r="D30" s="103" t="str">
        <f>+Инвойс!D30</f>
        <v>Навалом</v>
      </c>
      <c r="E30" s="103"/>
      <c r="F30" s="103" t="str">
        <f>+Инвойс!B30</f>
        <v>Арбузы свежие</v>
      </c>
      <c r="G30" s="104" t="str">
        <f>+Инвойс!C30</f>
        <v>0807110001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57" t="str">
        <f>+C22</f>
        <v xml:space="preserve"> 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20Q437HA/203183AA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zoomScale="70" zoomScaleNormal="70" workbookViewId="0">
      <selection activeCell="B48" sqref="B48:E49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20Q437HA/203183AA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BEZ-A-70 от  11.08.2025г.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 t="str">
        <f>+Инвойс!E30</f>
        <v>-</v>
      </c>
      <c r="G18" s="164" t="str">
        <f>+CMR!F30</f>
        <v>Арбузы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Навалом</v>
      </c>
      <c r="G19" s="158" t="str">
        <f>+Инвойс!C30</f>
        <v>0807110001</v>
      </c>
      <c r="H19" s="159"/>
      <c r="I19" s="122" t="s">
        <v>103</v>
      </c>
      <c r="J19" s="120">
        <f>+Инвойс!G30</f>
        <v>23500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 t="s">
        <v>160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55" zoomScaleNormal="5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157</v>
      </c>
      <c r="C1" s="172"/>
      <c r="D1" s="172"/>
      <c r="E1" s="172"/>
      <c r="F1" s="132" t="str">
        <f>+Инвойс!F1</f>
        <v xml:space="preserve"> 11.08.2025г.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131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114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20Q437HA/203183AA</v>
      </c>
      <c r="F26" s="153"/>
      <c r="G26" s="153"/>
      <c r="J26" s="21"/>
    </row>
    <row r="27" spans="1:17" ht="34.5" customHeight="1" x14ac:dyDescent="0.25">
      <c r="A27" s="67" t="s">
        <v>132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13.8" x14ac:dyDescent="0.25">
      <c r="A30" s="127">
        <f>+Инвойс!A30</f>
        <v>1</v>
      </c>
      <c r="B30" s="101" t="str">
        <f>+Инвойс!B30</f>
        <v>Арбузы свежие</v>
      </c>
      <c r="C30" s="107" t="str">
        <f>+Инвойс!C30</f>
        <v>0807110001</v>
      </c>
      <c r="D30" s="115" t="str">
        <f>+Инвойс!D30</f>
        <v>Навалом</v>
      </c>
      <c r="E30" s="101" t="str">
        <f>+Инвойс!E30</f>
        <v>-</v>
      </c>
      <c r="F30" s="116" t="str">
        <f>+Инвойс!F30</f>
        <v>кг</v>
      </c>
      <c r="G30" s="106">
        <f>+Инвойс!G30</f>
        <v>23500</v>
      </c>
      <c r="H30" s="106">
        <f>+Инвойс!H30</f>
        <v>23500</v>
      </c>
      <c r="I30" s="108">
        <f>+Инвойс!I30</f>
        <v>0.2</v>
      </c>
      <c r="J30" s="13">
        <f>+Инвойс!J30</f>
        <v>4700</v>
      </c>
      <c r="K30" s="12">
        <v>0</v>
      </c>
      <c r="L30" s="12">
        <v>0</v>
      </c>
      <c r="M30" s="13">
        <f>+Инвойс!M30</f>
        <v>4700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/>
      <c r="F31" s="15"/>
      <c r="G31" s="64">
        <f>SUM(G30:G30)</f>
        <v>23500</v>
      </c>
      <c r="H31" s="64">
        <f>SUM(H30:H30)</f>
        <v>23500</v>
      </c>
      <c r="I31" s="102"/>
      <c r="J31" s="17">
        <f>SUM(J30:J30)</f>
        <v>4700</v>
      </c>
      <c r="K31" s="16"/>
      <c r="L31" s="16"/>
      <c r="M31" s="17">
        <f>SUM(M30:M30)</f>
        <v>4700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семьсот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154</v>
      </c>
      <c r="B36" s="7"/>
      <c r="D36" s="25" t="s">
        <v>153</v>
      </c>
      <c r="E36" s="24"/>
      <c r="G36" s="129" t="s">
        <v>143</v>
      </c>
      <c r="H36" t="str">
        <f>Инвойс!G5</f>
        <v>ООО ТД «РЕСУРС»</v>
      </c>
      <c r="K36" s="130" t="s">
        <v>144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5" sqref="A5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6" t="s">
        <v>115</v>
      </c>
    </row>
    <row r="3" spans="1:1" ht="52.8" x14ac:dyDescent="0.25">
      <c r="A3" s="131" t="s">
        <v>135</v>
      </c>
    </row>
    <row r="5" spans="1:1" ht="39.6" x14ac:dyDescent="0.25">
      <c r="A5" s="126" t="s">
        <v>116</v>
      </c>
    </row>
    <row r="7" spans="1:1" ht="52.8" x14ac:dyDescent="0.25">
      <c r="A7" s="126" t="s">
        <v>117</v>
      </c>
    </row>
    <row r="9" spans="1:1" ht="52.8" x14ac:dyDescent="0.25">
      <c r="A9" s="126" t="s">
        <v>118</v>
      </c>
    </row>
    <row r="10" spans="1:1" x14ac:dyDescent="0.25">
      <c r="A10" s="126"/>
    </row>
    <row r="11" spans="1:1" ht="52.8" x14ac:dyDescent="0.25">
      <c r="A11" s="126" t="s">
        <v>119</v>
      </c>
    </row>
    <row r="13" spans="1:1" ht="52.8" x14ac:dyDescent="0.25">
      <c r="A13" s="126" t="s">
        <v>120</v>
      </c>
    </row>
    <row r="15" spans="1:1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130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4700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семьсот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семьсот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семьсот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семьсот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семьсот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4700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5">
      <c r="A28" s="54">
        <f>TRUNC(A29/10)</f>
        <v>470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4700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2025-08-11T10:56:34Z</cp:lastPrinted>
  <dcterms:created xsi:type="dcterms:W3CDTF">1996-10-14T23:33:28Z</dcterms:created>
  <dcterms:modified xsi:type="dcterms:W3CDTF">2025-08-11T10:56:38Z</dcterms:modified>
</cp:coreProperties>
</file>