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68CBB5-E22B-41F7-84D8-7CB121345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<sst xmlns="http://schemas.openxmlformats.org/spreadsheetml/2006/main" count="202" uniqueCount="164">
  <si>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</si>
  <si>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</si>
  <si>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</si>
  <si>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</si>
  <si>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</si>
  <si>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</si>
  <si>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</si>
  <si>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</si>
  <si>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</si>
  <si>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</si>
  <si>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</si>
  <si>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</si>
  <si>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</si>
  <si>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</si>
  <si>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</si>
  <si>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</si>
  <si>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</si>
  <si>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</si>
  <si>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</si>
  <si>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</si>
  <si>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</si>
  <si>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</si>
  <si>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</si>
  <si>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</si>
  <si>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</si>
  <si>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</si>
  <si>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</si>
  <si>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</si>
  <si>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</si>
  <si>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</si>
  <si>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</si>
  <si>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</si>
  <si>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</si>
  <si>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</si>
  <si>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</si>
  <si>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</si>
  <si>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</si>
  <si>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</si>
  <si>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</si>
  <si>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</si>
  <si>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</si>
  <si>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</si>
  <si>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</si>
  <si>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</si>
  <si>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</si>
  <si>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</si>
  <si>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</si>
  <si>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</si>
  <si>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</si>
  <si>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</si>
  <si>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</si>
  <si>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</si>
  <si>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</si>
  <si>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</si>
  <si>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</si>
  <si>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</si>
  <si>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</si>
  <si>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</si>
  <si>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</si>
  <si>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</si>
  <si>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</si>
  <si>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</si>
  <si>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</si>
  <si>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</si>
  <si>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</si>
  <si>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</si>
  <si>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</si>
  <si>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</si>
  <si>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</si>
  <si>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</si>
  <si>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</si>
  <si>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</si>
  <si>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</si>
  <si>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</si>
  <si>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</si>
  <si>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</si>
  <si>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</si>
  <si>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</si>
  <si>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</si>
  <si>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</si>
  <si>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</si>
  <si>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</si>
  <si>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</si>
  <si>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</si>
  <si>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</si>
  <si>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</si>
  <si>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</si>
  <si>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</si>
  <si>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</si>
  <si>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</si>
  <si>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</si>
  <si>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</si>
  <si>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</si>
  <si>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</si>
  <si>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</si>
  <si>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</si>
  <si>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</si>
  <si>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</si>
  <si>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</si>
  <si>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</si>
  <si>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</si>
  <si>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</si>
  <si>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</si>
  <si>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</si>
  <si>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</si>
  <si>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</si>
  <si>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</si>
  <si>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</si>
  <si>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</si>
  <si>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</si>
  <si>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</si>
  <si>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</si>
  <si>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</si>
  <si>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</si>
  <si>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</si>
  <si>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</si>
  <si>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</si>
  <si>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</si>
  <si>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</si>
  <si>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</si>
  <si>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</si>
  <si>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</si>
  <si>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</si>
  <si>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</si>
  <si>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</si>
  <si>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</si>
  <si>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</si>
  <si>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</si>
  <si>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</si>
  <si>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</si>
  <si>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</si>
  <si>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</si>
  <si>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</si>
  <si>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</si>
  <si>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</si>
  <si>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</si>
  <si>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</si>
  <si>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</si>
  <si>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</si>
  <si>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</si>
  <si>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</si>
  <si>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</si>
  <si>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</si>
  <si>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</si>
  <si>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</si>
  <si>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</si>
  <si>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</si>
  <si>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</si>
  <si>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</si>
  <si>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</si>
  <si>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</si>
  <si>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</si>
  <si>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</si>
  <si>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</si>
  <si>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</si>
  <si>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</si>
  <si>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</si>
  <si>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</si>
  <si>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</si>
  <si>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EXZ-F-10 от </t>
  </si>
  <si>
    <t xml:space="preserve"> 09.09.2025г.</t>
  </si>
  <si>
    <t>30081DBA/304315AA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</si>
  <si>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</si>
  <si>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EXZ-F-10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</si>
</sst>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129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130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131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136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129</v>
      </c>
      <c r="B14" s="136"/>
      <c r="C14" s="136"/>
      <c r="D14" s="136"/>
      <c r="E14" s="136"/>
      <c r="F14" s="6"/>
      <c r="G14" s="138" t="s">
        <v>148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130</v>
      </c>
      <c r="B15" s="143"/>
      <c r="C15" s="143"/>
      <c r="D15" s="143"/>
      <c r="E15" s="143"/>
      <c r="F15" s="7"/>
      <c r="G15" s="140" t="s">
        <v>149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131</v>
      </c>
      <c r="B16" s="143"/>
      <c r="C16" s="143"/>
      <c r="D16" s="143"/>
      <c r="E16" s="143"/>
      <c r="F16" s="63"/>
      <c r="G16" s="140" t="s">
        <v>150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3.8" x14ac:dyDescent="0.25">
      <c r="A21" s="99" t="s">
        <v>136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980</v>
      </c>
      <c r="F30" s="110" t="s">
        <v>27</v>
      </c>
      <c r="G30" s="106">
        <v>23500</v>
      </c>
      <c r="H30" s="106">
        <v>21736</v>
      </c>
      <c r="I30" s="108">
        <v>0.2</v>
      </c>
      <c r="J30" s="13">
        <f t="shared" ref="J30" si="0">H30*I30</f>
        <v>4347.2</v>
      </c>
      <c r="K30" s="12">
        <v>0</v>
      </c>
      <c r="L30" s="12">
        <v>0</v>
      </c>
      <c r="M30" s="13">
        <f t="shared" ref="M30" si="1">J30</f>
        <v>4347.2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4347.2</v>
      </c>
      <c r="K31" s="16"/>
      <c r="L31" s="16"/>
      <c r="M31" s="17">
        <f>SUM(M30:M30)</f>
        <v>4347.2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триста сорок семь долларов США, 20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162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40" sqref="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155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EXZ-F-10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30081DBA/304315AA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K38" sqref="K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30081DBA/304315AA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EXZ-F-10 от  09.09.2025г.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4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30081DBA/304315AA</v>
      </c>
      <c r="F26" s="156"/>
      <c r="G26" s="156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23500</v>
      </c>
      <c r="H30" s="106">
        <f>+Инвойс!H30</f>
        <v>21736</v>
      </c>
      <c r="I30" s="108">
        <f>+Инвойс!I30</f>
        <v>0.2</v>
      </c>
      <c r="J30" s="13">
        <f>+Инвойс!J30</f>
        <v>4347.2</v>
      </c>
      <c r="K30" s="12">
        <v>0</v>
      </c>
      <c r="L30" s="12">
        <v>0</v>
      </c>
      <c r="M30" s="13">
        <f>+Инвойс!M30</f>
        <v>4347.2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4347.2</v>
      </c>
      <c r="K31" s="16"/>
      <c r="L31" s="16"/>
      <c r="M31" s="17">
        <f>SUM(M30:M30)</f>
        <v>4347.2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триста сорок семь долларов США, 20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126</v>
      </c>
    </row>
    <row r="5" spans="1:10" ht="92.4" x14ac:dyDescent="0.25">
      <c r="A5" s="126" t="s">
        <v>139</v>
      </c>
    </row>
    <row r="6" spans="1:10" x14ac:dyDescent="0.25">
      <c r="E6" s="18"/>
      <c r="J6" s="25"/>
    </row>
    <row r="7" spans="1:10" ht="52.8" x14ac:dyDescent="0.25">
      <c r="A7" s="126" t="s">
        <v>116</v>
      </c>
    </row>
    <row r="8" spans="1:10" x14ac:dyDescent="0.25">
      <c r="E8" s="18"/>
      <c r="J8" s="25"/>
    </row>
    <row r="9" spans="1:10" ht="52.8" x14ac:dyDescent="0.25">
      <c r="A9" s="126" t="s">
        <v>117</v>
      </c>
    </row>
    <row r="10" spans="1:10" x14ac:dyDescent="0.25">
      <c r="A10" s="126"/>
      <c r="E10" s="18"/>
      <c r="J10" s="25"/>
    </row>
    <row r="11" spans="1:10" ht="52.8" x14ac:dyDescent="0.25">
      <c r="A11" s="126" t="s">
        <v>157</v>
      </c>
    </row>
    <row r="12" spans="1:10" x14ac:dyDescent="0.25">
      <c r="E12" s="18"/>
      <c r="J12" s="25"/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4347.2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триста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45909</v>
      </c>
      <c r="O3" s="177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триста сорок семь долларов США, 20 центов. (в т.ч. НДС - 357,79)</v>
      </c>
      <c r="H4" s="32"/>
      <c r="I4" s="32"/>
      <c r="J4" s="32"/>
      <c r="K4" s="178" t="str">
        <f ca="1">CONCATENATE(" «  ",P3,"  »  ",Q3,"  ",R3," г.")</f>
        <v xml:space="preserve"> «  9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триста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триста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4347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434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4347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2025-09-09T07:35:47Z</cp:lastPrinted>
  <dcterms:created xsi:type="dcterms:W3CDTF">1996-10-14T23:33:28Z</dcterms:created>
  <dcterms:modified xsi:type="dcterms:W3CDTF">2025-09-09T07:36:06Z</dcterms:modified>
</cp:coreProperties>
</file>