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957F309-10B7-4786-9FC4-F98E63FB9C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1" i="2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H31" i="2" l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<sst xmlns="http://schemas.openxmlformats.org/spreadsheetml/2006/main" count="211" uniqueCount="164">
  <si>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</si>
  <si>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</si>
  <si>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</si>
  <si>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</si>
  <si>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</si>
  <si>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</si>
  <si>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</si>
  <si>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</si>
  <si>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</si>
  <si>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</si>
  <si>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</si>
  <si>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</si>
  <si>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</si>
  <si>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</si>
  <si>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</si>
  <si>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</si>
  <si>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</si>
  <si>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</si>
  <si>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</si>
  <si>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</si>
  <si>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</si>
  <si>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</si>
  <si>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</si>
  <si>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</si>
  <si>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</si>
  <si>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</si>
  <si>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</si>
  <si>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</si>
  <si>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</si>
  <si>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</si>
  <si>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</si>
  <si>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</si>
  <si>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</si>
  <si>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</si>
  <si>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</si>
  <si>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</si>
  <si>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</si>
  <si>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</si>
  <si>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</si>
  <si>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</si>
  <si>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</si>
  <si>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</si>
  <si>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</si>
  <si>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</si>
  <si>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</si>
  <si>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</si>
  <si>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</si>
  <si>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</si>
  <si>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</si>
  <si>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</si>
  <si>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</si>
  <si>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</si>
  <si>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</si>
  <si>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</si>
  <si>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</si>
  <si>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</si>
  <si>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</si>
  <si>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</si>
  <si>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</si>
  <si>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</si>
  <si>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</si>
  <si>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</si>
  <si>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</si>
  <si>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</si>
  <si>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</si>
  <si>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</si>
  <si>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</si>
  <si>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</si>
  <si>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</si>
  <si>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</si>
  <si>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</si>
  <si>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</si>
  <si>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</si>
  <si>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</si>
  <si>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</si>
  <si>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</si>
  <si>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</si>
  <si>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</si>
  <si>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</si>
  <si>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</si>
  <si>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</si>
  <si>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</si>
  <si>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</si>
  <si>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</si>
  <si>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</si>
  <si>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</si>
  <si>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</si>
  <si>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</si>
  <si>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</si>
  <si>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</si>
  <si>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</si>
  <si>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</si>
  <si>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</si>
  <si>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</si>
  <si>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</si>
  <si>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</si>
  <si>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</si>
  <si>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</si>
  <si>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</si>
  <si>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</si>
  <si>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</si>
  <si>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</si>
  <si>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</si>
  <si>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</si>
  <si>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</si>
  <si>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</si>
  <si>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</si>
  <si>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</si>
  <si>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</si>
  <si>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</si>
  <si>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</si>
  <si>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</si>
  <si>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</si>
  <si>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</si>
  <si>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</si>
  <si>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</si>
  <si>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</si>
  <si>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</si>
  <si>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</si>
  <si>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</si>
  <si>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</si>
  <si>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</si>
  <si>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</si>
  <si>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</si>
  <si>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</si>
  <si>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</si>
  <si>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</si>
  <si>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</si>
  <si>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</si>
  <si>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</si>
  <si>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</si>
  <si>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</si>
  <si>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</si>
  <si>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</si>
  <si>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</si>
  <si>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</si>
  <si>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</si>
  <si>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</si>
  <si>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</si>
  <si>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</si>
  <si>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</si>
  <si>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</si>
  <si>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</si>
  <si>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</si>
  <si>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</si>
  <si>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</si>
  <si>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</si>
  <si>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</si>
  <si>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</si>
  <si>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</si>
  <si>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</si>
  <si>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</si>
  <si>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</si>
  <si>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</si>
  <si>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</si>
  <si>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</si>
  <si>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</si>
  <si>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</si>
  <si>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</si>
  <si>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</si>
  <si>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UFG-M-12 от </t>
  </si>
  <si>
    <t xml:space="preserve"> 27.08.2025г.</t>
  </si>
  <si>
    <t>75Q686VA/758444AA</t>
  </si>
  <si>
    <t xml:space="preserve">СПЕЦИФИКАЦИЯ № UFG-M-12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</si>
</sst>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160</v>
      </c>
      <c r="D1" s="134"/>
      <c r="E1" s="134"/>
      <c r="F1" s="133" t="s">
        <v>161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152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153</v>
      </c>
      <c r="B5" s="135"/>
      <c r="C5" s="135"/>
      <c r="D5" s="135"/>
      <c r="E5" s="135"/>
      <c r="F5" s="6"/>
      <c r="G5" s="137" t="s">
        <v>140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148</v>
      </c>
      <c r="B6" s="142"/>
      <c r="C6" s="142"/>
      <c r="D6" s="142"/>
      <c r="E6" s="142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154</v>
      </c>
      <c r="B7" s="142"/>
      <c r="C7" s="142"/>
      <c r="D7" s="142"/>
      <c r="E7" s="142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150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8" t="s">
        <v>146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153</v>
      </c>
      <c r="B14" s="135"/>
      <c r="C14" s="135"/>
      <c r="D14" s="135"/>
      <c r="E14" s="135"/>
      <c r="F14" s="6"/>
      <c r="G14" s="137" t="s">
        <v>140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148</v>
      </c>
      <c r="B15" s="142"/>
      <c r="C15" s="142"/>
      <c r="D15" s="142"/>
      <c r="E15" s="142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154</v>
      </c>
      <c r="B16" s="142"/>
      <c r="C16" s="142"/>
      <c r="D16" s="142"/>
      <c r="E16" s="142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150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38" t="s">
        <v>146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159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162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932</v>
      </c>
      <c r="F30" s="115" t="s">
        <v>27</v>
      </c>
      <c r="G30" s="106">
        <v>23400</v>
      </c>
      <c r="H30" s="106">
        <v>21722</v>
      </c>
      <c r="I30" s="108">
        <v>0.25</v>
      </c>
      <c r="J30" s="13">
        <f t="shared" ref="J30" si="0">H30*I30</f>
        <v>5430.5</v>
      </c>
      <c r="K30" s="12">
        <v>0</v>
      </c>
      <c r="L30" s="12">
        <v>0</v>
      </c>
      <c r="M30" s="13">
        <f t="shared" ref="M30" si="1">J30</f>
        <v>5430.5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932</v>
      </c>
      <c r="F31" s="15"/>
      <c r="G31" s="64">
        <f>SUM(G30:G30)</f>
        <v>23400</v>
      </c>
      <c r="H31" s="64">
        <f>SUM(H30:H30)</f>
        <v>21722</v>
      </c>
      <c r="I31" s="102"/>
      <c r="J31" s="17">
        <f>SUM(J30:J30)</f>
        <v>5430.5</v>
      </c>
      <c r="K31" s="16"/>
      <c r="L31" s="16"/>
      <c r="M31" s="17">
        <f>SUM(M30:M30)</f>
        <v>5430.5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четыреста тридцать долларов США, 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UFG-M-12 от  27.08.2025г.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932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23400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г.Челябинский таможенный пост г.Челябинск ул. Ениссйская, 87А код поста 10504080   ООО "ГРИН ВОРЛД" 
RU/0237/2 от 27.12.2024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27.08.2025г.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75Q686VA/758444AA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75Q686VA/758444AA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UFG-M-12 от  27.08.2025г.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932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23400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932</v>
      </c>
      <c r="E47" s="142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163</v>
      </c>
      <c r="C1" s="173"/>
      <c r="D1" s="173"/>
      <c r="E1" s="173"/>
      <c r="F1" s="133" t="str">
        <f>+Инвойс!F1</f>
        <v xml:space="preserve"> 27.08.2025г.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GR-UF-01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OOO UCHQIZIL FRUITS EXPORT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71" t="str">
        <f>+Инвойс!A6</f>
        <v>РЕСПУБЛИКА УЗБЕКИСТАН. СУРХАНДАРЬИНСКАЯ ОБЛАСТЬ,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ТЕРМИЗСКИЙ РАЙОН,ЯНГИХАЯТ МФЙ, УЛИЦА БОГИ ШАМОЛ, 20-А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в АКБ“KAPITAL BANK”  МФО: 01158  Swift: KACHUZ22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>Доллар США: 20208840207293094001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Корреспондирующий банк (RUB): АКБ "Азия Инвест Банк" (АО) :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SWIFT:ASIJRUMM / БИК 044525234,</v>
      </c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OOO UCHQIZIL FRUITS EXPORT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71" t="str">
        <f>+Инвойс!A15</f>
        <v>РЕСПУБЛИКА УЗБЕКИСТАН. СУРХАНДАРЬИНСКАЯ ОБЛАСТЬ,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ТЕРМИЗСКИЙ РАЙОН,ЯНГИХАЯТ МФЙ, УЛИЦА БОГИ ШАМОЛ, 20-А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в АКБ“KAPITAL BANK”  МФО: 01158  Swift: KACHUZ22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>Доллар США: 20208840207293094001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Корреспондирующий банк (RUB): АКБ "Азия Инвест Банк" (АО) :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SWIFT:ASIJRUMM / БИК 044525234,</v>
      </c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75Q686VA/758444AA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932</v>
      </c>
      <c r="F30" s="115" t="str">
        <f>+Инвойс!F30</f>
        <v>кг</v>
      </c>
      <c r="G30" s="106">
        <f>+Инвойс!G30</f>
        <v>23400</v>
      </c>
      <c r="H30" s="106">
        <f>+Инвойс!H30</f>
        <v>21722</v>
      </c>
      <c r="I30" s="108">
        <f>+Инвойс!I30</f>
        <v>0.25</v>
      </c>
      <c r="J30" s="13">
        <f>+Инвойс!J30</f>
        <v>5430.5</v>
      </c>
      <c r="K30" s="12">
        <v>0</v>
      </c>
      <c r="L30" s="12">
        <v>0</v>
      </c>
      <c r="M30" s="13">
        <f>+Инвойс!M30</f>
        <v>5430.5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932</v>
      </c>
      <c r="F31" s="15"/>
      <c r="G31" s="64">
        <f>SUM(G30:G30)</f>
        <v>23400</v>
      </c>
      <c r="H31" s="64">
        <f>SUM(H30:H30)</f>
        <v>21722</v>
      </c>
      <c r="I31" s="102"/>
      <c r="J31" s="17">
        <f>SUM(J30:J30)</f>
        <v>5430.5</v>
      </c>
      <c r="K31" s="16"/>
      <c r="L31" s="16"/>
      <c r="M31" s="17">
        <f>SUM(M30:M30)</f>
        <v>5430.5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четыреста тридцать долларов США, 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ЭШТЕМИРОВ Х.Х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5430.5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четыреста тридцать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45896</v>
      </c>
      <c r="O3" s="177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четыреста тридцать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27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четыреста тридцать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четыреста тридцать долларов США, 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четыреста тридцать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45896</v>
      </c>
    </row>
    <row r="13" spans="1:19" s="43" customFormat="1" x14ac:dyDescent="0.2">
      <c r="A13" s="49"/>
      <c r="D13" s="51"/>
      <c r="E13" s="52">
        <f>TRUNC(E2)</f>
        <v>5430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">
      <c r="A28" s="54">
        <f>TRUNC(A29/10)</f>
        <v>543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5430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430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2025-08-26T20:11:28Z</cp:lastPrinted>
  <dcterms:created xsi:type="dcterms:W3CDTF">1996-10-14T23:33:28Z</dcterms:created>
  <dcterms:modified xsi:type="dcterms:W3CDTF">2025-08-26T20:11:29Z</dcterms:modified>
</cp:coreProperties>
</file>