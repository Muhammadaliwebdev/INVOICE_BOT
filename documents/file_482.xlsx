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D59339F-286C-421D-B257-DAE740C624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<sst xmlns="http://schemas.openxmlformats.org/spreadsheetml/2006/main" count="209" uniqueCount="162">
  <si>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</si>
  <si>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</si>
  <si>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</si>
  <si>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</si>
  <si>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</si>
  <si>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</si>
  <si>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</si>
  <si>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</si>
  <si>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</si>
  <si>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</si>
  <si>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</si>
  <si>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</si>
  <si>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</si>
  <si>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</si>
  <si>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</si>
  <si>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</si>
  <si>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</si>
  <si>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</si>
  <si>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</si>
  <si>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</si>
  <si>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</si>
  <si>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</si>
  <si>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</si>
  <si>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</si>
  <si>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</si>
  <si>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</si>
  <si>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</si>
  <si>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</si>
  <si>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</si>
  <si>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</si>
  <si>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</si>
  <si>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</si>
  <si>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</si>
  <si>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</si>
  <si>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</si>
  <si>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</si>
  <si>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</si>
  <si>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</si>
  <si>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</si>
  <si>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</si>
  <si>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</si>
  <si>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</si>
  <si>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</si>
  <si>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</si>
  <si>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</si>
  <si>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</si>
  <si>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</si>
  <si>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</si>
  <si>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</si>
  <si>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</si>
  <si>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</si>
  <si>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</si>
  <si>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</si>
  <si>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</si>
  <si>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</si>
  <si>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</si>
  <si>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</si>
  <si>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</si>
  <si>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</si>
  <si>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</si>
  <si>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</si>
  <si>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</si>
  <si>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</si>
  <si>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</si>
  <si>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</si>
  <si>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</si>
  <si>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</si>
  <si>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</si>
  <si>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</si>
  <si>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</si>
  <si>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</si>
  <si>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</si>
  <si>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</si>
  <si>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</si>
  <si>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</si>
  <si>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</si>
  <si>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</si>
  <si>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</si>
  <si>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</si>
  <si>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</si>
  <si>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</si>
  <si>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</si>
  <si>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</si>
  <si>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</si>
  <si>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</si>
  <si>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</si>
  <si>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</si>
  <si>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</si>
  <si>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</si>
  <si>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</si>
  <si>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</si>
  <si>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</si>
  <si>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</si>
  <si>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</si>
  <si>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</si>
  <si>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</si>
  <si>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</si>
  <si>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</si>
  <si>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</si>
  <si>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</si>
  <si>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</si>
  <si>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</si>
  <si>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</si>
  <si>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</si>
  <si>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</si>
  <si>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</si>
  <si>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</si>
  <si>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</si>
  <si>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</si>
  <si>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</si>
  <si>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</si>
  <si>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</si>
  <si>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</si>
  <si>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</si>
  <si>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</si>
  <si>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</si>
  <si>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</si>
  <si>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</si>
  <si>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</si>
  <si>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</si>
  <si>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</si>
  <si>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</si>
  <si>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</si>
  <si>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</si>
  <si>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</si>
  <si>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</si>
  <si>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</si>
  <si>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</si>
  <si>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</si>
  <si>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</si>
  <si>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</si>
  <si>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</si>
  <si>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</si>
  <si>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</si>
  <si>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</si>
  <si>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</si>
  <si>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</si>
  <si>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</si>
  <si>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</si>
  <si>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</si>
  <si>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</si>
  <si>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</si>
  <si>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</si>
  <si>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</si>
  <si>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</si>
  <si>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</si>
  <si>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</si>
  <si>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</si>
  <si>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</si>
  <si>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</si>
  <si>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</si>
  <si>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</si>
  <si>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</si>
  <si>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</si>
  <si>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</si>
  <si>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</si>
  <si>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</si>
  <si>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</si>
  <si>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PLG-A-58 от </t>
  </si>
  <si>
    <t xml:space="preserve"> 08.09.2025г.</t>
  </si>
  <si>
    <t>10Z991RA/108898AA</t>
  </si>
  <si>
    <t xml:space="preserve">СПЕЦИФИКАЦИЯ № PLG-A-58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</si>
</sst>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158</v>
      </c>
      <c r="D1" s="154"/>
      <c r="E1" s="154"/>
      <c r="F1" s="153" t="s">
        <v>159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143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144</v>
      </c>
      <c r="B5" s="155"/>
      <c r="C5" s="155"/>
      <c r="D5" s="155"/>
      <c r="E5" s="155"/>
      <c r="F5" s="6"/>
      <c r="G5" s="148" t="s">
        <v>135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145</v>
      </c>
      <c r="B6" s="142"/>
      <c r="C6" s="142"/>
      <c r="D6" s="142"/>
      <c r="E6" s="142"/>
      <c r="F6" s="7"/>
      <c r="G6" s="141" t="s">
        <v>136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146</v>
      </c>
      <c r="B7" s="142"/>
      <c r="C7" s="142"/>
      <c r="D7" s="142"/>
      <c r="E7" s="142"/>
      <c r="F7" s="63"/>
      <c r="G7" s="141" t="s">
        <v>137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147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148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149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150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4" t="s">
        <v>141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144</v>
      </c>
      <c r="B14" s="155"/>
      <c r="C14" s="155"/>
      <c r="D14" s="155"/>
      <c r="E14" s="155"/>
      <c r="F14" s="6"/>
      <c r="G14" s="148" t="s">
        <v>135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145</v>
      </c>
      <c r="B15" s="142"/>
      <c r="C15" s="142"/>
      <c r="D15" s="142"/>
      <c r="E15" s="142"/>
      <c r="F15" s="7"/>
      <c r="G15" s="141" t="s">
        <v>136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146</v>
      </c>
      <c r="B16" s="142"/>
      <c r="C16" s="142"/>
      <c r="D16" s="142"/>
      <c r="E16" s="142"/>
      <c r="F16" s="63"/>
      <c r="G16" s="141" t="s">
        <v>137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147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148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149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150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4" t="s">
        <v>141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117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156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160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920</v>
      </c>
      <c r="F30" s="110" t="s">
        <v>27</v>
      </c>
      <c r="G30" s="106">
        <v>23000</v>
      </c>
      <c r="H30" s="106">
        <v>21344</v>
      </c>
      <c r="I30" s="108">
        <v>0.25</v>
      </c>
      <c r="J30" s="13">
        <f t="shared" ref="J30" si="0">H30*I30</f>
        <v>5336</v>
      </c>
      <c r="K30" s="12">
        <v>0</v>
      </c>
      <c r="L30" s="12">
        <v>0</v>
      </c>
      <c r="M30" s="13">
        <f t="shared" ref="M30" si="1">J30</f>
        <v>5336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920</v>
      </c>
      <c r="F31" s="15"/>
      <c r="G31" s="64">
        <f>SUM(G30:G30)</f>
        <v>23000</v>
      </c>
      <c r="H31" s="64">
        <f>SUM(H30:H30)</f>
        <v>21344</v>
      </c>
      <c r="I31" s="102"/>
      <c r="J31" s="17">
        <f>SUM(J30:J30)</f>
        <v>5336</v>
      </c>
      <c r="K31" s="16"/>
      <c r="L31" s="16"/>
      <c r="M31" s="17">
        <f>SUM(M30:M30)</f>
        <v>5336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триста тридцать шесть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151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F36" sqref="F36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08.09.2025г.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PLG-A-58 от  08.09.2025г.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"Уралкомплект" 10412130 - т/п Оренбургский
460027, Оренбургская обл., г. Оренбург, ул. Донгузская, д. 62А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08.09.2025г.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10Z991RA/108898AA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E43" sqref="E43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10Z991RA/108898AA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08.09.2025г.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PLG-A-58 от  08.09.2025г.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920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920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7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161</v>
      </c>
      <c r="C1" s="172"/>
      <c r="D1" s="172"/>
      <c r="E1" s="172"/>
      <c r="F1" s="153" t="str">
        <f>+Инвойс!F1</f>
        <v xml:space="preserve"> 08.09.2025г.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GR-POL-01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ООО «POLARIUM»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>Республика Узбекистан. Ташкентская область, Бекабадский район,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махалля Зафар, Гулистан МФЙ, улица Мустакиллик, дом 1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 «TURON BANK» МФО 00446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в/с: 20208840907287520001 (доллар США)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SWIFT: TURONUZ22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ИНН: 312302455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ООО «POLARIUM»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>Республика Узбекистан. Ташкентская область, Бекабадский район,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махалля Зафар, Гулистан МФЙ, улица Мустакиллик, дом 1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 «TURON BANK» МФО 00446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в/с: 20208840907287520001 (доллар США)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SWIFT: TURONUZ22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ИНН: 312302455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38" t="s">
        <v>115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10Z991RA/108898AA</v>
      </c>
      <c r="F26" s="140"/>
      <c r="G26" s="140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2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920</v>
      </c>
      <c r="F30" s="116" t="str">
        <f>+Инвойс!F30</f>
        <v>кг</v>
      </c>
      <c r="G30" s="106">
        <f>+Инвойс!G30</f>
        <v>23000</v>
      </c>
      <c r="H30" s="106">
        <f>+Инвойс!H30</f>
        <v>21344</v>
      </c>
      <c r="I30" s="108">
        <f>+Инвойс!I30</f>
        <v>0.25</v>
      </c>
      <c r="J30" s="13">
        <f>+Инвойс!J30</f>
        <v>5336</v>
      </c>
      <c r="K30" s="12">
        <v>0</v>
      </c>
      <c r="L30" s="12">
        <v>0</v>
      </c>
      <c r="M30" s="13">
        <f>+Инвойс!M30</f>
        <v>5336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920</v>
      </c>
      <c r="F31" s="15"/>
      <c r="G31" s="64">
        <f>SUM(G30:G30)</f>
        <v>23000</v>
      </c>
      <c r="H31" s="64">
        <f>SUM(H30:H30)</f>
        <v>21344</v>
      </c>
      <c r="I31" s="102"/>
      <c r="J31" s="17">
        <f>SUM(J30:J30)</f>
        <v>5336</v>
      </c>
      <c r="K31" s="16"/>
      <c r="L31" s="16"/>
      <c r="M31" s="17">
        <f>SUM(M30:M30)</f>
        <v>5336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триста тридцать шесть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152</v>
      </c>
      <c r="B36" s="131"/>
      <c r="D36" s="18" t="str">
        <f>+Инвойс!D36</f>
        <v>Юнусов Х.Р</v>
      </c>
      <c r="E36" s="132"/>
      <c r="G36" s="129" t="s">
        <v>128</v>
      </c>
      <c r="H36" s="18" t="str">
        <f>Инвойс!G5</f>
        <v>ООО «ГРИН ВОРЛД»</v>
      </c>
      <c r="K36" s="133" t="s">
        <v>142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154</v>
      </c>
    </row>
    <row r="6" spans="1:10" x14ac:dyDescent="0.25">
      <c r="E6" s="18" t="s">
        <v>155</v>
      </c>
      <c r="J6" s="25" t="s">
        <v>130</v>
      </c>
    </row>
    <row r="7" spans="1:10" ht="52.8" x14ac:dyDescent="0.25">
      <c r="A7" s="126" t="s">
        <v>117</v>
      </c>
    </row>
    <row r="8" spans="1:10" x14ac:dyDescent="0.25">
      <c r="E8" s="18" t="s">
        <v>156</v>
      </c>
      <c r="J8" s="25" t="s">
        <v>131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156</v>
      </c>
      <c r="J10" s="25" t="s">
        <v>132</v>
      </c>
    </row>
    <row r="11" spans="1:10" ht="52.8" x14ac:dyDescent="0.25">
      <c r="A11" s="126" t="s">
        <v>153</v>
      </c>
    </row>
    <row r="12" spans="1:10" x14ac:dyDescent="0.25">
      <c r="E12" s="18" t="s">
        <v>157</v>
      </c>
      <c r="J12" s="25" t="s">
        <v>133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5336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тридцать шесть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45908</v>
      </c>
      <c r="O3" s="177"/>
      <c r="P3">
        <f ca="1">DAY(N3)</f>
        <v>8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триста тридцать шесть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8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тридцать шесть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тридцать шесть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тридцать шесть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45908</v>
      </c>
    </row>
    <row r="13" spans="1:19" s="43" customFormat="1" x14ac:dyDescent="0.25">
      <c r="A13" s="49"/>
      <c r="D13" s="51"/>
      <c r="E13" s="52">
        <f>TRUNC(E2)</f>
        <v>5336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5336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336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2025-09-08T07:08:14Z</cp:lastPrinted>
  <dcterms:created xsi:type="dcterms:W3CDTF">1996-10-14T23:33:28Z</dcterms:created>
  <dcterms:modified xsi:type="dcterms:W3CDTF">2025-09-08T07:09:46Z</dcterms:modified>
</cp:coreProperties>
</file>