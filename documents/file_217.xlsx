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F1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<sst xmlns="http://schemas.openxmlformats.org/spreadsheetml/2006/main" count="201" uniqueCount="163">
  <si>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</si>
  <si>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</si>
  <si>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</si>
  <si>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</si>
  <si>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</si>
  <si>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</si>
  <si>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</si>
  <si>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</si>
  <si>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</si>
  <si>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</si>
  <si>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</si>
  <si>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</si>
  <si>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</si>
  <si>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</si>
  <si>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</si>
  <si>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</si>
  <si>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</si>
  <si>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</si>
  <si>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</si>
  <si>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</si>
  <si>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</si>
  <si>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</si>
  <si>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</si>
  <si>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</si>
  <si>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</si>
  <si>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</si>
  <si>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</si>
  <si>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</si>
  <si>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</si>
  <si>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</si>
  <si>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</si>
  <si>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</si>
  <si>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</si>
  <si>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</si>
  <si>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</si>
  <si>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</si>
  <si>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</si>
  <si>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</si>
  <si>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</si>
  <si>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</si>
  <si>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</si>
  <si>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</si>
  <si>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</si>
  <si>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</si>
  <si>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</si>
  <si>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</si>
  <si>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</si>
  <si>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</si>
  <si>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</si>
  <si>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</si>
  <si>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</si>
  <si>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</si>
  <si>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</si>
  <si>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</si>
  <si>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</si>
  <si>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</si>
  <si>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</si>
  <si>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</si>
  <si>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</si>
  <si>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</si>
  <si>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</si>
  <si>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</si>
  <si>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</si>
  <si>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</si>
  <si>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</si>
  <si>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</si>
  <si>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</si>
  <si>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</si>
  <si>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</si>
  <si>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</si>
  <si>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</si>
  <si>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</si>
  <si>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</si>
  <si>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</si>
  <si>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</si>
  <si>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</si>
  <si>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</si>
  <si>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</si>
  <si>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</si>
  <si>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</si>
  <si>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</si>
  <si>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</si>
  <si>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</si>
  <si>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</si>
  <si>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</si>
  <si>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</si>
  <si>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</si>
  <si>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</si>
  <si>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</si>
  <si>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</si>
  <si>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</si>
  <si>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</si>
  <si>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</si>
  <si>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</si>
  <si>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</si>
  <si>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</si>
  <si>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</si>
  <si>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</si>
  <si>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</si>
  <si>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</si>
  <si>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</si>
  <si>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</si>
  <si>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</si>
  <si>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</si>
  <si>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</si>
  <si>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</si>
  <si>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</si>
  <si>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</si>
  <si>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</si>
  <si>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</si>
  <si>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</si>
  <si>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</si>
  <si>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</si>
  <si>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</si>
  <si>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</si>
  <si>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</si>
  <si>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</si>
  <si>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</si>
  <si>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</si>
  <si>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</si>
  <si>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</si>
  <si>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</si>
  <si>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</si>
  <si>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</si>
  <si>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</si>
  <si>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</si>
  <si>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</si>
  <si>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</si>
  <si>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</si>
  <si>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</si>
  <si>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</si>
  <si>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</si>
  <si>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</si>
  <si>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</si>
  <si>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</si>
  <si>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</si>
  <si>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</si>
  <si>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</si>
  <si>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</si>
  <si>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</si>
  <si>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</si>
  <si>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</si>
  <si>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</si>
  <si>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</si>
  <si>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</si>
  <si>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</si>
  <si>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</si>
  <si>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</si>
  <si>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</si>
  <si>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</si>
  <si>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</si>
  <si>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</si>
  <si>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</si>
  <si>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</si>
  <si>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</si>
  <si>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</si>
  <si>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</si>
  <si>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</si>
  <si>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13.08.2025г.</t>
  </si>
  <si>
    <t xml:space="preserve">ИНВОЙС № BEZ-N-34 от </t>
  </si>
  <si>
    <t xml:space="preserve">СПЕЦИФИКАЦИЯ № BEZ-N-34 от </t>
  </si>
  <si>
    <t>30K700RA/304477AA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</si>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</sst>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=""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9" t="s">
        <v>159</v>
      </c>
      <c r="D1" s="149"/>
      <c r="E1" s="149"/>
      <c r="F1" s="148" t="s">
        <v>158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137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">
        <v>161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935</v>
      </c>
      <c r="F30" s="115" t="s">
        <v>27</v>
      </c>
      <c r="G30" s="106">
        <v>23000</v>
      </c>
      <c r="H30" s="106">
        <v>21217</v>
      </c>
      <c r="I30" s="108">
        <v>0.2</v>
      </c>
      <c r="J30" s="13">
        <f t="shared" ref="J30" si="0">H30*I30</f>
        <v>4243.4000000000005</v>
      </c>
      <c r="K30" s="12">
        <v>0</v>
      </c>
      <c r="L30" s="12">
        <v>0</v>
      </c>
      <c r="M30" s="13">
        <f t="shared" ref="M30" si="1">J30</f>
        <v>4243.4000000000005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935</v>
      </c>
      <c r="F31" s="15"/>
      <c r="G31" s="64">
        <f>SUM(G30:G30)</f>
        <v>23000</v>
      </c>
      <c r="H31" s="64">
        <f>SUM(H30:H30)</f>
        <v>21217</v>
      </c>
      <c r="I31" s="102"/>
      <c r="J31" s="17">
        <f>SUM(J30:J30)</f>
        <v>4243.4000000000005</v>
      </c>
      <c r="K31" s="16"/>
      <c r="L31" s="16"/>
      <c r="M31" s="17">
        <f>SUM(M30:M30)</f>
        <v>4243.4000000000005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три доллара США,40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4" zoomScaleNormal="100" workbookViewId="0">
      <selection activeCell="B25" sqref="B25:D25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BEZ-N-34 от  13.08.2025г.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13.08.2025г.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30K700RA/304477AA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="70" zoomScaleNormal="70" workbookViewId="0">
      <selection activeCell="D47" sqref="D47:E4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30K700RA/304477AA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BEZ-N-34 от  13.08.2025г.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935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59"/>
      <c r="H20" s="159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59"/>
      <c r="H22" s="159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59"/>
      <c r="H24" s="159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59"/>
      <c r="H26" s="159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59"/>
      <c r="H28" s="159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59"/>
      <c r="H30" s="159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59"/>
      <c r="H32" s="159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59"/>
      <c r="H34" s="159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59"/>
      <c r="H36" s="159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59"/>
      <c r="H38" s="159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59"/>
      <c r="H42" s="159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1"/>
      <c r="H44" s="161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935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55" zoomScaleNormal="5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8" t="s">
        <v>160</v>
      </c>
      <c r="C1" s="168"/>
      <c r="D1" s="168"/>
      <c r="E1" s="168"/>
      <c r="F1" s="148" t="str">
        <f>+Инвойс!F1</f>
        <v xml:space="preserve"> 13.08.2025г.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3.8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30K700RA/304477AA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8.8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935</v>
      </c>
      <c r="F30" s="115" t="str">
        <f>+Инвойс!F30</f>
        <v>кг</v>
      </c>
      <c r="G30" s="106">
        <f>+Инвойс!G30</f>
        <v>23000</v>
      </c>
      <c r="H30" s="106">
        <f>+Инвойс!H30</f>
        <v>21217</v>
      </c>
      <c r="I30" s="108">
        <f>+Инвойс!I30</f>
        <v>0.2</v>
      </c>
      <c r="J30" s="13">
        <f>+Инвойс!J30</f>
        <v>4243.4000000000005</v>
      </c>
      <c r="K30" s="12">
        <v>0</v>
      </c>
      <c r="L30" s="12">
        <v>0</v>
      </c>
      <c r="M30" s="13">
        <f>+Инвойс!M30</f>
        <v>4243.4000000000005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935</v>
      </c>
      <c r="F31" s="15"/>
      <c r="G31" s="64">
        <f>SUM(G30:G30)</f>
        <v>23000</v>
      </c>
      <c r="H31" s="64">
        <f>SUM(H30:H30)</f>
        <v>21217</v>
      </c>
      <c r="I31" s="102"/>
      <c r="J31" s="17">
        <f>SUM(J30:J30)</f>
        <v>4243.4000000000005</v>
      </c>
      <c r="K31" s="16"/>
      <c r="L31" s="16"/>
      <c r="M31" s="17">
        <f>SUM(M30:M30)</f>
        <v>4243.4000000000005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три доллара США,40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4243.4000000000005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три доллара США,40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45882</v>
      </c>
      <c r="O3" s="175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три доллара США,40 центов. (в т.ч. НДС - 357,79)</v>
      </c>
      <c r="H4" s="32"/>
      <c r="I4" s="32"/>
      <c r="J4" s="32"/>
      <c r="K4" s="176" t="str">
        <f ca="1">CONCATENATE(" «  ",P3,"  »  ",Q3,"  ",R3," г.")</f>
        <v xml:space="preserve"> «  13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три доллара США,40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три доллара США,40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сорок три доллара США,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40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4243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40</v>
      </c>
      <c r="C31" s="59">
        <f>TRUNC(A31/10)</f>
        <v>4</v>
      </c>
      <c r="E31" s="56" t="str">
        <f>IF(OR(C31=1,C31=0),"",IF(C31=2,E35,IF(C31=3,E36,IF(C31=4,E37,IF(C31=5,E38,IF(C31=6,E39,IF(C31=7,E40,IF(C31=8,E41,E42))))))))</f>
        <v xml:space="preserve">сорок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2025-08-13T11:25:45Z</cp:lastPrinted>
  <dcterms:created xsi:type="dcterms:W3CDTF">1996-10-14T23:33:28Z</dcterms:created>
  <dcterms:modified xsi:type="dcterms:W3CDTF">2025-08-13T11:25:48Z</dcterms:modified>
</cp:coreProperties>
</file>