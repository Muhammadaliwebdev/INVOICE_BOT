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FD7F65-BCAE-4493-A52F-C525F6C78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<sst xmlns="http://schemas.openxmlformats.org/spreadsheetml/2006/main" count="209" uniqueCount="171">
  <si>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</si>
  <si>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</si>
  <si>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</si>
  <si>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</si>
  <si>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</si>
  <si>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</si>
  <si>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</si>
  <si>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</si>
  <si>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</si>
  <si>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</si>
  <si>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</si>
  <si>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</si>
  <si>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</si>
  <si>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</si>
  <si>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</si>
  <si>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</si>
  <si>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</si>
  <si>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</si>
  <si>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</si>
  <si>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</si>
  <si>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</si>
  <si>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</si>
  <si>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</si>
  <si>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</si>
  <si>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</si>
  <si>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</si>
  <si>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</si>
  <si>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</si>
  <si>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</si>
  <si>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</si>
  <si>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</si>
  <si>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</si>
  <si>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</si>
  <si>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</si>
  <si>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</si>
  <si>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</si>
  <si>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</si>
  <si>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</si>
  <si>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</si>
  <si>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</si>
  <si>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</si>
  <si>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</si>
  <si>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</si>
  <si>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</si>
  <si>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</si>
  <si>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</si>
  <si>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</si>
  <si>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</si>
  <si>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</si>
  <si>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</si>
  <si>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</si>
  <si>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</si>
  <si>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</si>
  <si>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</si>
  <si>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</si>
  <si>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</si>
  <si>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</si>
  <si>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</si>
  <si>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</si>
  <si>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</si>
  <si>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</si>
  <si>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</si>
  <si>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</si>
  <si>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</si>
  <si>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</si>
  <si>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</si>
  <si>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</si>
  <si>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</si>
  <si>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</si>
  <si>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</si>
  <si>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</si>
  <si>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</si>
  <si>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</si>
  <si>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</si>
  <si>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</si>
  <si>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</si>
  <si>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</si>
  <si>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</si>
  <si>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</si>
  <si>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</si>
  <si>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</si>
  <si>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</si>
  <si>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</si>
  <si>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</si>
  <si>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</si>
  <si>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</si>
  <si>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</si>
  <si>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</si>
  <si>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</si>
  <si>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</si>
  <si>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</si>
  <si>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</si>
  <si>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</si>
  <si>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</si>
  <si>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</si>
  <si>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</si>
  <si>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</si>
  <si>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</si>
  <si>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</si>
  <si>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</si>
  <si>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</si>
  <si>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</si>
  <si>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</si>
  <si>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</si>
  <si>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</si>
  <si>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</si>
  <si>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</si>
  <si>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</si>
  <si>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</si>
  <si>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</si>
  <si>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</si>
  <si>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</si>
  <si>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</si>
  <si>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</si>
  <si>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</si>
  <si>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</si>
  <si>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</si>
  <si>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</si>
  <si>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</si>
  <si>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</si>
  <si>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</si>
  <si>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</si>
  <si>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</si>
  <si>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</si>
  <si>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</si>
  <si>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</si>
  <si>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</si>
  <si>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</si>
  <si>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</si>
  <si>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</si>
  <si>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</si>
  <si>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</si>
  <si>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</si>
  <si>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</si>
  <si>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</si>
  <si>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</si>
  <si>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</si>
  <si>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</si>
  <si>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</si>
  <si>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</si>
  <si>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</si>
  <si>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</si>
  <si>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</si>
  <si>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</si>
  <si>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</si>
  <si>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</si>
  <si>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"МАНГО"</t>
  </si>
  <si>
    <t xml:space="preserve">117447, Город Москва, ул Дмитрия Ульянова, </t>
  </si>
  <si>
    <t>д. 35, стр. 1, помещ. 17/2</t>
  </si>
  <si>
    <t>ИНН: 7703821282 КПП: 772701001</t>
  </si>
  <si>
    <t>Валютный счет USD: 40702840900000003367</t>
  </si>
  <si>
    <t>Корр. счет: 30101810445250000234</t>
  </si>
  <si>
    <t xml:space="preserve">Азия-Инвест Банк (АО) БИК банка 044525234 </t>
  </si>
  <si>
    <t>(SWIFT code: NBFAUZ2X)</t>
  </si>
  <si>
    <t>Ульянов А.В</t>
  </si>
  <si>
    <t>к контракту № EX0908-VIS от 09.08.2025 года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</si>
  <si>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</si>
  <si>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</si>
  <si>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</si>
  <si>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</si>
  <si>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</si>
  <si>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</si>
  <si>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</si>
  <si>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</si>
  <si>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</si>
  <si>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ИНВОЙС № VM-N-6 от </t>
  </si>
  <si>
    <t xml:space="preserve"> 24.08.2025г.</t>
  </si>
  <si>
    <t>30T545QB/013815BA</t>
  </si>
  <si>
    <t xml:space="preserve">СПЕЦИФИКАЦИЯ № VM-N-6 от </t>
  </si>
  <si>
    <t>Пласт. ящик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</si>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</sst>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179295</xdr:colOff>
      <xdr:row>36</xdr:row>
      <xdr:rowOff>179294</xdr:rowOff>
    </xdr:from>
    <xdr:to>
      <xdr:col>10</xdr:col>
      <xdr:colOff>44264</xdr:colOff>
      <xdr:row>50</xdr:row>
      <xdr:rowOff>40902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854" y="19397382"/>
          <a:ext cx="2397498" cy="2226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44823</xdr:colOff>
      <xdr:row>36</xdr:row>
      <xdr:rowOff>70736</xdr:rowOff>
    </xdr:from>
    <xdr:to>
      <xdr:col>12</xdr:col>
      <xdr:colOff>750794</xdr:colOff>
      <xdr:row>40</xdr:row>
      <xdr:rowOff>117661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1911" y="19288824"/>
          <a:ext cx="1187824" cy="80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165</v>
      </c>
      <c r="D1" s="134"/>
      <c r="E1" s="134"/>
      <c r="F1" s="133" t="s">
        <v>166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155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156</v>
      </c>
      <c r="B5" s="135"/>
      <c r="C5" s="135"/>
      <c r="D5" s="135"/>
      <c r="E5" s="135"/>
      <c r="F5" s="6"/>
      <c r="G5" s="137" t="s">
        <v>146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157</v>
      </c>
      <c r="B6" s="142"/>
      <c r="C6" s="142"/>
      <c r="D6" s="142"/>
      <c r="E6" s="142"/>
      <c r="F6" s="7"/>
      <c r="G6" s="139" t="s">
        <v>147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164</v>
      </c>
      <c r="B7" s="142"/>
      <c r="C7" s="142"/>
      <c r="D7" s="142"/>
      <c r="E7" s="142"/>
      <c r="F7" s="63"/>
      <c r="G7" s="139" t="s">
        <v>148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158</v>
      </c>
      <c r="B8" s="8"/>
      <c r="C8" s="8"/>
      <c r="D8" s="8"/>
      <c r="E8" s="8"/>
      <c r="F8" s="63"/>
      <c r="G8" s="7" t="s">
        <v>149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159</v>
      </c>
      <c r="B9" s="8"/>
      <c r="C9" s="8"/>
      <c r="D9" s="8"/>
      <c r="E9" s="8"/>
      <c r="F9" s="7"/>
      <c r="G9" s="7" t="s">
        <v>150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160</v>
      </c>
      <c r="B10" s="124"/>
      <c r="C10" s="124"/>
      <c r="D10" s="124"/>
      <c r="E10" s="124"/>
      <c r="F10" s="7"/>
      <c r="G10" s="7" t="s">
        <v>151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161</v>
      </c>
      <c r="B11" s="8"/>
      <c r="C11" s="8"/>
      <c r="D11" s="8"/>
      <c r="E11" s="8"/>
      <c r="F11" s="7"/>
      <c r="G11" s="7" t="s">
        <v>152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153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156</v>
      </c>
      <c r="B14" s="135"/>
      <c r="C14" s="135"/>
      <c r="D14" s="135"/>
      <c r="E14" s="135"/>
      <c r="F14" s="6"/>
      <c r="G14" s="137" t="s">
        <v>123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157</v>
      </c>
      <c r="B15" s="142"/>
      <c r="C15" s="142"/>
      <c r="D15" s="142"/>
      <c r="E15" s="142"/>
      <c r="F15" s="7"/>
      <c r="G15" s="139" t="s">
        <v>124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164</v>
      </c>
      <c r="B16" s="142"/>
      <c r="C16" s="142"/>
      <c r="D16" s="142"/>
      <c r="E16" s="142"/>
      <c r="F16" s="63"/>
      <c r="G16" s="139" t="s">
        <v>125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158</v>
      </c>
      <c r="B17" s="8"/>
      <c r="C17" s="8"/>
      <c r="D17" s="8"/>
      <c r="E17" s="8"/>
      <c r="F17" s="63"/>
      <c r="G17" s="7" t="s">
        <v>126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159</v>
      </c>
      <c r="B18" s="8"/>
      <c r="C18" s="8"/>
      <c r="D18" s="8"/>
      <c r="E18" s="8"/>
      <c r="F18" s="7"/>
      <c r="G18" s="8" t="s">
        <v>127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160</v>
      </c>
      <c r="B19" s="124"/>
      <c r="C19" s="124"/>
      <c r="D19" s="124"/>
      <c r="E19" s="124"/>
      <c r="F19" s="7"/>
      <c r="G19" s="7" t="s">
        <v>128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161</v>
      </c>
      <c r="B20" s="8"/>
      <c r="C20" s="8"/>
      <c r="D20" s="8"/>
      <c r="E20" s="8"/>
      <c r="F20" s="7"/>
      <c r="G20" s="7" t="s">
        <v>129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145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167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131</v>
      </c>
      <c r="C30" s="107" t="s">
        <v>130</v>
      </c>
      <c r="D30" s="109" t="s">
        <v>169</v>
      </c>
      <c r="E30" s="101">
        <v>2300</v>
      </c>
      <c r="F30" s="115" t="s">
        <v>27</v>
      </c>
      <c r="G30" s="106">
        <v>22650</v>
      </c>
      <c r="H30" s="106">
        <v>21040</v>
      </c>
      <c r="I30" s="108">
        <v>0.65</v>
      </c>
      <c r="J30" s="13">
        <f t="shared" ref="J30" si="0">H30*I30</f>
        <v>13676</v>
      </c>
      <c r="K30" s="12">
        <v>0</v>
      </c>
      <c r="L30" s="12">
        <v>0</v>
      </c>
      <c r="M30" s="13">
        <f t="shared" ref="M30" si="1">J30</f>
        <v>13676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2"/>
      <c r="J31" s="17">
        <f>SUM(J30:J30)</f>
        <v>13676</v>
      </c>
      <c r="K31" s="16"/>
      <c r="L31" s="16"/>
      <c r="M31" s="17">
        <f>SUM(M30:M30)</f>
        <v>13676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Тринадцать тысяч шестьсот семьдесят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170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162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"МАНГО"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138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VM-N-6 от  24.08.2025г.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24.08.2025г.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30T545QB/013815BA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C25" sqref="C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30T545QB/013815BA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VM-N-6 от  24.08.2025г.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2300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22650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2300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5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168</v>
      </c>
      <c r="C1" s="173"/>
      <c r="D1" s="173"/>
      <c r="E1" s="173"/>
      <c r="F1" s="133" t="str">
        <f>+Инвойс!F1</f>
        <v xml:space="preserve"> 24.08.2025г.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EX0908-VIS от 09.08.2025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"МАНГО"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117447, Город Москва, ул Дмитрия Ульянова,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д. 35, стр. 1, помещ. 17/2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ИНН: 7703821282 КПП: 772701001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Валютный счет USD: 40702840900000003367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 xml:space="preserve">Азия-Инвест Банк (АО) БИК банка 044525234 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30T545QB/013815BA</v>
      </c>
      <c r="F26" s="155"/>
      <c r="G26" s="155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2300</v>
      </c>
      <c r="F30" s="115" t="str">
        <f>+Инвойс!F30</f>
        <v>кг</v>
      </c>
      <c r="G30" s="106">
        <f>+Инвойс!G30</f>
        <v>22650</v>
      </c>
      <c r="H30" s="106">
        <f>+Инвойс!H30</f>
        <v>21040</v>
      </c>
      <c r="I30" s="108">
        <f>+Инвойс!I30</f>
        <v>0.65</v>
      </c>
      <c r="J30" s="13">
        <f>+Инвойс!J30</f>
        <v>13676</v>
      </c>
      <c r="K30" s="12">
        <v>0</v>
      </c>
      <c r="L30" s="12">
        <v>0</v>
      </c>
      <c r="M30" s="13">
        <f>+Инвойс!M30</f>
        <v>13676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2"/>
      <c r="J31" s="17">
        <f>SUM(J30:J30)</f>
        <v>13676</v>
      </c>
      <c r="K31" s="16"/>
      <c r="L31" s="16"/>
      <c r="M31" s="17">
        <f>SUM(M30:M30)</f>
        <v>13676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Тринадцать тысяч шестьсот семьдесят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163</v>
      </c>
      <c r="B36" s="130"/>
      <c r="D36" s="18" t="str">
        <f>+Инвойс!D36</f>
        <v>Авазов К.Ф</v>
      </c>
      <c r="E36" s="131"/>
      <c r="G36" s="128" t="s">
        <v>137</v>
      </c>
      <c r="H36" s="18" t="str">
        <f>Инвойс!G5</f>
        <v>ООО "МАНГО"</v>
      </c>
      <c r="K36" s="132" t="s">
        <v>154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5" t="s">
        <v>115</v>
      </c>
    </row>
    <row r="2" spans="1:9" x14ac:dyDescent="0.25">
      <c r="D2" s="18" t="s">
        <v>136</v>
      </c>
      <c r="I2" s="25" t="s">
        <v>139</v>
      </c>
    </row>
    <row r="3" spans="1:9" ht="52.8" x14ac:dyDescent="0.25">
      <c r="A3" s="129" t="s">
        <v>135</v>
      </c>
    </row>
    <row r="4" spans="1:9" x14ac:dyDescent="0.25">
      <c r="D4" s="18" t="s">
        <v>145</v>
      </c>
      <c r="I4" s="25" t="s">
        <v>140</v>
      </c>
    </row>
    <row r="5" spans="1:9" ht="39.6" x14ac:dyDescent="0.25">
      <c r="A5" s="125" t="s">
        <v>116</v>
      </c>
    </row>
    <row r="6" spans="1:9" x14ac:dyDescent="0.25">
      <c r="D6" s="18" t="s">
        <v>141</v>
      </c>
      <c r="I6" s="25" t="s">
        <v>142</v>
      </c>
    </row>
    <row r="7" spans="1:9" ht="52.8" x14ac:dyDescent="0.25">
      <c r="A7" s="125" t="s">
        <v>117</v>
      </c>
    </row>
    <row r="8" spans="1:9" x14ac:dyDescent="0.25">
      <c r="D8" s="18" t="s">
        <v>143</v>
      </c>
      <c r="I8" s="25" t="s">
        <v>144</v>
      </c>
    </row>
    <row r="9" spans="1:9" ht="52.8" x14ac:dyDescent="0.25">
      <c r="A9" s="125" t="s">
        <v>118</v>
      </c>
    </row>
    <row r="10" spans="1:9" x14ac:dyDescent="0.25">
      <c r="A10" s="125"/>
    </row>
    <row r="11" spans="1:9" ht="52.8" x14ac:dyDescent="0.25">
      <c r="A11" s="125" t="s">
        <v>119</v>
      </c>
    </row>
    <row r="13" spans="1:9" ht="52.8" x14ac:dyDescent="0.25">
      <c r="A13" s="125" t="s">
        <v>120</v>
      </c>
    </row>
    <row r="15" spans="1:9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13676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Тринадцать тысяч шестьсот семьдесят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45893</v>
      </c>
      <c r="O3" s="177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Тринадцать тысяч шестьсот семьдесят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24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тринадцать тысяч шестьсот семьдесят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тринадцать тысяч шестьсот семьдесят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тринадцать тысяч </v>
      </c>
      <c r="D10" s="47"/>
      <c r="E10" s="48"/>
      <c r="F10" s="41" t="str">
        <f>PROPER(F9)</f>
        <v>Т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шестьсот семьдесят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13676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13</v>
      </c>
      <c r="B25" s="47">
        <f>TRUNC(RIGHT(A25))</f>
        <v>3</v>
      </c>
      <c r="C25" s="51">
        <f>IF(B24=1,B25+10,IF(B25=0,0,B25))</f>
        <v>13</v>
      </c>
      <c r="D25" s="43" t="str">
        <f>IF(AND(C25&gt;9,C25&lt;16),IF(C25=10,D34,IF(C25=11,D35,IF(C25=12,D36,IF(C25=13,D37,IF(C25=14,D38,IF(C25=15,D39,)))))),"")</f>
        <v xml:space="preserve">тринадцать </v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13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136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5">
      <c r="A28" s="54">
        <f>TRUNC(A29/10)</f>
        <v>1367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13676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676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2025-08-24T05:35:10Z</cp:lastPrinted>
  <dcterms:created xsi:type="dcterms:W3CDTF">1996-10-14T23:33:28Z</dcterms:created>
  <dcterms:modified xsi:type="dcterms:W3CDTF">2025-08-24T05:35:30Z</dcterms:modified>
</cp:coreProperties>
</file>