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J31" i="2" l="1"/>
  <c r="G4" i="7"/>
  <c r="A4" i="7"/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<sst xmlns="http://schemas.openxmlformats.org/spreadsheetml/2006/main" count="214" uniqueCount="166">
  <si>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</si>
  <si>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</si>
  <si>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</si>
  <si>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</si>
  <si>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</si>
  <si>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</si>
  <si>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</si>
  <si>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</si>
  <si>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</si>
  <si>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</si>
  <si>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</si>
  <si>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</si>
  <si>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</si>
  <si>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</si>
  <si>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</si>
  <si>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</si>
  <si>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</si>
  <si>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</si>
  <si>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</si>
  <si>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</si>
  <si>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</si>
  <si>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</si>
  <si>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</si>
  <si>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</si>
  <si>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</si>
  <si>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</si>
  <si>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</si>
  <si>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</si>
  <si>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</si>
  <si>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</si>
  <si>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</si>
  <si>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</si>
  <si>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</si>
  <si>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</si>
  <si>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</si>
  <si>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</si>
  <si>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</si>
  <si>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</si>
  <si>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</si>
  <si>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</si>
  <si>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</si>
  <si>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</si>
  <si>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</si>
  <si>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</si>
  <si>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</si>
  <si>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</si>
  <si>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</si>
  <si>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</si>
  <si>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</si>
  <si>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</si>
  <si>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</si>
  <si>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</si>
  <si>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</si>
  <si>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</si>
  <si>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</si>
  <si>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</si>
  <si>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</si>
  <si>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</si>
  <si>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</si>
  <si>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</si>
  <si>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</si>
  <si>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</si>
  <si>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</si>
  <si>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</si>
  <si>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</si>
  <si>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</si>
  <si>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</si>
  <si>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</si>
  <si>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</si>
  <si>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</si>
  <si>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</si>
  <si>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</si>
  <si>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</si>
  <si>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</si>
  <si>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</si>
  <si>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</si>
  <si>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</si>
  <si>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</si>
  <si>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</si>
  <si>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</si>
  <si>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</si>
  <si>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</si>
  <si>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</si>
  <si>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</si>
  <si>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</si>
  <si>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</si>
  <si>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</si>
  <si>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</si>
  <si>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</si>
  <si>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</si>
  <si>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</si>
  <si>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</si>
  <si>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</si>
  <si>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</si>
  <si>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</si>
  <si>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</si>
  <si>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</si>
  <si>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</si>
  <si>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</si>
  <si>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</si>
  <si>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</si>
  <si>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</si>
  <si>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</si>
  <si>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</si>
  <si>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</si>
  <si>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</si>
  <si>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</si>
  <si>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</si>
  <si>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</si>
  <si>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Капуста белокачанная свежая</t>
  </si>
  <si>
    <t xml:space="preserve">Капуста цветная свежая </t>
  </si>
  <si>
    <t>0704100000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</si>
  <si>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</si>
  <si>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</si>
  <si>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</si>
  <si>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</si>
  <si>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</si>
  <si>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</si>
  <si>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</si>
  <si>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</si>
  <si>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</si>
  <si>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</si>
  <si>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</si>
  <si>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0704901002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</si>
  <si>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</si>
  <si>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</si>
  <si>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</si>
  <si>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</si>
  <si>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</si>
  <si>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</si>
  <si>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</si>
  <si>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</si>
  <si>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</si>
  <si>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</si>
  <si>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</si>
  <si>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</si>
  <si>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</si>
  <si>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</si>
  <si>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</si>
  <si>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</si>
  <si>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</si>
  <si>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</si>
  <si>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</si>
  <si>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</si>
  <si>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</si>
  <si>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</si>
  <si>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</si>
  <si>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</si>
  <si>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</si>
  <si>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</si>
  <si>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</si>
  <si>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</si>
  <si>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</si>
  <si>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</si>
  <si>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</si>
  <si>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</si>
  <si>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</si>
  <si>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</si>
  <si>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</si>
  <si>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Продавец/Грузоотправитель:  </t>
  </si>
  <si>
    <t xml:space="preserve">Покупатель/Грузополучатель: </t>
  </si>
  <si>
    <t xml:space="preserve"> 09.09.2025г.</t>
  </si>
  <si>
    <t>ИНН: 312294736</t>
  </si>
  <si>
    <t xml:space="preserve">ИНВОЙС № EXG-F-56 от </t>
  </si>
  <si>
    <t xml:space="preserve">СПЕЦИФИКАЦИЯ № EXG-F-56 от </t>
  </si>
  <si>
    <t>10494FCA/105071BA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</si>
</sst>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37</xdr:row>
      <xdr:rowOff>123262</xdr:rowOff>
    </xdr:from>
    <xdr:to>
      <xdr:col>3</xdr:col>
      <xdr:colOff>439882</xdr:colOff>
      <xdr:row>51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37</xdr:row>
      <xdr:rowOff>78440</xdr:rowOff>
    </xdr:from>
    <xdr:to>
      <xdr:col>5</xdr:col>
      <xdr:colOff>179852</xdr:colOff>
      <xdr:row>40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38</xdr:row>
      <xdr:rowOff>11205</xdr:rowOff>
    </xdr:from>
    <xdr:to>
      <xdr:col>2</xdr:col>
      <xdr:colOff>427079</xdr:colOff>
      <xdr:row>51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37</xdr:row>
      <xdr:rowOff>156882</xdr:rowOff>
    </xdr:from>
    <xdr:to>
      <xdr:col>4</xdr:col>
      <xdr:colOff>112618</xdr:colOff>
      <xdr:row>41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358588</xdr:colOff>
      <xdr:row>37</xdr:row>
      <xdr:rowOff>57978</xdr:rowOff>
    </xdr:from>
    <xdr:to>
      <xdr:col>11</xdr:col>
      <xdr:colOff>123265</xdr:colOff>
      <xdr:row>50</xdr:row>
      <xdr:rowOff>7244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6B4716A-83C0-4A97-84CD-88B64BB28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3147" y="17292625"/>
          <a:ext cx="2532530" cy="2156825"/>
        </a:xfrm>
        <a:prstGeom prst="rect">
          <a:avLst/>
        </a:prstGeom>
      </xdr:spPr>
    </xdr:pic>
    <xdr:clientData/>
  </xdr:twoCellAnchor>
  <xdr:twoCellAnchor editAs="oneCell">
    <xdr:from>
      <xdr:col>10</xdr:col>
      <xdr:colOff>22412</xdr:colOff>
      <xdr:row>37</xdr:row>
      <xdr:rowOff>56029</xdr:rowOff>
    </xdr:from>
    <xdr:to>
      <xdr:col>12</xdr:col>
      <xdr:colOff>381000</xdr:colOff>
      <xdr:row>39</xdr:row>
      <xdr:rowOff>164473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997C8CF8-2CE8-4EEE-BEEC-A43C72A7A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17290676"/>
          <a:ext cx="840441" cy="489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3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4" t="s">
        <v>163</v>
      </c>
      <c r="D1" s="154"/>
      <c r="E1" s="154"/>
      <c r="F1" s="153" t="s">
        <v>161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28</v>
      </c>
      <c r="B2" s="19"/>
      <c r="C2" s="156" t="s">
        <v>143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159</v>
      </c>
      <c r="B4" s="146"/>
      <c r="C4" s="146"/>
      <c r="D4" s="146"/>
      <c r="E4" s="146"/>
      <c r="G4" s="146" t="s">
        <v>160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">
        <v>144</v>
      </c>
      <c r="B5" s="155"/>
      <c r="C5" s="155"/>
      <c r="D5" s="155"/>
      <c r="E5" s="155"/>
      <c r="F5" s="6"/>
      <c r="G5" s="148" t="s">
        <v>135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145</v>
      </c>
      <c r="B6" s="142"/>
      <c r="C6" s="142"/>
      <c r="D6" s="142"/>
      <c r="E6" s="142"/>
      <c r="F6" s="7"/>
      <c r="G6" s="141" t="s">
        <v>136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42" t="s">
        <v>146</v>
      </c>
      <c r="B7" s="142"/>
      <c r="C7" s="142"/>
      <c r="D7" s="142"/>
      <c r="E7" s="142"/>
      <c r="F7" s="63"/>
      <c r="G7" s="141" t="s">
        <v>137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147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5" x14ac:dyDescent="0.25">
      <c r="A9" s="8" t="s">
        <v>148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149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150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162</v>
      </c>
      <c r="B12" s="8"/>
      <c r="C12" s="8"/>
      <c r="D12" s="8"/>
      <c r="E12" s="8"/>
      <c r="F12" s="7"/>
      <c r="G12" s="144" t="s">
        <v>141</v>
      </c>
      <c r="H12" s="144"/>
      <c r="I12" s="144"/>
      <c r="J12" s="144"/>
      <c r="K12" s="144"/>
      <c r="L12" s="144"/>
      <c r="M12" s="144"/>
    </row>
    <row r="13" spans="1:15" ht="24" hidden="1" customHeight="1" x14ac:dyDescent="0.25">
      <c r="A13" s="146" t="s">
        <v>29</v>
      </c>
      <c r="B13" s="146"/>
      <c r="C13" s="146"/>
      <c r="D13" s="146"/>
      <c r="E13" s="146"/>
      <c r="G13" s="146" t="s">
        <v>19</v>
      </c>
      <c r="H13" s="147"/>
      <c r="I13" s="147"/>
      <c r="J13" s="147"/>
      <c r="K13" s="147"/>
      <c r="L13" s="147"/>
      <c r="M13" s="147"/>
    </row>
    <row r="14" spans="1:15" ht="14.25" hidden="1" customHeight="1" x14ac:dyDescent="0.2">
      <c r="A14" s="155" t="s">
        <v>144</v>
      </c>
      <c r="B14" s="155"/>
      <c r="C14" s="155"/>
      <c r="D14" s="155"/>
      <c r="E14" s="155"/>
      <c r="F14" s="6"/>
      <c r="G14" s="148" t="s">
        <v>135</v>
      </c>
      <c r="H14" s="148"/>
      <c r="I14" s="148"/>
      <c r="J14" s="148"/>
      <c r="K14" s="148"/>
      <c r="L14" s="148"/>
      <c r="M14" s="148"/>
    </row>
    <row r="15" spans="1:15" ht="13.9" hidden="1" customHeight="1" x14ac:dyDescent="0.25">
      <c r="A15" s="143" t="s">
        <v>145</v>
      </c>
      <c r="B15" s="142"/>
      <c r="C15" s="142"/>
      <c r="D15" s="142"/>
      <c r="E15" s="142"/>
      <c r="F15" s="7"/>
      <c r="G15" s="141" t="s">
        <v>136</v>
      </c>
      <c r="H15" s="141"/>
      <c r="I15" s="141"/>
      <c r="J15" s="141"/>
      <c r="K15" s="141"/>
      <c r="L15" s="141"/>
      <c r="M15" s="141"/>
    </row>
    <row r="16" spans="1:15" ht="15" hidden="1" x14ac:dyDescent="0.25">
      <c r="A16" s="142" t="s">
        <v>146</v>
      </c>
      <c r="B16" s="142"/>
      <c r="C16" s="142"/>
      <c r="D16" s="142"/>
      <c r="E16" s="142"/>
      <c r="F16" s="63"/>
      <c r="G16" s="141" t="s">
        <v>137</v>
      </c>
      <c r="H16" s="141"/>
      <c r="I16" s="141"/>
      <c r="J16" s="141"/>
      <c r="K16" s="141"/>
      <c r="L16" s="141"/>
      <c r="M16" s="141"/>
    </row>
    <row r="17" spans="1:17" ht="15" hidden="1" customHeight="1" x14ac:dyDescent="0.25">
      <c r="A17" s="8" t="s">
        <v>147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5" hidden="1" x14ac:dyDescent="0.25">
      <c r="A18" s="8" t="s">
        <v>148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5" hidden="1" x14ac:dyDescent="0.25">
      <c r="A19" s="125" t="s">
        <v>149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5" hidden="1" x14ac:dyDescent="0.25">
      <c r="A20" s="8" t="s">
        <v>150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5" hidden="1" x14ac:dyDescent="0.25">
      <c r="A21" s="99" t="s">
        <v>151</v>
      </c>
      <c r="B21" s="8"/>
      <c r="C21" s="8"/>
      <c r="D21" s="8"/>
      <c r="E21" s="8"/>
      <c r="G21" s="144" t="s">
        <v>141</v>
      </c>
      <c r="H21" s="144"/>
      <c r="I21" s="144"/>
      <c r="J21" s="144"/>
      <c r="K21" s="144"/>
      <c r="L21" s="144"/>
      <c r="M21" s="144"/>
    </row>
    <row r="22" spans="1:17" ht="43.5" customHeight="1" x14ac:dyDescent="0.25">
      <c r="A22" s="1" t="s">
        <v>86</v>
      </c>
      <c r="C22" s="65" t="s">
        <v>87</v>
      </c>
      <c r="F22" s="1"/>
    </row>
    <row r="23" spans="1:17" ht="26.25" customHeight="1" x14ac:dyDescent="0.2">
      <c r="A23" s="69" t="s">
        <v>85</v>
      </c>
      <c r="B23" s="68"/>
      <c r="C23" s="138" t="s">
        <v>127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 x14ac:dyDescent="0.25">
      <c r="A24" s="20" t="s">
        <v>20</v>
      </c>
      <c r="C24" s="18" t="s">
        <v>157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21</v>
      </c>
      <c r="C25" s="18" t="s">
        <v>22</v>
      </c>
    </row>
    <row r="26" spans="1:17" ht="15.75" x14ac:dyDescent="0.25">
      <c r="A26" s="1" t="s">
        <v>23</v>
      </c>
      <c r="C26" s="18" t="s">
        <v>24</v>
      </c>
      <c r="E26" s="139" t="s">
        <v>165</v>
      </c>
      <c r="F26" s="140"/>
      <c r="G26" s="140"/>
      <c r="J26" s="21"/>
    </row>
    <row r="27" spans="1:17" ht="34.5" customHeight="1" x14ac:dyDescent="0.25">
      <c r="A27" s="67" t="s">
        <v>108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v>1</v>
      </c>
      <c r="B30" s="101" t="s">
        <v>110</v>
      </c>
      <c r="C30" s="107" t="s">
        <v>111</v>
      </c>
      <c r="D30" s="109" t="s">
        <v>112</v>
      </c>
      <c r="E30" s="101">
        <v>1830</v>
      </c>
      <c r="F30" s="110" t="s">
        <v>25</v>
      </c>
      <c r="G30" s="106">
        <v>20256</v>
      </c>
      <c r="H30" s="106">
        <v>18426</v>
      </c>
      <c r="I30" s="108">
        <v>0.7</v>
      </c>
      <c r="J30" s="13">
        <f t="shared" ref="J30:J31" si="0">H30*I30</f>
        <v>12898.199999999999</v>
      </c>
      <c r="K30" s="12">
        <v>0</v>
      </c>
      <c r="L30" s="12">
        <v>0</v>
      </c>
      <c r="M30" s="13">
        <f t="shared" ref="M30:M31" si="1">J30</f>
        <v>12898.199999999999</v>
      </c>
      <c r="O30" s="100"/>
      <c r="Q30" s="100"/>
    </row>
    <row r="31" spans="1:17" ht="30" x14ac:dyDescent="0.2">
      <c r="A31" s="127">
        <v>2</v>
      </c>
      <c r="B31" s="101" t="s">
        <v>109</v>
      </c>
      <c r="C31" s="107" t="s">
        <v>123</v>
      </c>
      <c r="D31" s="109" t="s">
        <v>112</v>
      </c>
      <c r="E31" s="101">
        <v>2</v>
      </c>
      <c r="F31" s="116" t="s">
        <v>25</v>
      </c>
      <c r="G31" s="106">
        <v>44</v>
      </c>
      <c r="H31" s="106">
        <v>42</v>
      </c>
      <c r="I31" s="108">
        <v>0.3</v>
      </c>
      <c r="J31" s="13">
        <f t="shared" si="0"/>
        <v>12.6</v>
      </c>
      <c r="K31" s="12">
        <v>0</v>
      </c>
      <c r="L31" s="12">
        <v>0</v>
      </c>
      <c r="M31" s="13">
        <f t="shared" si="1"/>
        <v>12.6</v>
      </c>
      <c r="O31" s="100"/>
      <c r="Q31" s="100"/>
    </row>
    <row r="32" spans="1:17" ht="14.25" x14ac:dyDescent="0.2">
      <c r="A32" s="151" t="s">
        <v>0</v>
      </c>
      <c r="B32" s="152"/>
      <c r="C32" s="14"/>
      <c r="D32" s="15"/>
      <c r="E32" s="64">
        <f>SUM(E30:E31)</f>
        <v>1832</v>
      </c>
      <c r="F32" s="15"/>
      <c r="G32" s="64">
        <f>SUM(G30:G31)</f>
        <v>20300</v>
      </c>
      <c r="H32" s="64">
        <f>SUM(H30:H31)</f>
        <v>18468</v>
      </c>
      <c r="I32" s="102"/>
      <c r="J32" s="17">
        <f>SUM(J30:J31)</f>
        <v>12910.8</v>
      </c>
      <c r="K32" s="16"/>
      <c r="L32" s="16"/>
      <c r="M32" s="17">
        <f>SUM(M30:M31)</f>
        <v>12910.8</v>
      </c>
      <c r="P32" s="66"/>
    </row>
    <row r="33" spans="1:14" ht="13.5" x14ac:dyDescent="0.25">
      <c r="A33" s="2" t="s">
        <v>17</v>
      </c>
      <c r="B33" s="3"/>
      <c r="C33" s="11"/>
      <c r="D33" s="11"/>
      <c r="E33" s="149" t="str">
        <f>Лист1!B3</f>
        <v>Двенадцать тысяч девятьсот десять долларов США, 80 центов.</v>
      </c>
      <c r="F33" s="150"/>
      <c r="G33" s="150"/>
      <c r="H33" s="150"/>
      <c r="I33" s="150"/>
      <c r="J33" s="150"/>
      <c r="K33" s="150"/>
      <c r="L33" s="150"/>
      <c r="M33" s="150"/>
    </row>
    <row r="34" spans="1:14" ht="20.2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ht="25.5" customHeight="1" x14ac:dyDescent="0.2">
      <c r="A35" s="145" t="s">
        <v>107</v>
      </c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7" spans="1:14" ht="15" x14ac:dyDescent="0.25">
      <c r="A37" s="7" t="s">
        <v>26</v>
      </c>
      <c r="B37" s="7"/>
      <c r="D37" s="25" t="s">
        <v>152</v>
      </c>
      <c r="E37" s="24"/>
    </row>
    <row r="38" spans="1:14" ht="15" x14ac:dyDescent="0.25">
      <c r="A38" s="7"/>
      <c r="B38" s="9"/>
    </row>
    <row r="39" spans="1:14" ht="15" x14ac:dyDescent="0.25">
      <c r="A39" s="7" t="s">
        <v>18</v>
      </c>
      <c r="B39" s="9"/>
    </row>
    <row r="40" spans="1:14" ht="15" x14ac:dyDescent="0.25">
      <c r="A40" s="7"/>
      <c r="B40" s="9"/>
    </row>
    <row r="41" spans="1:14" ht="15" x14ac:dyDescent="0.25">
      <c r="A41" s="7" t="s">
        <v>27</v>
      </c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zoomScale="115" zoomScaleNormal="115" workbookViewId="0">
      <selection activeCell="B32" sqref="B32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88</v>
      </c>
      <c r="B13" s="113" t="s">
        <v>113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89</v>
      </c>
      <c r="B14" s="70" t="s">
        <v>106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90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91</v>
      </c>
      <c r="C22" s="70" t="str">
        <f>+Инвойс!F1</f>
        <v xml:space="preserve"> 09.09.2025г.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EXG-F-56 от  09.09.2025г.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104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1830</v>
      </c>
      <c r="D30" s="103" t="str">
        <f>+Инвойс!D30</f>
        <v>Пласт. ящик</v>
      </c>
      <c r="E30" s="103"/>
      <c r="F30" s="103" t="str">
        <f>+Инвойс!B30</f>
        <v xml:space="preserve">Капуста цветная свежая </v>
      </c>
      <c r="G30" s="104" t="str">
        <f>+Инвойс!C30</f>
        <v>0704100000</v>
      </c>
      <c r="H30" s="103"/>
      <c r="I30" s="105">
        <f>+Инвойс!G30</f>
        <v>20256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2</v>
      </c>
      <c r="D31" s="103" t="str">
        <f>+Инвойс!D31</f>
        <v>Пласт. ящик</v>
      </c>
      <c r="E31" s="103"/>
      <c r="F31" s="103" t="str">
        <f>+Инвойс!B31</f>
        <v>Капуста белокачанная свежая</v>
      </c>
      <c r="G31" s="104" t="str">
        <f>+Инвойс!C31</f>
        <v>0704901002</v>
      </c>
      <c r="H31" s="103"/>
      <c r="I31" s="105">
        <f>+Инвойс!G31</f>
        <v>44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92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60" t="str">
        <f>+C22</f>
        <v xml:space="preserve"> 09.09.2025г.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93</v>
      </c>
      <c r="C57" s="80" t="str">
        <f>+Инвойс!E26</f>
        <v>10494FCA/105071BA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4" zoomScaleNormal="100" workbookViewId="0">
      <selection activeCell="F22" sqref="F22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8" t="s">
        <v>94</v>
      </c>
      <c r="C2" s="168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95</v>
      </c>
      <c r="F7" s="84"/>
      <c r="G7" s="85" t="s">
        <v>96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97</v>
      </c>
    </row>
    <row r="14" spans="2:11" ht="21" customHeight="1" x14ac:dyDescent="0.3">
      <c r="B14" s="169" t="str">
        <f>+Инвойс!E26</f>
        <v>10494FCA/105071BA</v>
      </c>
      <c r="C14" s="169"/>
      <c r="D14" s="169"/>
      <c r="E14" s="169"/>
      <c r="F14" s="169"/>
      <c r="G14" s="169"/>
      <c r="H14" s="170" t="s">
        <v>105</v>
      </c>
      <c r="I14" s="170"/>
      <c r="J14" s="88" t="str">
        <f>+Инвойс!F1</f>
        <v xml:space="preserve"> 09.09.2025г.</v>
      </c>
      <c r="K14" s="89"/>
    </row>
    <row r="15" spans="2:11" ht="21" x14ac:dyDescent="0.35">
      <c r="B15" s="82" t="s">
        <v>98</v>
      </c>
      <c r="C15" s="90"/>
      <c r="D15" s="90"/>
      <c r="E15" s="90"/>
      <c r="F15" s="90"/>
      <c r="G15" s="89" t="s">
        <v>99</v>
      </c>
      <c r="H15" s="171" t="str">
        <f>+CMR!B24</f>
        <v>ИНВОЙС № EXG-F-56 от  09.09.2025г.</v>
      </c>
      <c r="I15" s="171"/>
      <c r="J15" s="171"/>
      <c r="K15" s="89"/>
    </row>
    <row r="16" spans="2:11" ht="15.75" x14ac:dyDescent="0.25">
      <c r="B16" s="83"/>
    </row>
    <row r="17" spans="2:10" ht="23.25" customHeight="1" x14ac:dyDescent="0.25">
      <c r="B17" s="83" t="s">
        <v>100</v>
      </c>
    </row>
    <row r="18" spans="2:10" ht="13.5" customHeight="1" x14ac:dyDescent="0.25">
      <c r="B18" s="91"/>
      <c r="E18" s="117"/>
      <c r="F18" s="118">
        <f>+Инвойс!E30</f>
        <v>1830</v>
      </c>
      <c r="G18" s="163" t="str">
        <f>+CMR!F30</f>
        <v xml:space="preserve">Капуста цветная свежая </v>
      </c>
      <c r="H18" s="163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Пласт. ящик</v>
      </c>
      <c r="G19" s="161" t="str">
        <f>+Инвойс!C30</f>
        <v>0704100000</v>
      </c>
      <c r="H19" s="162"/>
      <c r="I19" s="122" t="s">
        <v>101</v>
      </c>
      <c r="J19" s="120">
        <f>+Инвойс!G30</f>
        <v>20256</v>
      </c>
    </row>
    <row r="20" spans="2:10" ht="13.5" customHeight="1" x14ac:dyDescent="0.25">
      <c r="B20" s="83"/>
      <c r="E20" s="123"/>
      <c r="F20" s="118">
        <f>+Инвойс!E31</f>
        <v>2</v>
      </c>
      <c r="G20" s="163" t="str">
        <f>+CMR!F31</f>
        <v>Капуста белокачанная свежая</v>
      </c>
      <c r="H20" s="163"/>
      <c r="I20" s="119"/>
      <c r="J20" s="120"/>
    </row>
    <row r="21" spans="2:10" ht="13.5" customHeight="1" x14ac:dyDescent="0.25">
      <c r="B21" s="83" t="s">
        <v>102</v>
      </c>
      <c r="E21" s="123"/>
      <c r="F21" s="121" t="str">
        <f>+Инвойс!D31</f>
        <v>Пласт. ящик</v>
      </c>
      <c r="G21" s="161" t="str">
        <f>+Инвойс!C31</f>
        <v>0704901002</v>
      </c>
      <c r="H21" s="162"/>
      <c r="I21" s="122" t="s">
        <v>101</v>
      </c>
      <c r="J21" s="120">
        <f>+Инвойс!G31</f>
        <v>44</v>
      </c>
    </row>
    <row r="22" spans="2:10" ht="12.75" customHeight="1" x14ac:dyDescent="0.25">
      <c r="B22" s="83"/>
      <c r="E22" s="123"/>
      <c r="F22" s="118"/>
      <c r="G22" s="163"/>
      <c r="H22" s="163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3"/>
      <c r="H24" s="163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3"/>
      <c r="H26" s="163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3"/>
      <c r="H28" s="163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3"/>
      <c r="H30" s="163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3"/>
      <c r="H32" s="163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3"/>
      <c r="H34" s="163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3"/>
      <c r="H36" s="163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3"/>
      <c r="H38" s="163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3"/>
      <c r="H42" s="163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5"/>
      <c r="H44" s="165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6">
        <f>+F18+F20+F22+F24+F26+F28+F30+F32+F34+F36+F38+F40+F42</f>
        <v>1832</v>
      </c>
      <c r="E47" s="167"/>
    </row>
    <row r="48" spans="2:10" ht="17.25" customHeight="1" x14ac:dyDescent="0.25">
      <c r="B48" s="164" t="s">
        <v>103</v>
      </c>
      <c r="C48" s="164"/>
      <c r="D48" s="164"/>
      <c r="E48" s="164"/>
    </row>
    <row r="49" spans="2:5" ht="21.75" customHeight="1" x14ac:dyDescent="0.25">
      <c r="B49" s="164"/>
      <c r="C49" s="164"/>
      <c r="D49" s="164"/>
      <c r="E49" s="164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2" t="s">
        <v>164</v>
      </c>
      <c r="C1" s="172"/>
      <c r="D1" s="172"/>
      <c r="E1" s="172"/>
      <c r="F1" s="153" t="str">
        <f>+Инвойс!F1</f>
        <v xml:space="preserve"> 09.09.2025г.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28</v>
      </c>
      <c r="B2" s="19"/>
      <c r="C2" s="156" t="str">
        <f>+Инвойс!C2</f>
        <v>к контракту № GR-EX-01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tr">
        <f>+Инвойс!A4</f>
        <v xml:space="preserve">Продавец/Грузоотправитель:  </v>
      </c>
      <c r="B4" s="146"/>
      <c r="C4" s="146"/>
      <c r="D4" s="146"/>
      <c r="E4" s="146"/>
      <c r="G4" s="146" t="str">
        <f>+Инвойс!G4</f>
        <v xml:space="preserve">Покупатель/Грузополучатель: 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tr">
        <f>+Инвойс!A5</f>
        <v>OOO “EXACT GROUP”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5" x14ac:dyDescent="0.25">
      <c r="A6" s="143" t="str">
        <f>+Инвойс!A6</f>
        <v>РЕСПУБЛИКА УЗБЕКИСТАН. СУРХАНДАРЬИНСКАЯ ОБЛАСТЬ,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5" x14ac:dyDescent="0.25">
      <c r="A7" s="143" t="str">
        <f>+Инвойс!A7</f>
        <v>ШЕРАБАДСКИЙ РАЙОН, МФЙ «БАХОР», УЛИЦА ШЕРЖАН, ДОМ 19Б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АКБ“KAPITAL BANK”  МФО: 01158  Swift: KACHUZ22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5" x14ac:dyDescent="0.25">
      <c r="A9" s="143" t="str">
        <f>+Инвойс!A9</f>
        <v>Доллар США: 20208840607280925001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5" x14ac:dyDescent="0.25">
      <c r="A10" s="143" t="str">
        <f>+Инвойс!A10</f>
        <v>Корреспондирующий банк (RUB): АКБ "Азия Инвест Банк" (АО) :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5" x14ac:dyDescent="0.25">
      <c r="A11" s="143" t="str">
        <f>+Инвойс!A11</f>
        <v>SWIFT:ASIJRUMM / БИК 044525234,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hidden="1" customHeight="1" x14ac:dyDescent="0.25">
      <c r="A13" s="146" t="s">
        <v>29</v>
      </c>
      <c r="B13" s="146"/>
      <c r="C13" s="146"/>
      <c r="D13" s="146"/>
      <c r="E13" s="146"/>
      <c r="G13" s="146" t="s">
        <v>19</v>
      </c>
      <c r="H13" s="147"/>
      <c r="I13" s="147"/>
      <c r="J13" s="147"/>
      <c r="K13" s="147"/>
      <c r="L13" s="147"/>
      <c r="M13" s="147"/>
    </row>
    <row r="14" spans="1:15" ht="14.25" hidden="1" customHeight="1" x14ac:dyDescent="0.2">
      <c r="A14" s="155" t="str">
        <f>+Инвойс!A14</f>
        <v>OOO “EXACT GROUP”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" hidden="1" customHeight="1" x14ac:dyDescent="0.25">
      <c r="A15" s="143" t="str">
        <f>+Инвойс!A15</f>
        <v>РЕСПУБЛИКА УЗБЕКИСТАН. СУРХАНДАРЬИНСКАЯ ОБЛАСТЬ,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5" hidden="1" x14ac:dyDescent="0.25">
      <c r="A16" s="143" t="str">
        <f>+Инвойс!A16</f>
        <v>ШЕРАБАДСКИЙ РАЙОН, МФЙ «БАХОР», УЛИЦА ШЕРЖАН, ДОМ 19Б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hidden="1" customHeight="1" x14ac:dyDescent="0.25">
      <c r="A17" s="143" t="str">
        <f>+Инвойс!A17</f>
        <v>в АКБ“KAPITAL BANK”  МФО: 01158  Swift: KACHUZ22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5" hidden="1" x14ac:dyDescent="0.25">
      <c r="A18" s="143" t="str">
        <f>+Инвойс!A18</f>
        <v>Доллар США: 20208840607280925001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5" hidden="1" x14ac:dyDescent="0.25">
      <c r="A19" s="143" t="str">
        <f>+Инвойс!A19</f>
        <v>Корреспондирующий банк (RUB): АКБ "Азия Инвест Банк" (АО) :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5" hidden="1" x14ac:dyDescent="0.25">
      <c r="A20" s="143" t="str">
        <f>+Инвойс!A20</f>
        <v>SWIFT:ASIJRUMM / БИК 044525234,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5" hidden="1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25">
      <c r="A22" s="1" t="s">
        <v>125</v>
      </c>
      <c r="C22" s="65"/>
      <c r="F22" s="1"/>
    </row>
    <row r="23" spans="1:17" ht="26.25" hidden="1" customHeight="1" x14ac:dyDescent="0.2">
      <c r="A23" s="69" t="s">
        <v>85</v>
      </c>
      <c r="B23" s="68"/>
      <c r="C23" s="174" t="s">
        <v>116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75" x14ac:dyDescent="0.25">
      <c r="A24" s="20" t="s">
        <v>20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21</v>
      </c>
      <c r="C25" s="18" t="s">
        <v>22</v>
      </c>
    </row>
    <row r="26" spans="1:17" ht="15.75" x14ac:dyDescent="0.25">
      <c r="A26" s="1" t="s">
        <v>23</v>
      </c>
      <c r="C26" s="18" t="s">
        <v>24</v>
      </c>
      <c r="E26" s="139" t="str">
        <f>+Инвойс!E26</f>
        <v>10494FCA/105071BA</v>
      </c>
      <c r="F26" s="140"/>
      <c r="G26" s="140"/>
      <c r="J26" s="21"/>
    </row>
    <row r="27" spans="1:17" ht="34.5" customHeight="1" x14ac:dyDescent="0.25">
      <c r="A27" s="67" t="s">
        <v>126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15" x14ac:dyDescent="0.2">
      <c r="A30" s="127">
        <f>+Инвойс!A30</f>
        <v>1</v>
      </c>
      <c r="B30" s="101" t="str">
        <f>+Инвойс!B30</f>
        <v xml:space="preserve">Капуста цветная свежая </v>
      </c>
      <c r="C30" s="107" t="str">
        <f>+Инвойс!C30</f>
        <v>0704100000</v>
      </c>
      <c r="D30" s="115" t="str">
        <f>+Инвойс!D30</f>
        <v>Пласт. ящик</v>
      </c>
      <c r="E30" s="101">
        <f>+Инвойс!E30</f>
        <v>1830</v>
      </c>
      <c r="F30" s="116" t="str">
        <f>+Инвойс!F30</f>
        <v>кг</v>
      </c>
      <c r="G30" s="106">
        <f>+Инвойс!G30</f>
        <v>20256</v>
      </c>
      <c r="H30" s="106">
        <f>+Инвойс!H30</f>
        <v>18426</v>
      </c>
      <c r="I30" s="108">
        <f>+Инвойс!I30</f>
        <v>0.7</v>
      </c>
      <c r="J30" s="13">
        <f>+Инвойс!J30</f>
        <v>12898.199999999999</v>
      </c>
      <c r="K30" s="12">
        <v>0</v>
      </c>
      <c r="L30" s="12">
        <v>0</v>
      </c>
      <c r="M30" s="13">
        <f>+Инвойс!M30</f>
        <v>12898.199999999999</v>
      </c>
      <c r="O30" s="100"/>
      <c r="Q30" s="100"/>
    </row>
    <row r="31" spans="1:17" ht="15" x14ac:dyDescent="0.2">
      <c r="A31" s="127">
        <f>+Инвойс!A31</f>
        <v>2</v>
      </c>
      <c r="B31" s="101" t="str">
        <f>+Инвойс!B31</f>
        <v>Капуста белокачанная свежая</v>
      </c>
      <c r="C31" s="107" t="str">
        <f>+Инвойс!C31</f>
        <v>0704901002</v>
      </c>
      <c r="D31" s="115" t="str">
        <f>+Инвойс!D31</f>
        <v>Пласт. ящик</v>
      </c>
      <c r="E31" s="101">
        <f>+Инвойс!E31</f>
        <v>2</v>
      </c>
      <c r="F31" s="116" t="str">
        <f>+Инвойс!F31</f>
        <v>кг</v>
      </c>
      <c r="G31" s="106">
        <f>+Инвойс!G31</f>
        <v>44</v>
      </c>
      <c r="H31" s="106">
        <f>+Инвойс!H31</f>
        <v>42</v>
      </c>
      <c r="I31" s="108">
        <f>+Инвойс!I31</f>
        <v>0.3</v>
      </c>
      <c r="J31" s="13">
        <f>+Инвойс!J31</f>
        <v>12.6</v>
      </c>
      <c r="K31" s="12">
        <v>0</v>
      </c>
      <c r="L31" s="12">
        <v>0</v>
      </c>
      <c r="M31" s="13">
        <f>+Инвойс!M31</f>
        <v>12.6</v>
      </c>
      <c r="O31" s="100"/>
      <c r="Q31" s="100"/>
    </row>
    <row r="32" spans="1:17" ht="14.25" x14ac:dyDescent="0.2">
      <c r="A32" s="151" t="s">
        <v>0</v>
      </c>
      <c r="B32" s="152"/>
      <c r="C32" s="14"/>
      <c r="D32" s="15"/>
      <c r="E32" s="64">
        <f>SUM(E30:E31)</f>
        <v>1832</v>
      </c>
      <c r="F32" s="15"/>
      <c r="G32" s="64">
        <f>SUM(G30:G31)</f>
        <v>20300</v>
      </c>
      <c r="H32" s="64">
        <f>SUM(H30:H31)</f>
        <v>18468</v>
      </c>
      <c r="I32" s="102"/>
      <c r="J32" s="17">
        <f>SUM(J30:J31)</f>
        <v>12910.8</v>
      </c>
      <c r="K32" s="16"/>
      <c r="L32" s="16"/>
      <c r="M32" s="17">
        <f>SUM(M30:M31)</f>
        <v>12910.8</v>
      </c>
      <c r="P32" s="66"/>
    </row>
    <row r="33" spans="1:14" ht="13.5" x14ac:dyDescent="0.25">
      <c r="A33" s="2" t="s">
        <v>17</v>
      </c>
      <c r="B33" s="3"/>
      <c r="C33" s="11"/>
      <c r="D33" s="11"/>
      <c r="E33" s="149" t="str">
        <f>Лист1!B3</f>
        <v>Двенадцать тысяч девятьсот десять долларов США, 80 центов.</v>
      </c>
      <c r="F33" s="150"/>
      <c r="G33" s="150"/>
      <c r="H33" s="150"/>
      <c r="I33" s="150"/>
      <c r="J33" s="150"/>
      <c r="K33" s="150"/>
      <c r="L33" s="150"/>
      <c r="M33" s="150"/>
    </row>
    <row r="34" spans="1:14" ht="20.2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ht="25.5" customHeight="1" x14ac:dyDescent="0.2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7" spans="1:14" s="18" customFormat="1" ht="15.75" x14ac:dyDescent="0.25">
      <c r="A37" s="131" t="s">
        <v>153</v>
      </c>
      <c r="B37" s="131"/>
      <c r="D37" s="18" t="str">
        <f>+Инвойс!D37</f>
        <v>АБДИЛАКИМОВ А.А</v>
      </c>
      <c r="E37" s="132"/>
      <c r="G37" s="129" t="s">
        <v>128</v>
      </c>
      <c r="H37" s="18" t="str">
        <f>Инвойс!G5</f>
        <v>ООО «ГРИН ВОРЛД»</v>
      </c>
      <c r="K37" s="133" t="s">
        <v>142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7"/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opLeftCell="A4"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117</v>
      </c>
    </row>
    <row r="3" spans="1:10" ht="51" x14ac:dyDescent="0.2">
      <c r="A3" s="130" t="s">
        <v>127</v>
      </c>
    </row>
    <row r="5" spans="1:10" ht="89.25" x14ac:dyDescent="0.2">
      <c r="A5" s="126" t="s">
        <v>155</v>
      </c>
    </row>
    <row r="6" spans="1:10" x14ac:dyDescent="0.2">
      <c r="E6" s="18" t="s">
        <v>156</v>
      </c>
      <c r="J6" s="25" t="s">
        <v>130</v>
      </c>
    </row>
    <row r="7" spans="1:10" ht="51" x14ac:dyDescent="0.2">
      <c r="A7" s="126" t="s">
        <v>118</v>
      </c>
    </row>
    <row r="8" spans="1:10" x14ac:dyDescent="0.2">
      <c r="E8" s="18" t="s">
        <v>157</v>
      </c>
      <c r="J8" s="25" t="s">
        <v>131</v>
      </c>
    </row>
    <row r="9" spans="1:10" ht="51" x14ac:dyDescent="0.2">
      <c r="A9" s="126" t="s">
        <v>119</v>
      </c>
    </row>
    <row r="10" spans="1:10" x14ac:dyDescent="0.2">
      <c r="A10" s="126"/>
      <c r="E10" s="18" t="s">
        <v>157</v>
      </c>
      <c r="J10" s="25" t="s">
        <v>132</v>
      </c>
    </row>
    <row r="11" spans="1:10" ht="51" x14ac:dyDescent="0.2">
      <c r="A11" s="126" t="s">
        <v>154</v>
      </c>
    </row>
    <row r="12" spans="1:10" x14ac:dyDescent="0.2">
      <c r="E12" s="18" t="s">
        <v>158</v>
      </c>
      <c r="J12" s="25" t="s">
        <v>133</v>
      </c>
    </row>
    <row r="13" spans="1:10" ht="51" x14ac:dyDescent="0.2">
      <c r="A13" s="126" t="s">
        <v>120</v>
      </c>
    </row>
    <row r="15" spans="1:10" ht="38.25" x14ac:dyDescent="0.2">
      <c r="A15" s="126" t="s">
        <v>121</v>
      </c>
    </row>
    <row r="17" spans="1:1" ht="38.25" x14ac:dyDescent="0.2">
      <c r="A17" s="126" t="s">
        <v>122</v>
      </c>
    </row>
    <row r="19" spans="1:1" ht="38.25" x14ac:dyDescent="0.2">
      <c r="A19" s="128" t="s">
        <v>124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30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Инвойс!M32</f>
        <v>12910.8</v>
      </c>
      <c r="G2" s="28">
        <v>357.79118644067796</v>
      </c>
      <c r="H2" s="4"/>
    </row>
    <row r="3" spans="1:19" ht="15.75" x14ac:dyDescent="0.25">
      <c r="A3" s="29" t="s">
        <v>31</v>
      </c>
      <c r="B3" s="30" t="str">
        <f>SUBSTITUTE(B5,F9,F10,1)</f>
        <v>Двенадцать тысяч девятьсот десять долларов США, 80 центов.</v>
      </c>
      <c r="E3" s="31"/>
      <c r="H3" s="32"/>
      <c r="J3" s="32"/>
      <c r="K3" s="32"/>
      <c r="L3" s="32"/>
      <c r="M3" s="33" t="s">
        <v>32</v>
      </c>
      <c r="N3" s="178">
        <f ca="1">TODAY()</f>
        <v>45910</v>
      </c>
      <c r="O3" s="178"/>
      <c r="P3">
        <f ca="1">DAY(N3)</f>
        <v>10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33</v>
      </c>
      <c r="B4" s="36" t="str">
        <f>SUBSTITUTE(B6,F9,F10,1)</f>
        <v>Двенадцать тысяч девятьсот десять долларов США, 80 центов. (в т.ч. НДС - 357,79)</v>
      </c>
      <c r="H4" s="32"/>
      <c r="I4" s="32"/>
      <c r="J4" s="32"/>
      <c r="K4" s="179" t="str">
        <f ca="1">CONCATENATE(" «  ",P3,"  »  ",Q3,"  ",R3," г.")</f>
        <v xml:space="preserve"> «  10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34</v>
      </c>
      <c r="B5" s="36" t="str">
        <f>CONCATENATE(A8,A9,A10,A11,A12)</f>
        <v>двенадцать тысяч девятьсот десять долларов США, 80 центов.</v>
      </c>
    </row>
    <row r="6" spans="1:19" s="36" customFormat="1" x14ac:dyDescent="0.2">
      <c r="A6" s="38" t="s">
        <v>35</v>
      </c>
      <c r="B6" s="36" t="str">
        <f>CONCATENATE(A8,A9,A10,A11,A12,B8,B9,C9)</f>
        <v>двенадцать тысяч девятьсот десять долларов США, 80 центов. (в т.ч. НДС - 357,79)</v>
      </c>
      <c r="C6"/>
      <c r="D6"/>
      <c r="E6"/>
      <c r="H6" s="39"/>
    </row>
    <row r="7" spans="1:19" x14ac:dyDescent="0.2">
      <c r="D7" s="33"/>
      <c r="H7" s="180" t="s">
        <v>36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37</v>
      </c>
      <c r="D8" s="33"/>
      <c r="F8" s="41">
        <f>CODE(B6)</f>
        <v>228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38</v>
      </c>
      <c r="D9" s="45"/>
      <c r="F9" s="41" t="str">
        <f>CHAR(F8)</f>
        <v>д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двенадцать тысяч </v>
      </c>
      <c r="D10" s="47"/>
      <c r="E10" s="48"/>
      <c r="F10" s="41" t="str">
        <f>PROPER(F9)</f>
        <v>Д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девятьсот десять долларов США, 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80 центов.</v>
      </c>
      <c r="D12" s="47"/>
      <c r="E12" s="48"/>
      <c r="M12" s="50">
        <f ca="1">TODAY()</f>
        <v>45910</v>
      </c>
    </row>
    <row r="13" spans="1:19" s="43" customFormat="1" x14ac:dyDescent="0.2">
      <c r="A13" s="49"/>
      <c r="D13" s="51"/>
      <c r="E13" s="52">
        <f>TRUNC(E2)</f>
        <v>12910</v>
      </c>
      <c r="F13" s="51" t="s">
        <v>39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12</v>
      </c>
      <c r="B25" s="47">
        <f>TRUNC(RIGHT(A25))</f>
        <v>2</v>
      </c>
      <c r="C25" s="51">
        <f>IF(B24=1,B25+10,IF(B25=0,0,B25))</f>
        <v>12</v>
      </c>
      <c r="D25" s="43" t="str">
        <f>IF(AND(C25&gt;9,C25&lt;16),IF(C25=10,D34,IF(C25=11,D35,IF(C25=12,D36,IF(C25=13,D37,IF(C25=14,D38,IF(C25=15,D39,)))))),"")</f>
        <v xml:space="preserve">двенадцать </v>
      </c>
      <c r="E25" s="56" t="str">
        <f>IF(B25=1,B34,IF(B25=2,B35,IF(B25=3,A36,IF(B25=4,A37,IF(B25=5,A38,IF(B25=6,A39,IF(B25=7,A40,IF(B25=8,A41,A42))))))))</f>
        <v xml:space="preserve">две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12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129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">
      <c r="A28" s="54">
        <f>TRUNC(A29/10)</f>
        <v>1291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12910</v>
      </c>
      <c r="B29" s="47">
        <f>TRUNC(RIGHT(A29))</f>
        <v>0</v>
      </c>
      <c r="C29" s="51">
        <f>IF(B28=1,B29+10,IF(B29=0,0,B29))</f>
        <v>10</v>
      </c>
      <c r="D29" s="43" t="str">
        <f>IF(AND(C29&gt;9,C29&lt;16),IF(C29=10,D34,IF(C29=11,D35,IF(C29=12,D36,IF(C29=13,D37,IF(C29=14,D38,IF(C29=15,D39,)))))),"")</f>
        <v xml:space="preserve">десять </v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910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80</v>
      </c>
      <c r="C31" s="59">
        <f>TRUNC(A31/10)</f>
        <v>8</v>
      </c>
      <c r="E31" s="56" t="str">
        <f>IF(OR(C31=1,C31=0),"",IF(C31=2,E35,IF(C31=3,E36,IF(C31=4,E37,IF(C31=5,E38,IF(C31=6,E39,IF(C31=7,E40,IF(C31=8,E41,E42))))))))</f>
        <v xml:space="preserve">восемьдесят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40</v>
      </c>
      <c r="H33" s="47"/>
    </row>
    <row r="34" spans="1:11" s="43" customFormat="1" x14ac:dyDescent="0.2">
      <c r="A34" s="61" t="s">
        <v>41</v>
      </c>
      <c r="B34" s="61" t="s">
        <v>42</v>
      </c>
      <c r="C34" s="61"/>
      <c r="D34" s="61" t="s">
        <v>43</v>
      </c>
      <c r="H34" s="47"/>
    </row>
    <row r="35" spans="1:11" s="43" customFormat="1" x14ac:dyDescent="0.2">
      <c r="A35" s="61" t="s">
        <v>44</v>
      </c>
      <c r="B35" s="61" t="s">
        <v>45</v>
      </c>
      <c r="C35" s="61"/>
      <c r="D35" s="61" t="s">
        <v>46</v>
      </c>
      <c r="E35" s="61" t="s">
        <v>47</v>
      </c>
      <c r="G35" s="61" t="s">
        <v>48</v>
      </c>
    </row>
    <row r="36" spans="1:11" s="43" customFormat="1" x14ac:dyDescent="0.2">
      <c r="A36" s="61" t="s">
        <v>49</v>
      </c>
      <c r="B36" s="61"/>
      <c r="C36" s="61"/>
      <c r="D36" s="61" t="s">
        <v>50</v>
      </c>
      <c r="E36" s="61" t="s">
        <v>51</v>
      </c>
      <c r="G36" s="61" t="s">
        <v>52</v>
      </c>
    </row>
    <row r="37" spans="1:11" s="43" customFormat="1" x14ac:dyDescent="0.2">
      <c r="A37" s="61" t="s">
        <v>53</v>
      </c>
      <c r="B37" s="61"/>
      <c r="C37" s="61"/>
      <c r="D37" s="61" t="s">
        <v>54</v>
      </c>
      <c r="E37" s="61" t="s">
        <v>55</v>
      </c>
      <c r="G37" s="61" t="s">
        <v>56</v>
      </c>
    </row>
    <row r="38" spans="1:11" s="43" customFormat="1" x14ac:dyDescent="0.2">
      <c r="A38" s="61" t="s">
        <v>57</v>
      </c>
      <c r="B38" s="61"/>
      <c r="C38" s="61"/>
      <c r="D38" s="61" t="s">
        <v>58</v>
      </c>
      <c r="E38" s="61" t="s">
        <v>59</v>
      </c>
      <c r="G38" s="61" t="s">
        <v>60</v>
      </c>
    </row>
    <row r="39" spans="1:11" s="43" customFormat="1" x14ac:dyDescent="0.2">
      <c r="A39" s="61" t="s">
        <v>61</v>
      </c>
      <c r="B39" s="61"/>
      <c r="C39" s="61"/>
      <c r="D39" s="61" t="s">
        <v>62</v>
      </c>
      <c r="E39" s="61" t="s">
        <v>63</v>
      </c>
      <c r="G39" s="61" t="s">
        <v>64</v>
      </c>
    </row>
    <row r="40" spans="1:11" s="43" customFormat="1" x14ac:dyDescent="0.2">
      <c r="A40" s="61" t="s">
        <v>65</v>
      </c>
      <c r="B40" s="61"/>
      <c r="C40" s="61"/>
      <c r="D40" s="61" t="s">
        <v>66</v>
      </c>
      <c r="E40" s="61" t="s">
        <v>67</v>
      </c>
      <c r="G40" s="61" t="s">
        <v>68</v>
      </c>
    </row>
    <row r="41" spans="1:11" s="43" customFormat="1" x14ac:dyDescent="0.2">
      <c r="A41" s="61" t="s">
        <v>69</v>
      </c>
      <c r="B41" s="61"/>
      <c r="C41" s="61"/>
      <c r="D41" s="61" t="s">
        <v>70</v>
      </c>
      <c r="E41" s="61" t="s">
        <v>71</v>
      </c>
      <c r="G41" s="61" t="s">
        <v>72</v>
      </c>
    </row>
    <row r="42" spans="1:11" s="43" customFormat="1" x14ac:dyDescent="0.2">
      <c r="A42" s="61" t="s">
        <v>73</v>
      </c>
      <c r="B42" s="61"/>
      <c r="C42" s="61"/>
      <c r="D42" s="61" t="s">
        <v>74</v>
      </c>
      <c r="E42" s="61" t="s">
        <v>75</v>
      </c>
      <c r="G42" s="61" t="s">
        <v>76</v>
      </c>
    </row>
    <row r="43" spans="1:11" s="43" customFormat="1" x14ac:dyDescent="0.2">
      <c r="B43" s="61"/>
      <c r="C43" s="61"/>
      <c r="D43" s="61" t="s">
        <v>77</v>
      </c>
      <c r="E43" s="61" t="s">
        <v>78</v>
      </c>
      <c r="H43" s="47"/>
    </row>
    <row r="44" spans="1:11" s="43" customFormat="1" x14ac:dyDescent="0.2">
      <c r="A44" s="181" t="s">
        <v>79</v>
      </c>
      <c r="B44" s="181"/>
      <c r="C44" s="181"/>
      <c r="D44" s="181"/>
      <c r="E44" s="181"/>
      <c r="F44" s="181"/>
      <c r="G44" s="181"/>
      <c r="H44" s="181"/>
      <c r="I44" s="181"/>
      <c r="J44" s="176" t="s">
        <v>80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81</v>
      </c>
      <c r="H46" s="175"/>
      <c r="I46" s="175"/>
      <c r="J46" s="62" t="s">
        <v>82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83</v>
      </c>
      <c r="B100" s="176"/>
      <c r="C100" s="176"/>
      <c r="D100" s="176"/>
    </row>
    <row r="101" spans="1:4" x14ac:dyDescent="0.2">
      <c r="A101" t="s">
        <v>84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2025-09-10T07:37:57Z</cp:lastPrinted>
  <dcterms:created xsi:type="dcterms:W3CDTF">1996-10-14T23:33:28Z</dcterms:created>
  <dcterms:modified xsi:type="dcterms:W3CDTF">2025-09-10T07:37:59Z</dcterms:modified>
</cp:coreProperties>
</file>