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5577A3E-12CC-47FA-B70D-F8D4AF59B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<sst xmlns="http://schemas.openxmlformats.org/spreadsheetml/2006/main" count="213" uniqueCount="166">
  <si>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</si>
  <si>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</si>
  <si>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</si>
  <si>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</si>
  <si>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</si>
  <si>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</si>
  <si>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</si>
  <si>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</si>
  <si>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</si>
  <si>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</si>
  <si>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</si>
  <si>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</si>
  <si>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</si>
  <si>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</si>
  <si>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</si>
  <si>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</si>
  <si>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</si>
  <si>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</si>
  <si>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</si>
  <si>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</si>
  <si>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</si>
  <si>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</si>
  <si>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</si>
  <si>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</si>
  <si>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</si>
  <si>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</si>
  <si>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</si>
  <si>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</si>
  <si>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</si>
  <si>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</si>
  <si>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</si>
  <si>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</si>
  <si>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</si>
  <si>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</si>
  <si>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</si>
  <si>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</si>
  <si>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</si>
  <si>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</si>
  <si>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</si>
  <si>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</si>
  <si>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</si>
  <si>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</si>
  <si>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</si>
  <si>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</si>
  <si>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</si>
  <si>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</si>
  <si>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</si>
  <si>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</si>
  <si>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</si>
  <si>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</si>
  <si>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</si>
  <si>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</si>
  <si>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</si>
  <si>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</si>
  <si>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</si>
  <si>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</si>
  <si>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</si>
  <si>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</si>
  <si>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</si>
  <si>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</si>
  <si>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</si>
  <si>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</si>
  <si>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</si>
  <si>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</si>
  <si>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</si>
  <si>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</si>
  <si>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</si>
  <si>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</si>
  <si>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</si>
  <si>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</si>
  <si>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</si>
  <si>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</si>
  <si>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</si>
  <si>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</si>
  <si>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</si>
  <si>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</si>
  <si>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</si>
  <si>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</si>
  <si>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</si>
  <si>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</si>
  <si>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</si>
  <si>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</si>
  <si>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</si>
  <si>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</si>
  <si>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</si>
  <si>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</si>
  <si>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</si>
  <si>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</si>
  <si>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</si>
  <si>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</si>
  <si>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</si>
  <si>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</si>
  <si>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</si>
  <si>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</si>
  <si>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</si>
  <si>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</si>
  <si>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</si>
  <si>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</si>
  <si>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</si>
  <si>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</si>
  <si>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</si>
  <si>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</si>
  <si>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</si>
  <si>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</si>
  <si>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</si>
  <si>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</si>
  <si>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</si>
  <si>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</si>
  <si>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</si>
  <si>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</si>
  <si>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</si>
  <si>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</si>
  <si>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</si>
  <si>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</si>
  <si>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</si>
  <si>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</si>
  <si>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</si>
  <si>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</si>
  <si>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</si>
  <si>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</si>
  <si>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</si>
  <si>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</si>
  <si>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</si>
  <si>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</si>
  <si>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</si>
  <si>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</si>
  <si>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</si>
  <si>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</si>
  <si>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</si>
  <si>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</si>
  <si>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</si>
  <si>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</si>
  <si>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</si>
  <si>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</si>
  <si>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</si>
  <si>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</si>
  <si>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</si>
  <si>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</si>
  <si>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</si>
  <si>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</si>
  <si>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</si>
  <si>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</si>
  <si>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</si>
  <si>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</si>
  <si>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</si>
  <si>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</si>
  <si>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</si>
  <si>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</si>
  <si>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</si>
  <si>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</si>
  <si>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</si>
  <si>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</si>
  <si>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</si>
  <si>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</si>
  <si>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</si>
  <si>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</si>
  <si>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</si>
  <si>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</si>
  <si>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</si>
  <si>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EXG-F-22 от </t>
  </si>
  <si>
    <t xml:space="preserve"> 30.08.2025г.</t>
  </si>
  <si>
    <t>80372QBA/805902AA</t>
  </si>
  <si>
    <t xml:space="preserve">СПЕЦИФИКАЦИЯ № EXG-F-22 от </t>
  </si>
  <si>
    <t>/г. Владивосток/ г.Чита / г. Ростов  / г. Краснодар / г.Пятигорск / г.Воронеж / /г.Нижневартовск/г.Нижний Новгород/г.Киров</t>
  </si>
  <si>
    <t>TURDIEV.U.T</t>
  </si>
  <si>
    <t>FA1125431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</si>
</sst>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52" fillId="0" borderId="0" xfId="0" applyFont="1" applyAlignment="1">
      <alignment horizontal="center" vertical="top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52" fillId="0" borderId="0" xfId="0" applyFont="1" applyAlignment="1">
      <alignment horizontal="center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5" t="s">
        <v>159</v>
      </c>
      <c r="D1" s="155"/>
      <c r="E1" s="155"/>
      <c r="F1" s="154" t="s">
        <v>160</v>
      </c>
      <c r="G1" s="154"/>
      <c r="H1" s="15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7" t="s">
        <v>147</v>
      </c>
      <c r="D2" s="157"/>
      <c r="E2" s="157"/>
      <c r="F2" s="157"/>
      <c r="G2" s="157"/>
      <c r="H2" s="157"/>
      <c r="I2" s="157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 x14ac:dyDescent="0.25">
      <c r="A5" s="156" t="s">
        <v>148</v>
      </c>
      <c r="B5" s="156"/>
      <c r="C5" s="156"/>
      <c r="D5" s="156"/>
      <c r="E5" s="156"/>
      <c r="F5" s="6"/>
      <c r="G5" s="149" t="s">
        <v>139</v>
      </c>
      <c r="H5" s="149"/>
      <c r="I5" s="149"/>
      <c r="J5" s="149"/>
      <c r="K5" s="149"/>
      <c r="L5" s="149"/>
      <c r="M5" s="149"/>
    </row>
    <row r="6" spans="1:15" ht="15" customHeight="1" x14ac:dyDescent="0.25">
      <c r="A6" s="144" t="s">
        <v>149</v>
      </c>
      <c r="B6" s="143"/>
      <c r="C6" s="143"/>
      <c r="D6" s="143"/>
      <c r="E6" s="143"/>
      <c r="F6" s="7"/>
      <c r="G6" s="142" t="s">
        <v>140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43" t="s">
        <v>150</v>
      </c>
      <c r="B7" s="143"/>
      <c r="C7" s="143"/>
      <c r="D7" s="143"/>
      <c r="E7" s="143"/>
      <c r="F7" s="63"/>
      <c r="G7" s="142" t="s">
        <v>141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5" t="s">
        <v>145</v>
      </c>
      <c r="H12" s="145"/>
      <c r="I12" s="145"/>
      <c r="J12" s="145"/>
      <c r="K12" s="145"/>
      <c r="L12" s="145"/>
      <c r="M12" s="145"/>
    </row>
    <row r="13" spans="1:15" ht="24" customHeight="1" x14ac:dyDescent="0.35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 x14ac:dyDescent="0.25">
      <c r="A14" s="156" t="s">
        <v>148</v>
      </c>
      <c r="B14" s="156"/>
      <c r="C14" s="156"/>
      <c r="D14" s="156"/>
      <c r="E14" s="156"/>
      <c r="F14" s="6"/>
      <c r="G14" s="149" t="s">
        <v>139</v>
      </c>
      <c r="H14" s="149"/>
      <c r="I14" s="149"/>
      <c r="J14" s="149"/>
      <c r="K14" s="149"/>
      <c r="L14" s="149"/>
      <c r="M14" s="149"/>
    </row>
    <row r="15" spans="1:15" ht="13.95" customHeight="1" x14ac:dyDescent="0.25">
      <c r="A15" s="144" t="s">
        <v>149</v>
      </c>
      <c r="B15" s="143"/>
      <c r="C15" s="143"/>
      <c r="D15" s="143"/>
      <c r="E15" s="143"/>
      <c r="F15" s="7"/>
      <c r="G15" s="142" t="s">
        <v>140</v>
      </c>
      <c r="H15" s="142"/>
      <c r="I15" s="142"/>
      <c r="J15" s="142"/>
      <c r="K15" s="142"/>
      <c r="L15" s="142"/>
      <c r="M15" s="142"/>
    </row>
    <row r="16" spans="1:15" ht="13.8" x14ac:dyDescent="0.25">
      <c r="A16" s="143" t="s">
        <v>150</v>
      </c>
      <c r="B16" s="143"/>
      <c r="C16" s="143"/>
      <c r="D16" s="143"/>
      <c r="E16" s="143"/>
      <c r="F16" s="63"/>
      <c r="G16" s="142" t="s">
        <v>141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45" t="s">
        <v>145</v>
      </c>
      <c r="H21" s="145"/>
      <c r="I21" s="145"/>
      <c r="J21" s="145"/>
      <c r="K21" s="145"/>
      <c r="L21" s="145"/>
      <c r="M21" s="145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118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135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111</v>
      </c>
      <c r="E30" s="101">
        <v>985</v>
      </c>
      <c r="F30" s="110" t="s">
        <v>27</v>
      </c>
      <c r="G30" s="106">
        <v>22850</v>
      </c>
      <c r="H30" s="106">
        <v>21077</v>
      </c>
      <c r="I30" s="108">
        <v>0.25</v>
      </c>
      <c r="J30" s="13">
        <f t="shared" ref="J30" si="0">H30*I30</f>
        <v>5269.25</v>
      </c>
      <c r="K30" s="12">
        <v>0</v>
      </c>
      <c r="L30" s="12">
        <v>0</v>
      </c>
      <c r="M30" s="13">
        <f t="shared" ref="M30" si="1">J30</f>
        <v>5269.25</v>
      </c>
      <c r="O30" s="100"/>
      <c r="Q30" s="100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985</v>
      </c>
      <c r="F31" s="15"/>
      <c r="G31" s="64">
        <f>SUM(G30:G30)</f>
        <v>22850</v>
      </c>
      <c r="H31" s="64">
        <f>SUM(H30:H30)</f>
        <v>21077</v>
      </c>
      <c r="I31" s="102"/>
      <c r="J31" s="17">
        <f>SUM(J30:J30)</f>
        <v>5269.25</v>
      </c>
      <c r="K31" s="16"/>
      <c r="L31" s="16"/>
      <c r="M31" s="17">
        <f>SUM(M30:M30)</f>
        <v>5269.25</v>
      </c>
      <c r="P31" s="66"/>
    </row>
    <row r="32" spans="1:17" ht="13.8" x14ac:dyDescent="0.3">
      <c r="A32" s="2" t="s">
        <v>17</v>
      </c>
      <c r="B32" s="3"/>
      <c r="C32" s="11"/>
      <c r="D32" s="11"/>
      <c r="E32" s="150" t="str">
        <f>Лист1!B3</f>
        <v>Пять тысяч двести шестьдесят девять долларов США, 25 центов.</v>
      </c>
      <c r="F32" s="151"/>
      <c r="G32" s="151"/>
      <c r="H32" s="151"/>
      <c r="I32" s="151"/>
      <c r="J32" s="151"/>
      <c r="K32" s="151"/>
      <c r="L32" s="151"/>
      <c r="M32" s="151"/>
    </row>
    <row r="33" spans="1:14" ht="20.25" customHeigh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5">
      <c r="A34" s="146" t="s">
        <v>108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F34" sqref="F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163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183" t="s">
        <v>164</v>
      </c>
      <c r="G22" s="71"/>
    </row>
    <row r="23" spans="1:9" ht="25.5" customHeight="1" x14ac:dyDescent="0.2">
      <c r="E23" s="72"/>
      <c r="F23" s="134" t="s">
        <v>165</v>
      </c>
      <c r="G23" s="72"/>
    </row>
    <row r="24" spans="1:9" ht="11.25" customHeight="1" x14ac:dyDescent="0.2">
      <c r="B24" s="158" t="str">
        <f>+CONCATENATE(Инвойс!C1,Инвойс!F1)</f>
        <v>ИНВОЙС № EXG-F-22 от  30.08.2025г.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 xml:space="preserve">СВХ ОАО ГК "Армада" 10311020 - т/п Астраханский
414042, Астраханская обл., г. Астрахань, ул. Мосина, д. 1А
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1" t="str">
        <f>+C22</f>
        <v xml:space="preserve"> 30.08.2025г.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80372QBA/805902AA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D24" sqref="D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9" t="s">
        <v>96</v>
      </c>
      <c r="C2" s="16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0" t="str">
        <f>+Инвойс!E26</f>
        <v>80372QBA/805902AA</v>
      </c>
      <c r="C14" s="170"/>
      <c r="D14" s="170"/>
      <c r="E14" s="170"/>
      <c r="F14" s="170"/>
      <c r="G14" s="170"/>
      <c r="H14" s="171" t="s">
        <v>107</v>
      </c>
      <c r="I14" s="171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2" t="str">
        <f>+CMR!B24</f>
        <v>ИНВОЙС № EXG-F-22 от  30.08.2025г.</v>
      </c>
      <c r="I15" s="172"/>
      <c r="J15" s="17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985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2" t="str">
        <f>+Инвойс!C30</f>
        <v>0807190001</v>
      </c>
      <c r="H19" s="163"/>
      <c r="I19" s="122" t="s">
        <v>103</v>
      </c>
      <c r="J19" s="120">
        <f>+Инвойс!G30</f>
        <v>22850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2"/>
      <c r="H21" s="163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62"/>
      <c r="H23" s="163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62"/>
      <c r="H25" s="163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62"/>
      <c r="H27" s="163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62"/>
      <c r="H29" s="163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62"/>
      <c r="H31" s="163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62"/>
      <c r="H33" s="163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62"/>
      <c r="H35" s="163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62"/>
      <c r="H37" s="163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62"/>
      <c r="H41" s="163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62"/>
      <c r="H43" s="163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985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G30" sqref="G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54" t="str">
        <f>+Инвойс!F1</f>
        <v xml:space="preserve"> 30.08.2025г.</v>
      </c>
      <c r="G1" s="154"/>
      <c r="H1" s="15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7" t="str">
        <f>+Инвойс!C2</f>
        <v>к контракту № GR-EX-01 от 22.08.2025 года</v>
      </c>
      <c r="D2" s="157"/>
      <c r="E2" s="157"/>
      <c r="F2" s="157"/>
      <c r="G2" s="157"/>
      <c r="H2" s="157"/>
      <c r="I2" s="157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 x14ac:dyDescent="0.25">
      <c r="A5" s="156" t="str">
        <f>+Инвойс!A5</f>
        <v>OOO “EXACT GROUP”</v>
      </c>
      <c r="B5" s="156"/>
      <c r="C5" s="156"/>
      <c r="D5" s="156"/>
      <c r="E5" s="156"/>
      <c r="F5" s="6"/>
      <c r="G5" s="149" t="str">
        <f>+Инвойс!G5</f>
        <v>ООО «ГРИН ВОРЛД»</v>
      </c>
      <c r="H5" s="149"/>
      <c r="I5" s="149"/>
      <c r="J5" s="149"/>
      <c r="K5" s="149"/>
      <c r="L5" s="149"/>
      <c r="M5" s="149"/>
    </row>
    <row r="6" spans="1:15" ht="13.8" x14ac:dyDescent="0.25">
      <c r="A6" s="144" t="str">
        <f>+Инвойс!A6</f>
        <v>РЕСПУБЛИКА УЗБЕКИСТАН. СУРХАНДАРЬИНСКАЯ ОБЛАСТЬ,</v>
      </c>
      <c r="B6" s="144"/>
      <c r="C6" s="144"/>
      <c r="D6" s="144"/>
      <c r="E6" s="144"/>
      <c r="F6" s="7"/>
      <c r="G6" s="174" t="str">
        <f>+Инвойс!G6</f>
        <v xml:space="preserve">454106, ЧЕЛЯБИНСКАЯ ОБЛАСТЬ, Г ЧЕЛЯБИНСК, </v>
      </c>
      <c r="H6" s="174"/>
      <c r="I6" s="174"/>
      <c r="J6" s="174"/>
      <c r="K6" s="174"/>
      <c r="L6" s="174"/>
      <c r="M6" s="174"/>
      <c r="N6" s="4"/>
    </row>
    <row r="7" spans="1:15" ht="13.8" x14ac:dyDescent="0.25">
      <c r="A7" s="144" t="str">
        <f>+Инвойс!A7</f>
        <v>ШЕРАБАДСКИЙ РАЙОН, МФЙ «БАХОР», УЛИЦА ШЕРЖАН, ДОМ 19Б</v>
      </c>
      <c r="B7" s="144"/>
      <c r="C7" s="144"/>
      <c r="D7" s="144"/>
      <c r="E7" s="144"/>
      <c r="F7" s="63"/>
      <c r="G7" s="174" t="str">
        <f>+Инвойс!G7</f>
        <v>УЛ ОСТРОВСКОГО, Д. 36, КВ. 176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44" t="str">
        <f>+Инвойс!A8</f>
        <v>в АКБ“KAPITAL BANK”  МФО: 01158  Swift: KACHUZ22</v>
      </c>
      <c r="B8" s="144"/>
      <c r="C8" s="144"/>
      <c r="D8" s="144"/>
      <c r="E8" s="144"/>
      <c r="F8" s="63"/>
      <c r="G8" s="174" t="str">
        <f>+Инвойс!G8</f>
        <v>ИНН/ КПП 7448223299 / 744801001</v>
      </c>
      <c r="H8" s="174"/>
      <c r="I8" s="174"/>
      <c r="J8" s="174"/>
      <c r="K8" s="174"/>
      <c r="L8" s="174"/>
      <c r="M8" s="174"/>
    </row>
    <row r="9" spans="1:15" ht="13.8" x14ac:dyDescent="0.25">
      <c r="A9" s="144" t="str">
        <f>+Инвойс!A9</f>
        <v>Доллар США: 20208840607280925001</v>
      </c>
      <c r="B9" s="144"/>
      <c r="C9" s="144"/>
      <c r="D9" s="144"/>
      <c r="E9" s="144"/>
      <c r="F9" s="7"/>
      <c r="G9" s="174" t="str">
        <f>+Инвойс!G9</f>
        <v>р/с 40702810000000024357</v>
      </c>
      <c r="H9" s="174"/>
      <c r="I9" s="174"/>
      <c r="J9" s="174"/>
      <c r="K9" s="174"/>
      <c r="L9" s="174"/>
      <c r="M9" s="174"/>
      <c r="O9" s="7"/>
    </row>
    <row r="10" spans="1:15" ht="13.8" x14ac:dyDescent="0.25">
      <c r="A10" s="144" t="str">
        <f>+Инвойс!A10</f>
        <v>Корреспондирующий банк (RUB): АКБ "Азия Инвест Банк" (АО) :</v>
      </c>
      <c r="B10" s="144"/>
      <c r="C10" s="144"/>
      <c r="D10" s="144"/>
      <c r="E10" s="144"/>
      <c r="F10" s="7"/>
      <c r="G10" s="174" t="str">
        <f>+Инвойс!G10</f>
        <v>Корр. счет: 30101810445250000234</v>
      </c>
      <c r="H10" s="174"/>
      <c r="I10" s="174"/>
      <c r="J10" s="174"/>
      <c r="K10" s="174"/>
      <c r="L10" s="174"/>
      <c r="M10" s="174"/>
    </row>
    <row r="11" spans="1:15" ht="13.8" x14ac:dyDescent="0.25">
      <c r="A11" s="144" t="str">
        <f>+Инвойс!A11</f>
        <v>SWIFT:ASIJRUMM / БИК 044525234,</v>
      </c>
      <c r="B11" s="144"/>
      <c r="C11" s="144"/>
      <c r="D11" s="144"/>
      <c r="E11" s="144"/>
      <c r="F11" s="7"/>
      <c r="G11" s="174" t="str">
        <f>+Инвойс!G11</f>
        <v>Азия-Инвест Банк (АО) г. Москва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45"/>
      <c r="B12" s="145"/>
      <c r="C12" s="145"/>
      <c r="D12" s="145"/>
      <c r="E12" s="145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 x14ac:dyDescent="0.35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 x14ac:dyDescent="0.25">
      <c r="A14" s="156" t="str">
        <f>+Инвойс!A14</f>
        <v>OOO “EXACT GROUP”</v>
      </c>
      <c r="B14" s="156"/>
      <c r="C14" s="156"/>
      <c r="D14" s="156"/>
      <c r="E14" s="156"/>
      <c r="F14" s="6"/>
      <c r="G14" s="149" t="str">
        <f>+Инвойс!G14</f>
        <v>ООО «ГРИН ВОРЛД»</v>
      </c>
      <c r="H14" s="149"/>
      <c r="I14" s="149"/>
      <c r="J14" s="149"/>
      <c r="K14" s="149"/>
      <c r="L14" s="149"/>
      <c r="M14" s="149"/>
    </row>
    <row r="15" spans="1:15" ht="13.95" customHeight="1" x14ac:dyDescent="0.25">
      <c r="A15" s="144" t="str">
        <f>+Инвойс!A15</f>
        <v>РЕСПУБЛИКА УЗБЕКИСТАН. СУРХАНДАРЬИНСКАЯ ОБЛАСТЬ,</v>
      </c>
      <c r="B15" s="144"/>
      <c r="C15" s="144"/>
      <c r="D15" s="144"/>
      <c r="E15" s="144"/>
      <c r="F15" s="7"/>
      <c r="G15" s="174" t="str">
        <f>+Инвойс!G15</f>
        <v xml:space="preserve">454106, ЧЕЛЯБИНСКАЯ ОБЛАСТЬ, Г ЧЕЛЯБИНСК, </v>
      </c>
      <c r="H15" s="174"/>
      <c r="I15" s="174"/>
      <c r="J15" s="174"/>
      <c r="K15" s="174"/>
      <c r="L15" s="174"/>
      <c r="M15" s="174"/>
    </row>
    <row r="16" spans="1:15" ht="13.8" x14ac:dyDescent="0.25">
      <c r="A16" s="144" t="str">
        <f>+Инвойс!A16</f>
        <v>ШЕРАБАДСКИЙ РАЙОН, МФЙ «БАХОР», УЛИЦА ШЕРЖАН, ДОМ 19Б</v>
      </c>
      <c r="B16" s="144"/>
      <c r="C16" s="144"/>
      <c r="D16" s="144"/>
      <c r="E16" s="144"/>
      <c r="F16" s="63"/>
      <c r="G16" s="174" t="str">
        <f>+Инвойс!G16</f>
        <v>УЛ ОСТРОВСКОГО, Д. 36, КВ. 176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44" t="str">
        <f>+Инвойс!A17</f>
        <v>в АКБ“KAPITAL BANK”  МФО: 01158  Swift: KACHUZ22</v>
      </c>
      <c r="B17" s="144"/>
      <c r="C17" s="144"/>
      <c r="D17" s="144"/>
      <c r="E17" s="144"/>
      <c r="F17" s="63"/>
      <c r="G17" s="174" t="str">
        <f>+Инвойс!G17</f>
        <v>ИНН/ КПП 7448223299 / 744801001</v>
      </c>
      <c r="H17" s="174"/>
      <c r="I17" s="174"/>
      <c r="J17" s="174"/>
      <c r="K17" s="174"/>
      <c r="L17" s="174"/>
      <c r="M17" s="174"/>
    </row>
    <row r="18" spans="1:17" ht="13.8" x14ac:dyDescent="0.25">
      <c r="A18" s="144" t="str">
        <f>+Инвойс!A18</f>
        <v>Доллар США: 20208840607280925001</v>
      </c>
      <c r="B18" s="144"/>
      <c r="C18" s="144"/>
      <c r="D18" s="144"/>
      <c r="E18" s="144"/>
      <c r="F18" s="7"/>
      <c r="G18" s="174" t="str">
        <f>+Инвойс!G18</f>
        <v>р/с 40702810000000024357</v>
      </c>
      <c r="H18" s="174"/>
      <c r="I18" s="174"/>
      <c r="J18" s="174"/>
      <c r="K18" s="174"/>
      <c r="L18" s="174"/>
      <c r="M18" s="174"/>
    </row>
    <row r="19" spans="1:17" ht="13.8" x14ac:dyDescent="0.25">
      <c r="A19" s="144" t="str">
        <f>+Инвойс!A19</f>
        <v>Корреспондирующий банк (RUB): АКБ "Азия Инвест Банк" (АО) :</v>
      </c>
      <c r="B19" s="144"/>
      <c r="C19" s="144"/>
      <c r="D19" s="144"/>
      <c r="E19" s="144"/>
      <c r="F19" s="7"/>
      <c r="G19" s="174" t="str">
        <f>+Инвойс!G19</f>
        <v>Корр. счет: 30101810445250000234</v>
      </c>
      <c r="H19" s="174"/>
      <c r="I19" s="174"/>
      <c r="J19" s="174"/>
      <c r="K19" s="174"/>
      <c r="L19" s="174"/>
      <c r="M19" s="174"/>
    </row>
    <row r="20" spans="1:17" ht="13.8" x14ac:dyDescent="0.25">
      <c r="A20" s="144" t="str">
        <f>+Инвойс!A20</f>
        <v>SWIFT:ASIJRUMM / БИК 044525234,</v>
      </c>
      <c r="B20" s="144"/>
      <c r="C20" s="144"/>
      <c r="D20" s="144"/>
      <c r="E20" s="144"/>
      <c r="F20" s="7"/>
      <c r="G20" s="174" t="str">
        <f>+Инвойс!G20</f>
        <v>Азия-Инвест Банк (АО) г. Москва</v>
      </c>
      <c r="H20" s="174"/>
      <c r="I20" s="174"/>
      <c r="J20" s="174"/>
      <c r="K20" s="174"/>
      <c r="L20" s="174"/>
      <c r="M20" s="174"/>
    </row>
    <row r="21" spans="1:17" ht="13.8" x14ac:dyDescent="0.25">
      <c r="A21" s="144"/>
      <c r="B21" s="144"/>
      <c r="C21" s="144"/>
      <c r="D21" s="144"/>
      <c r="E21" s="144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5" t="s">
        <v>114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80372QBA/805902AA</v>
      </c>
      <c r="F26" s="141"/>
      <c r="G26" s="141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985</v>
      </c>
      <c r="F30" s="116" t="str">
        <f>+Инвойс!F30</f>
        <v>кг</v>
      </c>
      <c r="G30" s="106">
        <f>+Инвойс!G30</f>
        <v>22850</v>
      </c>
      <c r="H30" s="106">
        <f>+Инвойс!H30</f>
        <v>21077</v>
      </c>
      <c r="I30" s="108">
        <f>+Инвойс!I30</f>
        <v>0.25</v>
      </c>
      <c r="J30" s="13">
        <f>+Инвойс!J30</f>
        <v>5269.25</v>
      </c>
      <c r="K30" s="12">
        <v>0</v>
      </c>
      <c r="L30" s="12">
        <v>0</v>
      </c>
      <c r="M30" s="13">
        <f>+Инвойс!M30</f>
        <v>5269.25</v>
      </c>
      <c r="O30" s="100"/>
      <c r="Q30" s="100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985</v>
      </c>
      <c r="F31" s="15"/>
      <c r="G31" s="64">
        <f>SUM(G30:G30)</f>
        <v>22850</v>
      </c>
      <c r="H31" s="64">
        <f>SUM(H30:H30)</f>
        <v>21077</v>
      </c>
      <c r="I31" s="102"/>
      <c r="J31" s="17">
        <f>SUM(J30:J30)</f>
        <v>5269.25</v>
      </c>
      <c r="K31" s="16"/>
      <c r="L31" s="16"/>
      <c r="M31" s="17">
        <f>SUM(M30:M30)</f>
        <v>5269.25</v>
      </c>
      <c r="P31" s="66"/>
    </row>
    <row r="32" spans="1:17" ht="13.8" x14ac:dyDescent="0.3">
      <c r="A32" s="2" t="s">
        <v>17</v>
      </c>
      <c r="B32" s="3"/>
      <c r="C32" s="11"/>
      <c r="D32" s="11"/>
      <c r="E32" s="150" t="str">
        <f>Лист1!B3</f>
        <v>Пять тысяч двести шестьдесят девять долларов США, 25 центов.</v>
      </c>
      <c r="F32" s="151"/>
      <c r="G32" s="151"/>
      <c r="H32" s="151"/>
      <c r="I32" s="151"/>
      <c r="J32" s="151"/>
      <c r="K32" s="151"/>
      <c r="L32" s="151"/>
      <c r="M32" s="151"/>
    </row>
    <row r="33" spans="1:14" ht="20.25" customHeigh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АБДИЛАКИМОВ А.А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47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M10" sqref="M1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6" x14ac:dyDescent="0.3">
      <c r="E2" s="27">
        <f>Инвойс!M31</f>
        <v>5269.25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шестьдесят девять долларов США, 25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45899</v>
      </c>
      <c r="O3" s="179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шестьдесят девять долларов США, 25 центов. (в т.ч. НДС - 357,79)</v>
      </c>
      <c r="H4" s="32"/>
      <c r="I4" s="32"/>
      <c r="J4" s="32"/>
      <c r="K4" s="180" t="str">
        <f ca="1">CONCATENATE(" «  ",P3,"  »  ",Q3,"  ",R3," г.")</f>
        <v xml:space="preserve"> «  30  »  августа  2025 г.</v>
      </c>
      <c r="L4" s="180"/>
      <c r="M4" s="180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шестьдесят девять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шестьдесят девять долларов США, 25 центов. (в т.ч. НДС - 357,79)</v>
      </c>
      <c r="C6"/>
      <c r="D6"/>
      <c r="E6"/>
      <c r="H6" s="39"/>
    </row>
    <row r="7" spans="1:19" x14ac:dyDescent="0.25">
      <c r="D7" s="33"/>
      <c r="H7" s="181" t="s">
        <v>38</v>
      </c>
      <c r="I7" s="181"/>
      <c r="J7" s="181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1"/>
      <c r="I8" s="181"/>
      <c r="J8" s="181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1"/>
      <c r="I9" s="181"/>
      <c r="J9" s="181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1"/>
      <c r="I10" s="181"/>
      <c r="J10" s="181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девять долларов США, </v>
      </c>
      <c r="D11" s="47"/>
      <c r="E11" s="48"/>
      <c r="H11" s="181"/>
      <c r="I11" s="181"/>
      <c r="J11" s="181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5269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5269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5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5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7" t="s">
        <v>85</v>
      </c>
      <c r="B100" s="177"/>
      <c r="C100" s="177"/>
      <c r="D100" s="177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2025-08-23T15:14:11Z</cp:lastPrinted>
  <dcterms:created xsi:type="dcterms:W3CDTF">1996-10-14T23:33:28Z</dcterms:created>
  <dcterms:modified xsi:type="dcterms:W3CDTF">2025-08-30T12:35:11Z</dcterms:modified>
</cp:coreProperties>
</file>