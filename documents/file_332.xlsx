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<sst xmlns="http://schemas.openxmlformats.org/spreadsheetml/2006/main" count="209" uniqueCount="163">
  <si>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</si>
  <si>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</si>
  <si>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</si>
  <si>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</si>
  <si>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</si>
  <si>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</si>
  <si>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</si>
  <si>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</si>
  <si>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</si>
  <si>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</si>
  <si>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</si>
  <si>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</si>
  <si>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</si>
  <si>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</si>
  <si>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</si>
  <si>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</si>
  <si>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</si>
  <si>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</si>
  <si>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</si>
  <si>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</si>
  <si>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</si>
  <si>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</si>
  <si>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</si>
  <si>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</si>
  <si>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</si>
  <si>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</si>
  <si>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</si>
  <si>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</si>
  <si>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</si>
  <si>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</si>
  <si>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</si>
  <si>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</si>
  <si>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</si>
  <si>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</si>
  <si>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</si>
  <si>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</si>
  <si>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</si>
  <si>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</si>
  <si>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</si>
  <si>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</si>
  <si>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</si>
  <si>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</si>
  <si>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</si>
  <si>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</si>
  <si>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</si>
  <si>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</si>
  <si>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</si>
  <si>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</si>
  <si>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</si>
  <si>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</si>
  <si>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</si>
  <si>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</si>
  <si>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</si>
  <si>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</si>
  <si>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</si>
  <si>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</si>
  <si>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</si>
  <si>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</si>
  <si>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</si>
  <si>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</si>
  <si>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</si>
  <si>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</si>
  <si>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</si>
  <si>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</si>
  <si>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</si>
  <si>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</si>
  <si>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</si>
  <si>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</si>
  <si>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</si>
  <si>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</si>
  <si>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</si>
  <si>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</si>
  <si>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</si>
  <si>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</si>
  <si>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</si>
  <si>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</si>
  <si>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</si>
  <si>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</si>
  <si>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</si>
  <si>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</si>
  <si>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</si>
  <si>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</si>
  <si>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</si>
  <si>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</si>
  <si>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</si>
  <si>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</si>
  <si>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</si>
  <si>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</si>
  <si>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</si>
  <si>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</si>
  <si>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</si>
  <si>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</si>
  <si>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</si>
  <si>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</si>
  <si>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</si>
  <si>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</si>
  <si>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</si>
  <si>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</si>
  <si>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</si>
  <si>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</si>
  <si>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</si>
  <si>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</si>
  <si>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</si>
  <si>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</si>
  <si>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</si>
  <si>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</si>
  <si>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</si>
  <si>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</si>
  <si>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</si>
  <si>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</si>
  <si>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</si>
  <si>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</si>
  <si>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</si>
  <si>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</si>
  <si>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</si>
  <si>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</si>
  <si>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</si>
  <si>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</si>
  <si>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</si>
  <si>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</si>
  <si>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</si>
  <si>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</si>
  <si>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</si>
  <si>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</si>
  <si>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</si>
  <si>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</si>
  <si>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</si>
  <si>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</si>
  <si>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</si>
  <si>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</si>
  <si>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</si>
  <si>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</si>
  <si>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</si>
  <si>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</si>
  <si>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</si>
  <si>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</si>
  <si>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</si>
  <si>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</si>
  <si>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</si>
  <si>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</si>
  <si>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</si>
  <si>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</si>
  <si>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</si>
  <si>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</si>
  <si>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</si>
  <si>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</si>
  <si>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</si>
  <si>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</si>
  <si>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</si>
  <si>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</si>
  <si>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</si>
  <si>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</si>
  <si>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</si>
  <si>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</si>
  <si>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</si>
  <si>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</si>
  <si>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</si>
  <si>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</si>
  <si>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</si>
  <si>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VG-N-63 от </t>
  </si>
  <si>
    <t xml:space="preserve"> 01.09.2025г.</t>
  </si>
  <si>
    <t>40289TBA/402101BA</t>
  </si>
  <si>
    <t xml:space="preserve">СПЕЦИФИКАЦИЯ № VG-N-63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</si>
</sst>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140</v>
      </c>
      <c r="B5" s="136"/>
      <c r="C5" s="136"/>
      <c r="D5" s="136"/>
      <c r="E5" s="136"/>
      <c r="F5" s="6"/>
      <c r="G5" s="138" t="s">
        <v>150</v>
      </c>
      <c r="H5" s="138"/>
      <c r="I5" s="138"/>
      <c r="J5" s="138"/>
      <c r="K5" s="138"/>
      <c r="L5" s="138"/>
      <c r="M5" s="138"/>
    </row>
    <row r="6" spans="1:15" ht="15" x14ac:dyDescent="0.25">
      <c r="A6" s="142" t="s">
        <v>141</v>
      </c>
      <c r="B6" s="143"/>
      <c r="C6" s="143"/>
      <c r="D6" s="143"/>
      <c r="E6" s="143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148</v>
      </c>
      <c r="B7" s="143"/>
      <c r="C7" s="143"/>
      <c r="D7" s="143"/>
      <c r="E7" s="143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156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140</v>
      </c>
      <c r="B14" s="136"/>
      <c r="C14" s="136"/>
      <c r="D14" s="136"/>
      <c r="E14" s="136"/>
      <c r="F14" s="6"/>
      <c r="G14" s="138" t="s">
        <v>150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141</v>
      </c>
      <c r="B15" s="143"/>
      <c r="C15" s="143"/>
      <c r="D15" s="143"/>
      <c r="E15" s="143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148</v>
      </c>
      <c r="B16" s="143"/>
      <c r="C16" s="143"/>
      <c r="D16" s="143"/>
      <c r="E16" s="143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156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112</v>
      </c>
      <c r="E30" s="101">
        <v>2492</v>
      </c>
      <c r="F30" s="110" t="s">
        <v>27</v>
      </c>
      <c r="G30" s="106">
        <v>22700</v>
      </c>
      <c r="H30" s="106">
        <v>19211</v>
      </c>
      <c r="I30" s="108">
        <v>1</v>
      </c>
      <c r="J30" s="13">
        <f t="shared" ref="J30" si="0">H30*I30</f>
        <v>19211</v>
      </c>
      <c r="K30" s="12">
        <v>0</v>
      </c>
      <c r="L30" s="12">
        <v>0</v>
      </c>
      <c r="M30" s="13">
        <f t="shared" ref="M30" si="1">J30</f>
        <v>19211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2492</v>
      </c>
      <c r="F31" s="15"/>
      <c r="G31" s="64">
        <f>SUM(G30:G30)</f>
        <v>22700</v>
      </c>
      <c r="H31" s="64">
        <f>SUM(H30:H30)</f>
        <v>19211</v>
      </c>
      <c r="I31" s="102"/>
      <c r="J31" s="17">
        <f>SUM(J30:J30)</f>
        <v>19211</v>
      </c>
      <c r="K31" s="16"/>
      <c r="L31" s="16"/>
      <c r="M31" s="17">
        <f>SUM(M30:M30)</f>
        <v>19211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Девятнадцать тысяч двести одиннадцать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VG-N-63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2492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40289TBA/402101BA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40289TBA/402101BA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VG-N-63 от  01.09.2025г.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2492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22700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2492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4" t="str">
        <f>+Инвойс!F1</f>
        <v xml:space="preserve"> 01.09.2025г.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GR-VT-01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«VISTOTRADE»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ООО «VISTOTRADE»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40289TBA/402101BA</v>
      </c>
      <c r="F26" s="156"/>
      <c r="G26" s="156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2492</v>
      </c>
      <c r="F30" s="116" t="str">
        <f>+Инвойс!F30</f>
        <v>кг</v>
      </c>
      <c r="G30" s="106">
        <f>+Инвойс!G30</f>
        <v>22700</v>
      </c>
      <c r="H30" s="106">
        <f>+Инвойс!H30</f>
        <v>19211</v>
      </c>
      <c r="I30" s="108">
        <f>+Инвойс!I30</f>
        <v>1</v>
      </c>
      <c r="J30" s="13">
        <f>+Инвойс!J30</f>
        <v>19211</v>
      </c>
      <c r="K30" s="12">
        <v>0</v>
      </c>
      <c r="L30" s="12">
        <v>0</v>
      </c>
      <c r="M30" s="13">
        <f>+Инвойс!M30</f>
        <v>19211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2492</v>
      </c>
      <c r="F31" s="15"/>
      <c r="G31" s="64">
        <f>SUM(G30:G30)</f>
        <v>22700</v>
      </c>
      <c r="H31" s="64">
        <f>SUM(H30:H30)</f>
        <v>19211</v>
      </c>
      <c r="I31" s="102"/>
      <c r="J31" s="17">
        <f>SUM(J30:J30)</f>
        <v>19211</v>
      </c>
      <c r="K31" s="16"/>
      <c r="L31" s="16"/>
      <c r="M31" s="17">
        <f>SUM(M30:M30)</f>
        <v>19211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Девятнадцать тысяч двести одиннадцать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7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19211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Девятнадцать тысяч двести одиннадцать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Девятнадцать тысяч двести одиннадцать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девятнадцать тысяч двести одиннадцать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девятнадцать тысяч двести одиннадцать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19211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192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1921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19211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2025-08-31T21:37:22Z</cp:lastPrinted>
  <dcterms:created xsi:type="dcterms:W3CDTF">1996-10-14T23:33:28Z</dcterms:created>
  <dcterms:modified xsi:type="dcterms:W3CDTF">2025-08-31T21:37:23Z</dcterms:modified>
</cp:coreProperties>
</file>