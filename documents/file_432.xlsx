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3A5638B3-25D8-4D0F-8539-3229549093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7" l="1"/>
  <c r="J30" i="2"/>
  <c r="M30" i="2" s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C24" i="7"/>
  <c r="F1" i="7"/>
  <c r="G31" i="7" l="1"/>
  <c r="H31" i="7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7" l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<sst xmlns="http://schemas.openxmlformats.org/spreadsheetml/2006/main" count="210" uniqueCount="164">
  <si>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</si>
  <si>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</si>
  <si>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</si>
  <si>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</si>
  <si>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</si>
  <si>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</si>
  <si>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</si>
  <si>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</si>
  <si>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</si>
  <si>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</si>
  <si>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</si>
  <si>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</si>
  <si>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</si>
  <si>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</si>
  <si>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</si>
  <si>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</si>
  <si>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</si>
  <si>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</si>
  <si>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</si>
  <si>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</si>
  <si>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</si>
  <si>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</si>
  <si>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</si>
  <si>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</si>
  <si>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</si>
  <si>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</si>
  <si>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</si>
  <si>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</si>
  <si>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</si>
  <si>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</si>
  <si>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</si>
  <si>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</si>
  <si>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</si>
  <si>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</si>
  <si>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</si>
  <si>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</si>
  <si>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</si>
  <si>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</si>
  <si>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</si>
  <si>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</si>
  <si>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</si>
  <si>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</si>
  <si>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</si>
  <si>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</si>
  <si>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</si>
  <si>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</si>
  <si>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</si>
  <si>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</si>
  <si>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</si>
  <si>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</si>
  <si>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</si>
  <si>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</si>
  <si>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</si>
  <si>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</si>
  <si>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</si>
  <si>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</si>
  <si>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</si>
  <si>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</si>
  <si>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</si>
  <si>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</si>
  <si>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</si>
  <si>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</si>
  <si>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</si>
  <si>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</si>
  <si>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</si>
  <si>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</si>
  <si>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</si>
  <si>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</si>
  <si>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</si>
  <si>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</si>
  <si>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</si>
  <si>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</si>
  <si>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</si>
  <si>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</si>
  <si>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</si>
  <si>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</si>
  <si>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</si>
  <si>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</si>
  <si>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</si>
  <si>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</si>
  <si>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</si>
  <si>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</si>
  <si>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</si>
  <si>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</si>
  <si>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</si>
  <si>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</si>
  <si>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</si>
  <si>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</si>
  <si>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</si>
  <si>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</si>
  <si>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</si>
  <si>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</si>
  <si>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</si>
  <si>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</si>
  <si>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</si>
  <si>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</si>
  <si>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</si>
  <si>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</si>
  <si>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</si>
  <si>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</si>
  <si>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</si>
  <si>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</si>
  <si>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</si>
  <si>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</si>
  <si>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</si>
  <si>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</si>
  <si>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</si>
  <si>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</si>
  <si>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</si>
  <si>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</si>
  <si>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</si>
  <si>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</si>
  <si>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</si>
  <si>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</si>
  <si>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</si>
  <si>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</si>
  <si>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</si>
  <si>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</si>
  <si>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</si>
  <si>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</si>
  <si>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</si>
  <si>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</si>
  <si>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</si>
  <si>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Арбузы свежие</t>
  </si>
  <si>
    <t>0807110001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</si>
  <si>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</si>
  <si>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</si>
  <si>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</si>
  <si>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</si>
  <si>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</si>
  <si>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</si>
  <si>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</si>
  <si>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</si>
  <si>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</si>
  <si>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</si>
  <si>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</si>
  <si>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</si>
  <si>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</si>
  <si>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</si>
  <si>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</si>
  <si>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</si>
  <si>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</si>
  <si>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</si>
  <si>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</si>
  <si>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</si>
  <si>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</si>
  <si>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</si>
  <si>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</si>
  <si>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</si>
  <si>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</si>
  <si>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</si>
  <si>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</si>
  <si>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</si>
  <si>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</si>
  <si>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</si>
  <si>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</si>
  <si>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 xml:space="preserve"> 05.09.2025г.</t>
  </si>
  <si>
    <t>80300HBA/809536AA</t>
  </si>
  <si>
    <t>Навалом</t>
  </si>
  <si>
    <t>-</t>
  </si>
  <si>
    <t>г.Уфа / г.Кемерово /г. Иркутск /г.Омск /г. Ижевск/ г.Крым Симферополь/ Российская федерация</t>
  </si>
  <si>
    <t>DAP - Сарыагаш, Республика Казахстан</t>
  </si>
  <si>
    <t xml:space="preserve">ИНВОЙС № PLG-A-49 от </t>
  </si>
  <si>
    <t xml:space="preserve">СПЕЦИФИКАЦИЯ № PLG-A-49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</si>
</sst>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162</v>
      </c>
      <c r="D1" s="135"/>
      <c r="E1" s="135"/>
      <c r="F1" s="134" t="s">
        <v>156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144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145</v>
      </c>
      <c r="B5" s="136"/>
      <c r="C5" s="136"/>
      <c r="D5" s="136"/>
      <c r="E5" s="136"/>
      <c r="F5" s="6"/>
      <c r="G5" s="138" t="s">
        <v>136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146</v>
      </c>
      <c r="B6" s="143"/>
      <c r="C6" s="143"/>
      <c r="D6" s="143"/>
      <c r="E6" s="143"/>
      <c r="F6" s="7"/>
      <c r="G6" s="140" t="s">
        <v>137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147</v>
      </c>
      <c r="B7" s="143"/>
      <c r="C7" s="143"/>
      <c r="D7" s="143"/>
      <c r="E7" s="143"/>
      <c r="F7" s="63"/>
      <c r="G7" s="140" t="s">
        <v>138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148</v>
      </c>
      <c r="B8" s="8"/>
      <c r="C8" s="8"/>
      <c r="D8" s="8"/>
      <c r="E8" s="8"/>
      <c r="F8" s="63"/>
      <c r="G8" s="7" t="s">
        <v>139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149</v>
      </c>
      <c r="B9" s="8"/>
      <c r="C9" s="8"/>
      <c r="D9" s="8"/>
      <c r="E9" s="8"/>
      <c r="F9" s="7"/>
      <c r="G9" s="7" t="s">
        <v>140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150</v>
      </c>
      <c r="B10" s="125"/>
      <c r="C10" s="125"/>
      <c r="D10" s="125"/>
      <c r="E10" s="125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151</v>
      </c>
      <c r="B11" s="8"/>
      <c r="C11" s="8"/>
      <c r="D11" s="8"/>
      <c r="E11" s="8"/>
      <c r="F11" s="7"/>
      <c r="G11" s="7" t="s">
        <v>141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9" t="s">
        <v>142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145</v>
      </c>
      <c r="B14" s="136"/>
      <c r="C14" s="136"/>
      <c r="D14" s="136"/>
      <c r="E14" s="136"/>
      <c r="F14" s="6"/>
      <c r="G14" s="138" t="s">
        <v>136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146</v>
      </c>
      <c r="B15" s="143"/>
      <c r="C15" s="143"/>
      <c r="D15" s="143"/>
      <c r="E15" s="143"/>
      <c r="F15" s="7"/>
      <c r="G15" s="140" t="s">
        <v>137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147</v>
      </c>
      <c r="B16" s="143"/>
      <c r="C16" s="143"/>
      <c r="D16" s="143"/>
      <c r="E16" s="143"/>
      <c r="F16" s="63"/>
      <c r="G16" s="140" t="s">
        <v>138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148</v>
      </c>
      <c r="B17" s="8"/>
      <c r="C17" s="8"/>
      <c r="D17" s="8"/>
      <c r="E17" s="8"/>
      <c r="F17" s="63"/>
      <c r="G17" s="7" t="s">
        <v>139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149</v>
      </c>
      <c r="B18" s="8"/>
      <c r="C18" s="8"/>
      <c r="D18" s="8"/>
      <c r="E18" s="8"/>
      <c r="F18" s="7"/>
      <c r="G18" s="7" t="s">
        <v>140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150</v>
      </c>
      <c r="B19" s="125"/>
      <c r="C19" s="125"/>
      <c r="D19" s="125"/>
      <c r="E19" s="125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151</v>
      </c>
      <c r="B20" s="8"/>
      <c r="C20" s="8"/>
      <c r="D20" s="8"/>
      <c r="E20" s="8"/>
      <c r="F20" s="7"/>
      <c r="G20" s="7" t="s">
        <v>141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39" t="s">
        <v>142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155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161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157</v>
      </c>
      <c r="F26" s="156"/>
      <c r="G26" s="156"/>
      <c r="J26" s="21"/>
    </row>
    <row r="27" spans="1:17" ht="34.5" customHeight="1" x14ac:dyDescent="0.25">
      <c r="A27" s="67" t="s">
        <v>109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13.8" x14ac:dyDescent="0.25">
      <c r="A30" s="127">
        <v>1</v>
      </c>
      <c r="B30" s="101" t="s">
        <v>123</v>
      </c>
      <c r="C30" s="107" t="s">
        <v>124</v>
      </c>
      <c r="D30" s="109" t="s">
        <v>158</v>
      </c>
      <c r="E30" s="101" t="s">
        <v>159</v>
      </c>
      <c r="F30" s="110" t="s">
        <v>27</v>
      </c>
      <c r="G30" s="106">
        <v>23100</v>
      </c>
      <c r="H30" s="106">
        <v>23100</v>
      </c>
      <c r="I30" s="108">
        <v>0.25</v>
      </c>
      <c r="J30" s="13">
        <f t="shared" ref="J30" si="0">H30*I30</f>
        <v>5775</v>
      </c>
      <c r="K30" s="12">
        <v>0</v>
      </c>
      <c r="L30" s="12">
        <v>0</v>
      </c>
      <c r="M30" s="13">
        <f t="shared" ref="M30" si="1">J30</f>
        <v>5775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/>
      <c r="F31" s="15"/>
      <c r="G31" s="64">
        <f>SUM(G30:G30)</f>
        <v>23100</v>
      </c>
      <c r="H31" s="64">
        <f>SUM(H30:H30)</f>
        <v>23100</v>
      </c>
      <c r="I31" s="102"/>
      <c r="J31" s="17">
        <f>SUM(J30:J30)</f>
        <v>5775</v>
      </c>
      <c r="K31" s="16"/>
      <c r="L31" s="16"/>
      <c r="M31" s="17">
        <f>SUM(M30:M30)</f>
        <v>5775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семьсот семьдесят пять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152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B24" sqref="B24:D24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110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160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111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05.09.2025г.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PLG-A-49 от  05.09.2025г.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 t="str">
        <f>+Инвойс!E30</f>
        <v>-</v>
      </c>
      <c r="D30" s="103" t="str">
        <f>+Инвойс!D30</f>
        <v>Навалом</v>
      </c>
      <c r="E30" s="103"/>
      <c r="F30" s="103" t="str">
        <f>+Инвойс!B30</f>
        <v>Арбузы свежие</v>
      </c>
      <c r="G30" s="104" t="str">
        <f>+Инвойс!C30</f>
        <v>0807110001</v>
      </c>
      <c r="H30" s="103"/>
      <c r="I30" s="105">
        <f>+Инвойс!G30</f>
        <v>23100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112</v>
      </c>
      <c r="D49" s="160" t="str">
        <f>+C22</f>
        <v xml:space="preserve"> 05.09.2025г.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80300HBA/809536AA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5" zoomScale="70" zoomScaleNormal="70" workbookViewId="0">
      <selection activeCell="D47" sqref="D47:E4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80300HBA/809536AA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05.09.2025г.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PLG-A-49 от  05.09.2025г.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 t="str">
        <f>+Инвойс!E30</f>
        <v>-</v>
      </c>
      <c r="G18" s="167" t="str">
        <f>+CMR!F30</f>
        <v>Арбузы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Навалом</v>
      </c>
      <c r="G19" s="161" t="str">
        <f>+Инвойс!C30</f>
        <v>0807110001</v>
      </c>
      <c r="H19" s="162"/>
      <c r="I19" s="122" t="s">
        <v>103</v>
      </c>
      <c r="J19" s="120">
        <f>+Инвойс!G30</f>
        <v>23100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 t="s">
        <v>158</v>
      </c>
      <c r="E47" s="171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55" zoomScaleNormal="5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163</v>
      </c>
      <c r="C1" s="174"/>
      <c r="D1" s="174"/>
      <c r="E1" s="174"/>
      <c r="F1" s="134" t="str">
        <f>+Инвойс!F1</f>
        <v xml:space="preserve"> 05.09.2025г.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GR-POL-01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ООО «POLARIUM»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42" t="str">
        <f>+Инвойс!A6</f>
        <v>Республика Узбекистан. Ташкентская область, Бекабадский район,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махалля Зафар, Гулистан МФЙ, улица Мустакиллик, дом 1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 «TURON BANK» МФО 00446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в/с: 20208840907287520001 (доллар США)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SWIFT: TURONUZ22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ИНН: 312302455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ООО «POLARIUM»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tr">
        <f>+Инвойс!A15</f>
        <v>Республика Узбекистан. Ташкентская область, Бекабадский район,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махалля Зафар, Гулистан МФЙ, улица Мустакиллик, дом 1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 «TURON BANK» МФО 00446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в/с: 20208840907287520001 (доллар США)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SWIFT: TURONUZ22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ИНН: 312302455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121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113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80300HBA/809536AA</v>
      </c>
      <c r="F26" s="156"/>
      <c r="G26" s="156"/>
      <c r="J26" s="21"/>
    </row>
    <row r="27" spans="1:17" ht="34.5" customHeight="1" x14ac:dyDescent="0.25">
      <c r="A27" s="67" t="s">
        <v>122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f>+Инвойс!A30</f>
        <v>1</v>
      </c>
      <c r="B30" s="101" t="str">
        <f>+Инвойс!B30</f>
        <v>Арбузы свежие</v>
      </c>
      <c r="C30" s="107" t="str">
        <f>+Инвойс!C30</f>
        <v>0807110001</v>
      </c>
      <c r="D30" s="115" t="str">
        <f>+Инвойс!D30</f>
        <v>Навалом</v>
      </c>
      <c r="E30" s="101" t="str">
        <f>+Инвойс!E30</f>
        <v>-</v>
      </c>
      <c r="F30" s="116" t="str">
        <f>+Инвойс!F30</f>
        <v>кг</v>
      </c>
      <c r="G30" s="106">
        <f>+Инвойс!G30</f>
        <v>23100</v>
      </c>
      <c r="H30" s="106">
        <f>+Инвойс!H30</f>
        <v>23100</v>
      </c>
      <c r="I30" s="108">
        <f>+Инвойс!I30</f>
        <v>0.25</v>
      </c>
      <c r="J30" s="13">
        <f>+Инвойс!J30</f>
        <v>5775</v>
      </c>
      <c r="K30" s="12">
        <v>0</v>
      </c>
      <c r="L30" s="12">
        <v>0</v>
      </c>
      <c r="M30" s="13">
        <f>+Инвойс!M30</f>
        <v>5775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/>
      <c r="F31" s="15"/>
      <c r="G31" s="64">
        <f>SUM(G30:G30)</f>
        <v>23100</v>
      </c>
      <c r="H31" s="64">
        <f>SUM(H30:H30)</f>
        <v>23100</v>
      </c>
      <c r="I31" s="102"/>
      <c r="J31" s="17">
        <f>SUM(J30:J30)</f>
        <v>5775</v>
      </c>
      <c r="K31" s="16"/>
      <c r="L31" s="16"/>
      <c r="M31" s="17">
        <f>SUM(M30:M30)</f>
        <v>5775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семьсот семьдесят пять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153</v>
      </c>
      <c r="B36" s="131"/>
      <c r="D36" s="18" t="str">
        <f>+Инвойс!D36</f>
        <v>Юнусов Х.Р</v>
      </c>
      <c r="E36" s="132"/>
      <c r="G36" s="129" t="s">
        <v>127</v>
      </c>
      <c r="H36" s="18" t="str">
        <f>Инвойс!G5</f>
        <v>ООО «ГРИН ВОРЛД»</v>
      </c>
      <c r="K36" s="133" t="s">
        <v>143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114</v>
      </c>
    </row>
    <row r="3" spans="1:10" ht="52.8" x14ac:dyDescent="0.25">
      <c r="A3" s="130" t="s">
        <v>125</v>
      </c>
    </row>
    <row r="5" spans="1:10" ht="92.4" x14ac:dyDescent="0.25">
      <c r="A5" s="126" t="s">
        <v>155</v>
      </c>
    </row>
    <row r="6" spans="1:10" x14ac:dyDescent="0.25">
      <c r="E6" s="18" t="s">
        <v>126</v>
      </c>
      <c r="J6" s="25" t="s">
        <v>128</v>
      </c>
    </row>
    <row r="7" spans="1:10" ht="52.8" x14ac:dyDescent="0.25">
      <c r="A7" s="126" t="s">
        <v>115</v>
      </c>
    </row>
    <row r="8" spans="1:10" x14ac:dyDescent="0.25">
      <c r="E8" s="18" t="s">
        <v>134</v>
      </c>
      <c r="J8" s="25" t="s">
        <v>129</v>
      </c>
    </row>
    <row r="9" spans="1:10" ht="52.8" x14ac:dyDescent="0.25">
      <c r="A9" s="126" t="s">
        <v>116</v>
      </c>
    </row>
    <row r="10" spans="1:10" x14ac:dyDescent="0.25">
      <c r="A10" s="126"/>
      <c r="E10" s="18" t="s">
        <v>130</v>
      </c>
      <c r="J10" s="25" t="s">
        <v>131</v>
      </c>
    </row>
    <row r="11" spans="1:10" ht="52.8" x14ac:dyDescent="0.25">
      <c r="A11" s="126" t="s">
        <v>154</v>
      </c>
    </row>
    <row r="12" spans="1:10" x14ac:dyDescent="0.25">
      <c r="E12" s="18" t="s">
        <v>132</v>
      </c>
      <c r="J12" s="25" t="s">
        <v>133</v>
      </c>
    </row>
    <row r="13" spans="1:10" ht="52.8" x14ac:dyDescent="0.25">
      <c r="A13" s="126" t="s">
        <v>117</v>
      </c>
    </row>
    <row r="15" spans="1:10" ht="39.6" x14ac:dyDescent="0.25">
      <c r="A15" s="126" t="s">
        <v>118</v>
      </c>
    </row>
    <row r="17" spans="1:1" ht="39.6" x14ac:dyDescent="0.25">
      <c r="A17" s="126" t="s">
        <v>119</v>
      </c>
    </row>
    <row r="19" spans="1:1" ht="39.6" x14ac:dyDescent="0.25">
      <c r="A19" s="128" t="s">
        <v>120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5775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семьсот семьдесят пять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45905</v>
      </c>
      <c r="O3" s="178"/>
      <c r="P3">
        <f ca="1">DAY(N3)</f>
        <v>5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семьсот семьдесят пять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5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семьсот семьдесят пять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семьсот семьдесят пять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семьсот семьдесят пять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45905</v>
      </c>
    </row>
    <row r="13" spans="1:19" s="43" customFormat="1" x14ac:dyDescent="0.25">
      <c r="A13" s="49"/>
      <c r="D13" s="51"/>
      <c r="E13" s="52">
        <f>TRUNC(E2)</f>
        <v>5775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57</v>
      </c>
      <c r="B27" s="47">
        <f>TRUNC(RIGHT(A27))</f>
        <v>7</v>
      </c>
      <c r="C27" s="51">
        <f>B27</f>
        <v>7</v>
      </c>
      <c r="E27" s="55" t="str">
        <f>IF(B27=1,E43,IF(B27=2,G35,IF(B27=3,G36,IF(B27=4,G37,IF(B27=5,G38,IF(B27=6,G39,IF(B27=7,G40,IF(B27=8,G41,G42))))))))</f>
        <v xml:space="preserve">семьсот </v>
      </c>
    </row>
    <row r="28" spans="1:9" s="43" customFormat="1" x14ac:dyDescent="0.25">
      <c r="A28" s="54">
        <f>TRUNC(A29/10)</f>
        <v>577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5">
      <c r="A29" s="54">
        <f>E13</f>
        <v>5775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775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2025-09-05T11:29:47Z</cp:lastPrinted>
  <dcterms:created xsi:type="dcterms:W3CDTF">1996-10-14T23:33:28Z</dcterms:created>
  <dcterms:modified xsi:type="dcterms:W3CDTF">2025-09-05T11:29:58Z</dcterms:modified>
</cp:coreProperties>
</file>