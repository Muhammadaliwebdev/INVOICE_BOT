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A20" i="7" l="1"/>
  <c r="A11" i="7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<sst xmlns="http://schemas.openxmlformats.org/spreadsheetml/2006/main" count="209" uniqueCount="163">
  <si>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</si>
  <si>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</si>
  <si>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</si>
  <si>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</si>
  <si>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</si>
  <si>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</si>
  <si>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</si>
  <si>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</si>
  <si>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</si>
  <si>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</si>
  <si>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</si>
  <si>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</si>
  <si>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</si>
  <si>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</si>
  <si>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</si>
  <si>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</si>
  <si>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</si>
  <si>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</si>
  <si>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</si>
  <si>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</si>
  <si>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</si>
  <si>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</si>
  <si>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</si>
  <si>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</si>
  <si>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</si>
  <si>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</si>
  <si>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</si>
  <si>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</si>
  <si>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</si>
  <si>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</si>
  <si>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</si>
  <si>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</si>
  <si>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</si>
  <si>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</si>
  <si>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</si>
  <si>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</si>
  <si>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</si>
  <si>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</si>
  <si>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</si>
  <si>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</si>
  <si>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</si>
  <si>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</si>
  <si>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</si>
  <si>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</si>
  <si>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</si>
  <si>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</si>
  <si>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</si>
  <si>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</si>
  <si>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</si>
  <si>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</si>
  <si>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</si>
  <si>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</si>
  <si>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</si>
  <si>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</si>
  <si>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</si>
  <si>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</si>
  <si>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</si>
  <si>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</si>
  <si>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</si>
  <si>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</si>
  <si>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</si>
  <si>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</si>
  <si>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</si>
  <si>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</si>
  <si>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</si>
  <si>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</si>
  <si>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</si>
  <si>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</si>
  <si>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</si>
  <si>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</si>
  <si>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</si>
  <si>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</si>
  <si>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</si>
  <si>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</si>
  <si>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</si>
  <si>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</si>
  <si>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</si>
  <si>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</si>
  <si>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</si>
  <si>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</si>
  <si>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</si>
  <si>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</si>
  <si>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</si>
  <si>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</si>
  <si>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</si>
  <si>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</si>
  <si>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</si>
  <si>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</si>
  <si>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</si>
  <si>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</si>
  <si>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</si>
  <si>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</si>
  <si>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</si>
  <si>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</si>
  <si>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</si>
  <si>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</si>
  <si>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</si>
  <si>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</si>
  <si>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</si>
  <si>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</si>
  <si>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</si>
  <si>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</si>
  <si>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</si>
  <si>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</si>
  <si>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</si>
  <si>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</si>
  <si>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</si>
  <si>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</si>
  <si>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</si>
  <si>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</si>
  <si>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</si>
  <si>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</si>
  <si>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</si>
  <si>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</si>
  <si>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</si>
  <si>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</si>
  <si>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</si>
  <si>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</si>
  <si>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</si>
  <si>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</si>
  <si>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</si>
  <si>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</si>
  <si>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</si>
  <si>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</si>
  <si>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</si>
  <si>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</si>
  <si>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</si>
  <si>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</si>
  <si>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</si>
  <si>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</si>
  <si>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</si>
  <si>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</si>
  <si>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</si>
  <si>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</si>
  <si>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</si>
  <si>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</si>
  <si>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</si>
  <si>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</si>
  <si>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</si>
  <si>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</si>
  <si>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</si>
  <si>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</si>
  <si>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</si>
  <si>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</si>
  <si>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</si>
  <si>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</si>
  <si>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</si>
  <si>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</si>
  <si>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 xml:space="preserve">OOO «GOOD WILL EXPORT» </t>
  </si>
  <si>
    <t>к контракту № GW-GV-01 от 30.08.2025 года</t>
  </si>
  <si>
    <t xml:space="preserve">Республика Узбекистан, Джизакская область, </t>
  </si>
  <si>
    <t>Зарбдарский район, Ровот МФЙ, ул. Лойихада дом 1/1</t>
  </si>
  <si>
    <r>
      <t xml:space="preserve">Р/с N </t>
    </r>
    <r>
      <rPr>
        <sz val="11"/>
        <color indexed="8"/>
        <rFont val="Times New Roman"/>
        <family val="1"/>
        <charset val="204"/>
      </rPr>
      <t>2020 8840 8055 4748 4001 USD</t>
    </r>
  </si>
  <si>
    <t>в «ТУРОНБАНК» АКБ Головной офис (Ташкент)</t>
  </si>
  <si>
    <t>МФО: 00446, SWIFT: TUROUZ22</t>
  </si>
  <si>
    <t>ИНН: 309713324</t>
  </si>
  <si>
    <t>Тиловбеков Б.Э.</t>
  </si>
  <si>
    <t xml:space="preserve">Директор:  OOO «GOOD WILL EXPORT» </t>
  </si>
  <si>
    <t>г.Челябинский таможенный пост г.Челябинск ул. Енисейская, 87А код поста 10504080   ООО "ГРИН ВОРЛД" 
RU/0237/2 от 27.12.2024</t>
  </si>
  <si>
    <t>30647DBA/305258AA</t>
  </si>
  <si>
    <t xml:space="preserve">ИНВОЙС № GWG-F-1 от </t>
  </si>
  <si>
    <t xml:space="preserve">СПЕЦИФИКАЦИЯ № GWG-F-1 от </t>
  </si>
  <si>
    <t xml:space="preserve"> 01.09.2025г.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</si>
</sst>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739587</xdr:colOff>
      <xdr:row>36</xdr:row>
      <xdr:rowOff>123264</xdr:rowOff>
    </xdr:from>
    <xdr:to>
      <xdr:col>3</xdr:col>
      <xdr:colOff>353616</xdr:colOff>
      <xdr:row>51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3552053-8F8A-913F-6CE4-5EEAEB516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587" y="20392464"/>
          <a:ext cx="2471529" cy="2353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560294</xdr:colOff>
      <xdr:row>36</xdr:row>
      <xdr:rowOff>145677</xdr:rowOff>
    </xdr:from>
    <xdr:to>
      <xdr:col>9</xdr:col>
      <xdr:colOff>746872</xdr:colOff>
      <xdr:row>48</xdr:row>
      <xdr:rowOff>72930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A8392EE-7EFB-4199-B787-27369CC1D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4853" y="19173265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437029</xdr:colOff>
      <xdr:row>36</xdr:row>
      <xdr:rowOff>100851</xdr:rowOff>
    </xdr:from>
    <xdr:to>
      <xdr:col>2</xdr:col>
      <xdr:colOff>526676</xdr:colOff>
      <xdr:row>49</xdr:row>
      <xdr:rowOff>27817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ED0102E-59AD-4EEF-8F4E-40CDDC636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617" y="19128439"/>
          <a:ext cx="2162735" cy="2134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52" t="s">
        <v>160</v>
      </c>
      <c r="D1" s="152"/>
      <c r="E1" s="152"/>
      <c r="F1" s="151" t="s">
        <v>162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">
        <v>149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">
        <v>148</v>
      </c>
      <c r="B5" s="153"/>
      <c r="C5" s="153"/>
      <c r="D5" s="153"/>
      <c r="E5" s="153"/>
      <c r="F5" s="6"/>
      <c r="G5" s="146" t="s">
        <v>130</v>
      </c>
      <c r="H5" s="146"/>
      <c r="I5" s="146"/>
      <c r="J5" s="146"/>
      <c r="K5" s="146"/>
      <c r="L5" s="146"/>
      <c r="M5" s="146"/>
    </row>
    <row r="6" spans="1:15" ht="15" x14ac:dyDescent="0.25">
      <c r="A6" s="125" t="s">
        <v>150</v>
      </c>
      <c r="B6" s="124"/>
      <c r="C6" s="124"/>
      <c r="D6" s="124"/>
      <c r="E6" s="124"/>
      <c r="F6" s="7"/>
      <c r="G6" s="141" t="s">
        <v>131</v>
      </c>
      <c r="H6" s="141"/>
      <c r="I6" s="141"/>
      <c r="J6" s="141"/>
      <c r="K6" s="141"/>
      <c r="L6" s="141"/>
      <c r="M6" s="141"/>
      <c r="N6" s="4"/>
    </row>
    <row r="7" spans="1:15" ht="15" x14ac:dyDescent="0.25">
      <c r="A7" s="125" t="s">
        <v>151</v>
      </c>
      <c r="B7" s="124"/>
      <c r="C7" s="124"/>
      <c r="D7" s="124"/>
      <c r="E7" s="124"/>
      <c r="F7" s="63"/>
      <c r="G7" s="141" t="s">
        <v>132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133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134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154</v>
      </c>
      <c r="B10" s="124"/>
      <c r="C10" s="124"/>
      <c r="D10" s="124"/>
      <c r="E10" s="124"/>
      <c r="F10" s="7"/>
      <c r="G10" s="7" t="s">
        <v>135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136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2" t="s">
        <v>137</v>
      </c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">
        <v>148</v>
      </c>
      <c r="B14" s="153"/>
      <c r="C14" s="153"/>
      <c r="D14" s="153"/>
      <c r="E14" s="153"/>
      <c r="F14" s="6"/>
      <c r="G14" s="146" t="s">
        <v>130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25" t="s">
        <v>150</v>
      </c>
      <c r="B15" s="124"/>
      <c r="C15" s="124"/>
      <c r="D15" s="124"/>
      <c r="E15" s="124"/>
      <c r="F15" s="7"/>
      <c r="G15" s="141" t="s">
        <v>131</v>
      </c>
      <c r="H15" s="141"/>
      <c r="I15" s="141"/>
      <c r="J15" s="141"/>
      <c r="K15" s="141"/>
      <c r="L15" s="141"/>
      <c r="M15" s="141"/>
    </row>
    <row r="16" spans="1:15" ht="15" x14ac:dyDescent="0.25">
      <c r="A16" s="125" t="s">
        <v>151</v>
      </c>
      <c r="B16" s="124"/>
      <c r="C16" s="124"/>
      <c r="D16" s="124"/>
      <c r="E16" s="124"/>
      <c r="F16" s="63"/>
      <c r="G16" s="141" t="s">
        <v>132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133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134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154</v>
      </c>
      <c r="B19" s="124"/>
      <c r="C19" s="124"/>
      <c r="D19" s="124"/>
      <c r="E19" s="124"/>
      <c r="F19" s="7"/>
      <c r="G19" s="7" t="s">
        <v>135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136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42" t="s">
        <v>137</v>
      </c>
      <c r="H21" s="142"/>
      <c r="I21" s="142"/>
      <c r="J21" s="142"/>
      <c r="K21" s="142"/>
      <c r="L21" s="142"/>
      <c r="M21" s="142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38" t="s">
        <v>116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75" x14ac:dyDescent="0.25">
      <c r="A24" s="20" t="s">
        <v>22</v>
      </c>
      <c r="C24" s="18" t="s">
        <v>142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">
        <v>159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30" x14ac:dyDescent="0.2">
      <c r="A30" s="127">
        <v>1</v>
      </c>
      <c r="B30" s="101" t="s">
        <v>124</v>
      </c>
      <c r="C30" s="107" t="s">
        <v>125</v>
      </c>
      <c r="D30" s="109" t="s">
        <v>112</v>
      </c>
      <c r="E30" s="101">
        <v>980</v>
      </c>
      <c r="F30" s="115" t="s">
        <v>27</v>
      </c>
      <c r="G30" s="106">
        <v>23000</v>
      </c>
      <c r="H30" s="106">
        <v>21628</v>
      </c>
      <c r="I30" s="108">
        <v>0.25</v>
      </c>
      <c r="J30" s="13">
        <f t="shared" ref="J30" si="0">H30*I30</f>
        <v>5407</v>
      </c>
      <c r="K30" s="12">
        <v>0</v>
      </c>
      <c r="L30" s="12">
        <v>0</v>
      </c>
      <c r="M30" s="13">
        <f t="shared" ref="M30" si="1">J30</f>
        <v>5407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21628</v>
      </c>
      <c r="I31" s="102"/>
      <c r="J31" s="17">
        <f>SUM(J30:J30)</f>
        <v>5407</v>
      </c>
      <c r="K31" s="16"/>
      <c r="L31" s="16"/>
      <c r="M31" s="17">
        <f>SUM(M30:M30)</f>
        <v>5407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четыреста семь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156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 xml:space="preserve">OOO «GOOD WILL EXPORT» </v>
      </c>
    </row>
    <row r="3" spans="1:11" ht="11.25" customHeight="1" x14ac:dyDescent="0.2">
      <c r="B3" s="70" t="str">
        <f>+Инвойс!A6</f>
        <v xml:space="preserve">Республика Узбекистан, Джизакская область, </v>
      </c>
    </row>
    <row r="4" spans="1:11" ht="11.25" customHeight="1" x14ac:dyDescent="0.2">
      <c r="B4" s="70" t="str">
        <f>+Инвойс!A7</f>
        <v>Зарбдарский район, Ровот МФЙ, ул. Лойихада дом 1/1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139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01.09.2025г.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GWG-F-1 от  01.09.2025г.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"Уралкомплект" 10412130 - т/п Оренбургский
460027, Оренбургская обл., г. Оренбург, ул. Донгузская, д. 62А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140</v>
      </c>
      <c r="D49" s="158" t="str">
        <f>+C22</f>
        <v xml:space="preserve"> 01.09.2025г.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30647DBA/305258AA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4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6" t="s">
        <v>96</v>
      </c>
      <c r="C2" s="166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7" t="str">
        <f>+Инвойс!E26</f>
        <v>30647DBA/305258AA</v>
      </c>
      <c r="C14" s="167"/>
      <c r="D14" s="167"/>
      <c r="E14" s="167"/>
      <c r="F14" s="167"/>
      <c r="G14" s="167"/>
      <c r="H14" s="168" t="s">
        <v>107</v>
      </c>
      <c r="I14" s="168"/>
      <c r="J14" s="88" t="str">
        <f>+Инвойс!F1</f>
        <v xml:space="preserve"> 01.09.2025г.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9" t="str">
        <f>+CMR!B24</f>
        <v>ИНВОЙС № GWG-F-1 от  01.09.2025г.</v>
      </c>
      <c r="I15" s="169"/>
      <c r="J15" s="169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980</v>
      </c>
      <c r="G18" s="161" t="str">
        <f>+CMR!F30</f>
        <v>Дыни свежие</v>
      </c>
      <c r="H18" s="161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59" t="str">
        <f>+Инвойс!C30</f>
        <v>0807190001</v>
      </c>
      <c r="H19" s="160"/>
      <c r="I19" s="121" t="s">
        <v>103</v>
      </c>
      <c r="J19" s="119">
        <f>+Инвойс!G30</f>
        <v>23000</v>
      </c>
    </row>
    <row r="20" spans="2:10" ht="13.5" customHeight="1" x14ac:dyDescent="0.25">
      <c r="B20" s="83"/>
      <c r="E20" s="122"/>
      <c r="F20" s="117"/>
      <c r="G20" s="161"/>
      <c r="H20" s="161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59"/>
      <c r="H21" s="160"/>
      <c r="I21" s="121"/>
      <c r="J21" s="119"/>
    </row>
    <row r="22" spans="2:10" ht="12.75" customHeight="1" x14ac:dyDescent="0.25">
      <c r="B22" s="83"/>
      <c r="E22" s="122"/>
      <c r="F22" s="117"/>
      <c r="G22" s="161"/>
      <c r="H22" s="161"/>
      <c r="I22" s="118"/>
      <c r="J22" s="119"/>
    </row>
    <row r="23" spans="2:10" ht="14.25" customHeight="1" x14ac:dyDescent="0.25">
      <c r="B23" s="83"/>
      <c r="E23" s="122"/>
      <c r="F23" s="120"/>
      <c r="G23" s="159"/>
      <c r="H23" s="160"/>
      <c r="I23" s="121"/>
      <c r="J23" s="119"/>
    </row>
    <row r="24" spans="2:10" ht="12.75" customHeight="1" x14ac:dyDescent="0.25">
      <c r="B24" s="87"/>
      <c r="E24" s="122"/>
      <c r="F24" s="117"/>
      <c r="G24" s="161"/>
      <c r="H24" s="161"/>
      <c r="I24" s="118"/>
      <c r="J24" s="119"/>
    </row>
    <row r="25" spans="2:10" ht="12.75" customHeight="1" x14ac:dyDescent="0.25">
      <c r="B25" s="87"/>
      <c r="E25" s="122"/>
      <c r="F25" s="120"/>
      <c r="G25" s="159"/>
      <c r="H25" s="160"/>
      <c r="I25" s="121"/>
      <c r="J25" s="119"/>
    </row>
    <row r="26" spans="2:10" ht="12" customHeight="1" x14ac:dyDescent="0.25">
      <c r="B26" s="87"/>
      <c r="E26" s="122"/>
      <c r="F26" s="117"/>
      <c r="G26" s="161"/>
      <c r="H26" s="161"/>
      <c r="I26" s="118"/>
      <c r="J26" s="119"/>
    </row>
    <row r="27" spans="2:10" ht="14.25" customHeight="1" x14ac:dyDescent="0.25">
      <c r="B27" s="87"/>
      <c r="E27" s="122"/>
      <c r="F27" s="120"/>
      <c r="G27" s="159"/>
      <c r="H27" s="160"/>
      <c r="I27" s="121"/>
      <c r="J27" s="119"/>
    </row>
    <row r="28" spans="2:10" ht="12.75" customHeight="1" x14ac:dyDescent="0.25">
      <c r="B28" s="87"/>
      <c r="E28" s="122"/>
      <c r="F28" s="117"/>
      <c r="G28" s="161"/>
      <c r="H28" s="161"/>
      <c r="I28" s="118"/>
      <c r="J28" s="119"/>
    </row>
    <row r="29" spans="2:10" ht="12.75" customHeight="1" x14ac:dyDescent="0.25">
      <c r="B29" s="87"/>
      <c r="E29" s="122"/>
      <c r="F29" s="120"/>
      <c r="G29" s="159"/>
      <c r="H29" s="160"/>
      <c r="I29" s="121"/>
      <c r="J29" s="119"/>
    </row>
    <row r="30" spans="2:10" ht="12.75" customHeight="1" x14ac:dyDescent="0.25">
      <c r="B30" s="87"/>
      <c r="E30" s="122"/>
      <c r="F30" s="117"/>
      <c r="G30" s="161"/>
      <c r="H30" s="161"/>
      <c r="I30" s="118"/>
      <c r="J30" s="119"/>
    </row>
    <row r="31" spans="2:10" ht="13.5" customHeight="1" x14ac:dyDescent="0.25">
      <c r="B31" s="87"/>
      <c r="E31" s="122"/>
      <c r="F31" s="120"/>
      <c r="G31" s="159"/>
      <c r="H31" s="160"/>
      <c r="I31" s="121"/>
      <c r="J31" s="119"/>
    </row>
    <row r="32" spans="2:10" ht="13.5" customHeight="1" x14ac:dyDescent="0.25">
      <c r="B32" s="87"/>
      <c r="E32" s="122"/>
      <c r="F32" s="117"/>
      <c r="G32" s="161"/>
      <c r="H32" s="161"/>
      <c r="I32" s="118"/>
      <c r="J32" s="119"/>
    </row>
    <row r="33" spans="2:10" ht="13.5" customHeight="1" x14ac:dyDescent="0.25">
      <c r="B33" s="87"/>
      <c r="E33" s="122"/>
      <c r="F33" s="120"/>
      <c r="G33" s="159"/>
      <c r="H33" s="160"/>
      <c r="I33" s="121"/>
      <c r="J33" s="119"/>
    </row>
    <row r="34" spans="2:10" ht="13.5" customHeight="1" x14ac:dyDescent="0.25">
      <c r="B34" s="87"/>
      <c r="E34" s="122"/>
      <c r="F34" s="117"/>
      <c r="G34" s="161"/>
      <c r="H34" s="161"/>
      <c r="I34" s="118"/>
      <c r="J34" s="119"/>
    </row>
    <row r="35" spans="2:10" ht="12.75" customHeight="1" x14ac:dyDescent="0.25">
      <c r="B35" s="87"/>
      <c r="E35" s="122"/>
      <c r="F35" s="120"/>
      <c r="G35" s="159"/>
      <c r="H35" s="160"/>
      <c r="I35" s="121"/>
      <c r="J35" s="119"/>
    </row>
    <row r="36" spans="2:10" x14ac:dyDescent="0.25">
      <c r="B36" s="87"/>
      <c r="E36" s="122"/>
      <c r="F36" s="117"/>
      <c r="G36" s="161"/>
      <c r="H36" s="161"/>
      <c r="I36" s="118"/>
      <c r="J36" s="119"/>
    </row>
    <row r="37" spans="2:10" ht="13.5" customHeight="1" x14ac:dyDescent="0.25">
      <c r="B37" s="87"/>
      <c r="E37" s="122"/>
      <c r="F37" s="120"/>
      <c r="G37" s="159"/>
      <c r="H37" s="160"/>
      <c r="I37" s="121"/>
      <c r="J37" s="119"/>
    </row>
    <row r="38" spans="2:10" x14ac:dyDescent="0.25">
      <c r="B38" s="87"/>
      <c r="E38" s="122"/>
      <c r="F38" s="117"/>
      <c r="G38" s="161"/>
      <c r="H38" s="161"/>
      <c r="I38" s="118"/>
      <c r="J38" s="119"/>
    </row>
    <row r="39" spans="2:10" ht="13.5" customHeight="1" x14ac:dyDescent="0.25">
      <c r="B39" s="87"/>
      <c r="E39" s="122"/>
      <c r="F39" s="120"/>
      <c r="G39" s="159"/>
      <c r="H39" s="160"/>
      <c r="I39" s="121"/>
      <c r="J39" s="119"/>
    </row>
    <row r="40" spans="2:10" ht="14.25" hidden="1" customHeight="1" x14ac:dyDescent="0.25">
      <c r="B40" s="87"/>
      <c r="E40" s="122"/>
      <c r="F40" s="117"/>
      <c r="G40" s="161"/>
      <c r="H40" s="161"/>
      <c r="I40" s="118"/>
      <c r="J40" s="119"/>
    </row>
    <row r="41" spans="2:10" ht="14.25" hidden="1" customHeight="1" x14ac:dyDescent="0.25">
      <c r="B41" s="87"/>
      <c r="E41" s="122"/>
      <c r="F41" s="120"/>
      <c r="G41" s="159"/>
      <c r="H41" s="160"/>
      <c r="I41" s="121"/>
      <c r="J41" s="119"/>
    </row>
    <row r="42" spans="2:10" hidden="1" x14ac:dyDescent="0.25">
      <c r="B42" s="87"/>
      <c r="E42" s="122"/>
      <c r="F42" s="117"/>
      <c r="G42" s="161"/>
      <c r="H42" s="161"/>
      <c r="I42" s="118"/>
      <c r="J42" s="119"/>
    </row>
    <row r="43" spans="2:10" x14ac:dyDescent="0.25">
      <c r="B43" s="87"/>
      <c r="E43" s="122"/>
      <c r="F43" s="120"/>
      <c r="G43" s="159"/>
      <c r="H43" s="160"/>
      <c r="I43" s="121"/>
      <c r="J43" s="119"/>
    </row>
    <row r="44" spans="2:10" ht="9" customHeight="1" x14ac:dyDescent="0.25">
      <c r="B44" s="87"/>
      <c r="E44" s="95"/>
      <c r="F44" s="92"/>
      <c r="G44" s="163"/>
      <c r="H44" s="163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4">
        <f>+F18+F20+F22+F24+F26+F28+F30+F32+F34+F36+F38+F40+F42</f>
        <v>980</v>
      </c>
      <c r="E47" s="165"/>
    </row>
    <row r="48" spans="2:10" ht="17.25" customHeight="1" x14ac:dyDescent="0.25">
      <c r="B48" s="162" t="s">
        <v>105</v>
      </c>
      <c r="C48" s="162"/>
      <c r="D48" s="162"/>
      <c r="E48" s="162"/>
    </row>
    <row r="49" spans="2:5" ht="21.75" customHeight="1" x14ac:dyDescent="0.25">
      <c r="B49" s="162"/>
      <c r="C49" s="162"/>
      <c r="D49" s="162"/>
      <c r="E49" s="162"/>
    </row>
    <row r="50" spans="2:5" x14ac:dyDescent="0.25">
      <c r="B50" s="98"/>
    </row>
    <row r="51" spans="2:5" x14ac:dyDescent="0.25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0" t="s">
        <v>161</v>
      </c>
      <c r="C1" s="170"/>
      <c r="D1" s="170"/>
      <c r="E1" s="170"/>
      <c r="F1" s="151" t="str">
        <f>+Инвойс!F1</f>
        <v xml:space="preserve"> 01.09.2025г.</v>
      </c>
      <c r="G1" s="151"/>
      <c r="H1" s="151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54" t="str">
        <f>+Инвойс!C2</f>
        <v>к контракту № GW-GV-01 от 30.08.2025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">
      <c r="A5" s="153" t="str">
        <f>+Инвойс!A5</f>
        <v xml:space="preserve">OOO «GOOD WILL EXPORT» 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5" x14ac:dyDescent="0.25">
      <c r="A6" s="173" t="str">
        <f>+Инвойс!A6</f>
        <v xml:space="preserve">Республика Узбекистан, Джизакская область, 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73" t="str">
        <f>+Инвойс!A7</f>
        <v>Зарбдарский район, Ровот МФЙ, ул. Лойихада дом 1/1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Р/с N 2020 8840 8055 4748 4001 USD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73" t="str">
        <f>+Инвойс!A9</f>
        <v>в «ТУРОНБАНК» АКБ Головной офис (Ташкент)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73" t="str">
        <f>+Инвойс!A10</f>
        <v>МФО: 00446, SWIFT: TUROUZ22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73" t="str">
        <f>+Инвойс!A11</f>
        <v>ИНН: 309713324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2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53" t="str">
        <f>+Инвойс!A14</f>
        <v xml:space="preserve">OOO «GOOD WILL EXPORT» 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" customHeight="1" x14ac:dyDescent="0.25">
      <c r="A15" s="173" t="str">
        <f>+Инвойс!A15</f>
        <v xml:space="preserve">Республика Узбекистан, Джизакская область, 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73" t="str">
        <f>+Инвойс!A16</f>
        <v>Зарбдарский район, Ровот МФЙ, ул. Лойихада дом 1/1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Р/с N 2020 8840 8055 4748 4001 USD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73" t="str">
        <f>+Инвойс!A18</f>
        <v>в «ТУРОНБАНК» АКБ Головной офис (Ташкент)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73" t="str">
        <f>+Инвойс!A19</f>
        <v>МФО: 00446, SWIFT: TUROUZ22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73" t="str">
        <f>+Инвойс!A20</f>
        <v>ИНН: 309713324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25">
      <c r="A22" s="1" t="s">
        <v>122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113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39" t="str">
        <f>+Инвойс!E26</f>
        <v>30647DBA/305258AA</v>
      </c>
      <c r="F26" s="140"/>
      <c r="G26" s="140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0" t="s">
        <v>9</v>
      </c>
      <c r="K28" s="136" t="s">
        <v>10</v>
      </c>
      <c r="L28" s="137"/>
      <c r="M28" s="134" t="s">
        <v>11</v>
      </c>
    </row>
    <row r="29" spans="1:17" ht="32.25" x14ac:dyDescent="0.2">
      <c r="A29" s="135"/>
      <c r="B29" s="135"/>
      <c r="C29" s="135"/>
      <c r="D29" s="135"/>
      <c r="E29" s="135"/>
      <c r="F29" s="135"/>
      <c r="G29" s="110" t="s">
        <v>12</v>
      </c>
      <c r="H29" s="110" t="s">
        <v>13</v>
      </c>
      <c r="I29" s="135"/>
      <c r="J29" s="111" t="s">
        <v>14</v>
      </c>
      <c r="K29" s="10" t="s">
        <v>15</v>
      </c>
      <c r="L29" s="10" t="s">
        <v>16</v>
      </c>
      <c r="M29" s="135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23000</v>
      </c>
      <c r="H30" s="106">
        <f>+Инвойс!H30</f>
        <v>21628</v>
      </c>
      <c r="I30" s="108">
        <f>+Инвойс!I30</f>
        <v>0.25</v>
      </c>
      <c r="J30" s="13">
        <f>+Инвойс!J30</f>
        <v>5407</v>
      </c>
      <c r="K30" s="12">
        <v>0</v>
      </c>
      <c r="L30" s="12">
        <v>0</v>
      </c>
      <c r="M30" s="13">
        <f>+Инвойс!M30</f>
        <v>5407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980</v>
      </c>
      <c r="F31" s="15"/>
      <c r="G31" s="64">
        <f>SUM(G30:G30)</f>
        <v>23000</v>
      </c>
      <c r="H31" s="64">
        <f>SUM(H30:H30)</f>
        <v>21628</v>
      </c>
      <c r="I31" s="102"/>
      <c r="J31" s="17">
        <f>SUM(J30:J30)</f>
        <v>5407</v>
      </c>
      <c r="K31" s="16"/>
      <c r="L31" s="16"/>
      <c r="M31" s="17">
        <f>SUM(M30:M30)</f>
        <v>5407</v>
      </c>
      <c r="P31" s="66"/>
    </row>
    <row r="32" spans="1:17" ht="13.5" x14ac:dyDescent="0.25">
      <c r="A32" s="2" t="s">
        <v>17</v>
      </c>
      <c r="B32" s="3"/>
      <c r="C32" s="11"/>
      <c r="D32" s="11"/>
      <c r="E32" s="147" t="str">
        <f>Лист1!B3</f>
        <v>Пять тысяч четыреста семь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1" t="s">
        <v>157</v>
      </c>
      <c r="B36" s="131"/>
      <c r="D36" s="18" t="str">
        <f>+Инвойс!D36</f>
        <v>Тиловбеков Б.Э.</v>
      </c>
      <c r="E36" s="132"/>
      <c r="G36" s="129" t="s">
        <v>128</v>
      </c>
      <c r="H36" s="18" t="str">
        <f>Инвойс!G5</f>
        <v>ООО «ГРИН ВОРЛД»</v>
      </c>
      <c r="K36" s="133" t="s">
        <v>138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opLeftCell="A8" zoomScale="115" zoomScaleNormal="115" workbookViewId="0">
      <selection activeCell="A11" sqref="A11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114</v>
      </c>
    </row>
    <row r="3" spans="1:10" ht="51" x14ac:dyDescent="0.2">
      <c r="A3" s="130" t="s">
        <v>126</v>
      </c>
    </row>
    <row r="5" spans="1:10" ht="38.25" x14ac:dyDescent="0.2">
      <c r="A5" s="126" t="s">
        <v>115</v>
      </c>
    </row>
    <row r="6" spans="1:10" x14ac:dyDescent="0.2">
      <c r="E6" s="18" t="s">
        <v>127</v>
      </c>
      <c r="J6" s="25" t="s">
        <v>141</v>
      </c>
    </row>
    <row r="7" spans="1:10" ht="51" x14ac:dyDescent="0.2">
      <c r="A7" s="126" t="s">
        <v>116</v>
      </c>
    </row>
    <row r="8" spans="1:10" x14ac:dyDescent="0.2">
      <c r="E8" s="18" t="s">
        <v>142</v>
      </c>
      <c r="J8" s="25" t="s">
        <v>143</v>
      </c>
    </row>
    <row r="9" spans="1:10" ht="51" x14ac:dyDescent="0.2">
      <c r="A9" s="126" t="s">
        <v>117</v>
      </c>
    </row>
    <row r="10" spans="1:10" x14ac:dyDescent="0.2">
      <c r="A10" s="126"/>
      <c r="E10" s="18" t="s">
        <v>144</v>
      </c>
      <c r="J10" s="25" t="s">
        <v>145</v>
      </c>
    </row>
    <row r="11" spans="1:10" ht="51" x14ac:dyDescent="0.2">
      <c r="A11" s="126" t="s">
        <v>158</v>
      </c>
    </row>
    <row r="12" spans="1:10" x14ac:dyDescent="0.2">
      <c r="E12" s="18" t="s">
        <v>146</v>
      </c>
      <c r="J12" s="25" t="s">
        <v>147</v>
      </c>
    </row>
    <row r="13" spans="1:10" ht="51" x14ac:dyDescent="0.2">
      <c r="A13" s="126" t="s">
        <v>118</v>
      </c>
    </row>
    <row r="15" spans="1:10" ht="38.25" x14ac:dyDescent="0.2">
      <c r="A15" s="126" t="s">
        <v>119</v>
      </c>
    </row>
    <row r="17" spans="1:1" ht="38.25" x14ac:dyDescent="0.2">
      <c r="A17" s="126" t="s">
        <v>120</v>
      </c>
    </row>
    <row r="19" spans="1:1" ht="38.25" x14ac:dyDescent="0.2">
      <c r="A19" s="128" t="s">
        <v>121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5407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четыреста семь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45901</v>
      </c>
      <c r="O3" s="177"/>
      <c r="P3">
        <f ca="1">DAY(N3)</f>
        <v>1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четыреста семь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1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четыреста семь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четыреста семь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четыреста семь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45901</v>
      </c>
    </row>
    <row r="13" spans="1:19" s="43" customFormat="1" x14ac:dyDescent="0.2">
      <c r="A13" s="49"/>
      <c r="D13" s="51"/>
      <c r="E13" s="52">
        <f>TRUNC(E2)</f>
        <v>5407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">
      <c r="A28" s="54">
        <f>TRUNC(A29/10)</f>
        <v>540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">
      <c r="A29" s="54">
        <f>E13</f>
        <v>5407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407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2025-08-31T20:44:03Z</cp:lastPrinted>
  <dcterms:created xsi:type="dcterms:W3CDTF">1996-10-14T23:33:28Z</dcterms:created>
  <dcterms:modified xsi:type="dcterms:W3CDTF">2025-08-31T20:44:04Z</dcterms:modified>
</cp:coreProperties>
</file>