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<sst xmlns="http://schemas.openxmlformats.org/spreadsheetml/2006/main" count="202" uniqueCount="164">
  <si>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</si>
  <si>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</si>
  <si>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</si>
  <si>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</si>
  <si>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</si>
  <si>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</si>
  <si>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</si>
  <si>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</si>
  <si>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</si>
  <si>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</si>
  <si>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</si>
  <si>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</si>
  <si>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</si>
  <si>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</si>
  <si>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</si>
  <si>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</si>
  <si>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</si>
  <si>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</si>
  <si>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</si>
  <si>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</si>
  <si>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</si>
  <si>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</si>
  <si>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</si>
  <si>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</si>
  <si>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</si>
  <si>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</si>
  <si>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</si>
  <si>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</si>
  <si>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</si>
  <si>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</si>
  <si>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</si>
  <si>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</si>
  <si>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</si>
  <si>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</si>
  <si>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</si>
  <si>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</si>
  <si>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</si>
  <si>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</si>
  <si>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</si>
  <si>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</si>
  <si>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</si>
  <si>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</si>
  <si>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</si>
  <si>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</si>
  <si>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</si>
  <si>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</si>
  <si>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</si>
  <si>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</si>
  <si>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</si>
  <si>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</si>
  <si>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</si>
  <si>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</si>
  <si>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</si>
  <si>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</si>
  <si>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</si>
  <si>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</si>
  <si>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</si>
  <si>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</si>
  <si>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</si>
  <si>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</si>
  <si>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</si>
  <si>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</si>
  <si>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</si>
  <si>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</si>
  <si>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</si>
  <si>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</si>
  <si>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</si>
  <si>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</si>
  <si>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</si>
  <si>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</si>
  <si>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</si>
  <si>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</si>
  <si>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</si>
  <si>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</si>
  <si>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</si>
  <si>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</si>
  <si>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</si>
  <si>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</si>
  <si>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</si>
  <si>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</si>
  <si>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</si>
  <si>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</si>
  <si>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</si>
  <si>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</si>
  <si>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</si>
  <si>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</si>
  <si>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</si>
  <si>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</si>
  <si>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</si>
  <si>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</si>
  <si>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</si>
  <si>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</si>
  <si>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</si>
  <si>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</si>
  <si>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</si>
  <si>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</si>
  <si>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</si>
  <si>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</si>
  <si>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</si>
  <si>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</si>
  <si>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</si>
  <si>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</si>
  <si>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</si>
  <si>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</si>
  <si>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</si>
  <si>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</si>
  <si>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</si>
  <si>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</si>
  <si>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</si>
  <si>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</si>
  <si>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</si>
  <si>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</si>
  <si>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</si>
  <si>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</si>
  <si>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</si>
  <si>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</si>
  <si>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</si>
  <si>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</si>
  <si>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</si>
  <si>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</si>
  <si>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</si>
  <si>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</si>
  <si>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</si>
  <si>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</si>
  <si>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</si>
  <si>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</si>
  <si>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</si>
  <si>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</si>
  <si>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</si>
  <si>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</si>
  <si>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</si>
  <si>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</si>
  <si>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</si>
  <si>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</si>
  <si>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</si>
  <si>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</si>
  <si>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</si>
  <si>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</si>
  <si>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</si>
  <si>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</si>
  <si>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</si>
  <si>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</si>
  <si>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</si>
  <si>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</si>
  <si>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</si>
  <si>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</si>
  <si>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</si>
  <si>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</si>
  <si>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</si>
  <si>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</si>
  <si>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</si>
  <si>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</si>
  <si>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</si>
  <si>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</si>
  <si>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</si>
  <si>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</si>
  <si>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</si>
  <si>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</si>
  <si>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</si>
  <si>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</si>
  <si>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EXZ-N-6 от </t>
  </si>
  <si>
    <t xml:space="preserve"> 06.09.2025г.</t>
  </si>
  <si>
    <t>70909YAA/704242AA</t>
  </si>
  <si>
    <t xml:space="preserve">СПЕЦИФИКАЦИЯ № EXZ-N-6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</si>
</sst>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141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130</v>
      </c>
      <c r="B5" s="135"/>
      <c r="C5" s="135"/>
      <c r="D5" s="135"/>
      <c r="E5" s="135"/>
      <c r="F5" s="6"/>
      <c r="G5" s="137" t="s">
        <v>142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131</v>
      </c>
      <c r="B6" s="142"/>
      <c r="C6" s="142"/>
      <c r="D6" s="142"/>
      <c r="E6" s="142"/>
      <c r="F6" s="7"/>
      <c r="G6" s="139" t="s">
        <v>143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132</v>
      </c>
      <c r="B7" s="142"/>
      <c r="C7" s="142"/>
      <c r="D7" s="142"/>
      <c r="E7" s="142"/>
      <c r="F7" s="63"/>
      <c r="G7" s="139" t="s">
        <v>144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135</v>
      </c>
      <c r="B10" s="124"/>
      <c r="C10" s="124"/>
      <c r="D10" s="124"/>
      <c r="E10" s="124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130</v>
      </c>
      <c r="B14" s="135"/>
      <c r="C14" s="135"/>
      <c r="D14" s="135"/>
      <c r="E14" s="135"/>
      <c r="F14" s="6"/>
      <c r="G14" s="137" t="s">
        <v>149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131</v>
      </c>
      <c r="B15" s="142"/>
      <c r="C15" s="142"/>
      <c r="D15" s="142"/>
      <c r="E15" s="142"/>
      <c r="F15" s="7"/>
      <c r="G15" s="139" t="s">
        <v>150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132</v>
      </c>
      <c r="B16" s="142"/>
      <c r="C16" s="142"/>
      <c r="D16" s="142"/>
      <c r="E16" s="142"/>
      <c r="F16" s="63"/>
      <c r="G16" s="139" t="s">
        <v>151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135</v>
      </c>
      <c r="B19" s="124"/>
      <c r="C19" s="124"/>
      <c r="D19" s="124"/>
      <c r="E19" s="124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137</v>
      </c>
      <c r="B21" s="8"/>
      <c r="C21" s="8"/>
      <c r="D21" s="8"/>
      <c r="E21" s="8"/>
      <c r="G21" s="138"/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127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159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980</v>
      </c>
      <c r="F30" s="115" t="s">
        <v>27</v>
      </c>
      <c r="G30" s="106">
        <v>23500</v>
      </c>
      <c r="H30" s="106">
        <v>21736</v>
      </c>
      <c r="I30" s="108">
        <v>0.2</v>
      </c>
      <c r="J30" s="13">
        <f t="shared" ref="J30" si="0">H30*I30</f>
        <v>4347.2</v>
      </c>
      <c r="K30" s="12">
        <v>0</v>
      </c>
      <c r="L30" s="12">
        <v>0</v>
      </c>
      <c r="M30" s="13">
        <f t="shared" ref="M30" si="1">J30</f>
        <v>4347.2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4347.2</v>
      </c>
      <c r="K31" s="16"/>
      <c r="L31" s="16"/>
      <c r="M31" s="17">
        <f>SUM(M30:M30)</f>
        <v>4347.2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триста сорок семь долларов США, 20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EXZ-N-6 от  06.09.2025г.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06.09.2025г.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70909YAA/704242AA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70909YAA/704242AA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06.09.2025г.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EXZ-N-6 от  06.09.2025г.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23500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980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06.09.2025г.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EG-AZ-01 от 05.09.2025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«Аспект»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107497, Россия, г. Москва, вн.тер.г. муниципальный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 xml:space="preserve">округ Гольяново, 2-й Иртышский пр-в, д. 4Б, стр. 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9718239835  / 771801001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 xml:space="preserve">Валютный счет доллары  40702840100000005715 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КБ "Максима"(ООО), г. Москва РФ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(SWIFT code: MAXMRUM1XXX)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70909YAA/704242AA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23500</v>
      </c>
      <c r="H30" s="106">
        <f>+Инвойс!H30</f>
        <v>21736</v>
      </c>
      <c r="I30" s="108">
        <f>+Инвойс!I30</f>
        <v>0.2</v>
      </c>
      <c r="J30" s="13">
        <f>+Инвойс!J30</f>
        <v>4347.2</v>
      </c>
      <c r="K30" s="12">
        <v>0</v>
      </c>
      <c r="L30" s="12">
        <v>0</v>
      </c>
      <c r="M30" s="13">
        <f>+Инвойс!M30</f>
        <v>4347.2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21736</v>
      </c>
      <c r="I31" s="102"/>
      <c r="J31" s="17">
        <f>SUM(J30:J30)</f>
        <v>4347.2</v>
      </c>
      <c r="K31" s="16"/>
      <c r="L31" s="16"/>
      <c r="M31" s="17">
        <f>SUM(M30:M30)</f>
        <v>4347.2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триста сорок семь долларов США, 20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139</v>
      </c>
      <c r="B36" s="130"/>
      <c r="D36" s="18" t="str">
        <f>+Инвойс!D36</f>
        <v>АБДИЛАКИМОВ А.А</v>
      </c>
      <c r="E36" s="131"/>
      <c r="G36" s="128" t="s">
        <v>128</v>
      </c>
      <c r="H36" s="18" t="str">
        <f>Инвойс!G5</f>
        <v>ООО «Аспект»</v>
      </c>
      <c r="K36" s="132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127</v>
      </c>
    </row>
    <row r="5" spans="1:10" ht="89.25" x14ac:dyDescent="0.2">
      <c r="A5" s="125" t="s">
        <v>140</v>
      </c>
    </row>
    <row r="6" spans="1:10" x14ac:dyDescent="0.2">
      <c r="E6" s="18"/>
      <c r="J6" s="25"/>
    </row>
    <row r="7" spans="1:10" ht="51" x14ac:dyDescent="0.2">
      <c r="A7" s="125" t="s">
        <v>117</v>
      </c>
    </row>
    <row r="8" spans="1:10" x14ac:dyDescent="0.2">
      <c r="E8" s="18"/>
      <c r="J8" s="25"/>
    </row>
    <row r="9" spans="1:10" ht="51" x14ac:dyDescent="0.2">
      <c r="A9" s="125" t="s">
        <v>118</v>
      </c>
    </row>
    <row r="10" spans="1:10" x14ac:dyDescent="0.2">
      <c r="A10" s="125"/>
      <c r="E10" s="18"/>
      <c r="J10" s="25"/>
    </row>
    <row r="11" spans="1:10" ht="51" x14ac:dyDescent="0.2">
      <c r="A11" s="125" t="s">
        <v>158</v>
      </c>
    </row>
    <row r="12" spans="1:10" x14ac:dyDescent="0.2">
      <c r="E12" s="18"/>
      <c r="J12" s="25"/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4347.2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триста сорок семь долларов США, 20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45906</v>
      </c>
      <c r="O3" s="177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триста сорок семь долларов США, 20 центов. (в т.ч. НДС - 357,79)</v>
      </c>
      <c r="H4" s="32"/>
      <c r="I4" s="32"/>
      <c r="J4" s="32"/>
      <c r="K4" s="178" t="str">
        <f ca="1">CONCATENATE(" «  ",P3,"  »  ",Q3,"  ",R3," г.")</f>
        <v xml:space="preserve"> «  6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триста сорок семь долларов США, 20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триста сорок семь долларов США, 20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20 центов.</v>
      </c>
      <c r="D12" s="47"/>
      <c r="E12" s="48"/>
      <c r="M12" s="50">
        <f ca="1">TODAY()</f>
        <v>45906</v>
      </c>
    </row>
    <row r="13" spans="1:19" s="43" customFormat="1" x14ac:dyDescent="0.2">
      <c r="A13" s="49"/>
      <c r="D13" s="51"/>
      <c r="E13" s="52">
        <f>TRUNC(E2)</f>
        <v>4347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434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4347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2025-09-06T10:48:35Z</cp:lastPrinted>
  <dcterms:created xsi:type="dcterms:W3CDTF">1996-10-14T23:33:28Z</dcterms:created>
  <dcterms:modified xsi:type="dcterms:W3CDTF">2025-09-06T10:50:58Z</dcterms:modified>
</cp:coreProperties>
</file>