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F48B3AC-F41F-4502-A3D8-BA499064A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41" i="7" l="1"/>
  <c r="H41" i="7" l="1"/>
  <c r="I31" i="4" l="1"/>
  <c r="I32" i="4"/>
  <c r="I33" i="4"/>
  <c r="I34" i="4"/>
  <c r="I35" i="4"/>
  <c r="G31" i="4"/>
  <c r="G32" i="4"/>
  <c r="G33" i="4"/>
  <c r="G34" i="4"/>
  <c r="G35" i="4"/>
  <c r="F31" i="4"/>
  <c r="F32" i="4"/>
  <c r="F33" i="4"/>
  <c r="F34" i="4"/>
  <c r="F35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5" i="7" l="1"/>
  <c r="C34" i="7"/>
  <c r="C33" i="7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A34" i="7"/>
  <c r="B34" i="7"/>
  <c r="D34" i="7"/>
  <c r="E34" i="7"/>
  <c r="F34" i="7"/>
  <c r="G34" i="7"/>
  <c r="H34" i="7"/>
  <c r="I34" i="7"/>
  <c r="A35" i="7"/>
  <c r="B35" i="7"/>
  <c r="D35" i="7"/>
  <c r="E35" i="7"/>
  <c r="F35" i="7"/>
  <c r="G35" i="7"/>
  <c r="H35" i="7"/>
  <c r="I35" i="7"/>
  <c r="I30" i="7"/>
  <c r="H30" i="7"/>
  <c r="F30" i="7"/>
  <c r="G30" i="7"/>
  <c r="E30" i="7"/>
  <c r="D30" i="7"/>
  <c r="B30" i="7"/>
  <c r="A30" i="7"/>
  <c r="E26" i="7"/>
  <c r="C24" i="7"/>
  <c r="F1" i="7"/>
  <c r="G36" i="7" l="1"/>
  <c r="E36" i="7"/>
  <c r="H36" i="7" l="1"/>
  <c r="E36" i="2" l="1"/>
  <c r="G36" i="2" l="1"/>
  <c r="H36" i="2"/>
  <c r="G29" i="5"/>
  <c r="G27" i="5"/>
  <c r="G25" i="5"/>
  <c r="G23" i="5"/>
  <c r="G21" i="5"/>
  <c r="G19" i="5"/>
  <c r="J29" i="5"/>
  <c r="J27" i="5"/>
  <c r="J25" i="5"/>
  <c r="J23" i="5"/>
  <c r="J21" i="5"/>
  <c r="F29" i="5"/>
  <c r="F28" i="5"/>
  <c r="F27" i="5"/>
  <c r="F26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G26" i="5"/>
  <c r="G28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5" i="2"/>
  <c r="J34" i="2"/>
  <c r="J33" i="2"/>
  <c r="J32" i="2"/>
  <c r="J32" i="7" s="1"/>
  <c r="J31" i="2"/>
  <c r="J30" i="2"/>
  <c r="M30" i="2" l="1"/>
  <c r="M30" i="7" s="1"/>
  <c r="J30" i="7"/>
  <c r="M31" i="2"/>
  <c r="M31" i="7" s="1"/>
  <c r="J31" i="7"/>
  <c r="M34" i="2"/>
  <c r="M34" i="7" s="1"/>
  <c r="J34" i="7"/>
  <c r="M33" i="2"/>
  <c r="M33" i="7" s="1"/>
  <c r="J33" i="7"/>
  <c r="M35" i="2"/>
  <c r="M35" i="7" s="1"/>
  <c r="J35" i="7"/>
  <c r="J36" i="2"/>
  <c r="M32" i="2"/>
  <c r="M32" i="7" s="1"/>
  <c r="S3" i="3"/>
  <c r="S4" i="3"/>
  <c r="P3" i="3"/>
  <c r="R3" i="3"/>
  <c r="Q3" i="3" l="1"/>
  <c r="K4" i="3" s="1"/>
  <c r="J36" i="7"/>
  <c r="M36" i="7"/>
  <c r="M36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7" i="2" l="1"/>
  <c r="E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<sst xmlns="http://schemas.openxmlformats.org/spreadsheetml/2006/main" count="223" uniqueCount="172">
  <si>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</si>
  <si>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</si>
  <si>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</si>
  <si>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</si>
  <si>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</si>
  <si>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</si>
  <si>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</si>
  <si>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</si>
  <si>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</si>
  <si>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</si>
  <si>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</si>
  <si>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</si>
  <si>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</si>
  <si>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</si>
  <si>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</si>
  <si>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</si>
  <si>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</si>
  <si>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</si>
  <si>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</si>
  <si>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</si>
  <si>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</si>
  <si>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</si>
  <si>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</si>
  <si>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</si>
  <si>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</si>
  <si>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</si>
  <si>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</si>
  <si>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</si>
  <si>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</si>
  <si>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</si>
  <si>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</si>
  <si>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</si>
  <si>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</si>
  <si>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</si>
  <si>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</si>
  <si>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</si>
  <si>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</si>
  <si>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</si>
  <si>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</si>
  <si>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</si>
  <si>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</si>
  <si>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</si>
  <si>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</si>
  <si>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</si>
  <si>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</si>
  <si>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</si>
  <si>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</si>
  <si>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</si>
  <si>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</si>
  <si>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</si>
  <si>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</si>
  <si>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</si>
  <si>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</si>
  <si>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</si>
  <si>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</si>
  <si>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</si>
  <si>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</si>
  <si>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</si>
  <si>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</si>
  <si>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</si>
  <si>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</si>
  <si>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</si>
  <si>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</si>
  <si>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</si>
  <si>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</si>
  <si>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</si>
  <si>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</si>
  <si>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</si>
  <si>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</si>
  <si>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</si>
  <si>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</si>
  <si>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</si>
  <si>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</si>
  <si>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</si>
  <si>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</si>
  <si>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</si>
  <si>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</si>
  <si>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</si>
  <si>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</si>
  <si>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</si>
  <si>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</si>
  <si>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</si>
  <si>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</si>
  <si>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</si>
  <si>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</si>
  <si>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</si>
  <si>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</si>
  <si>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</si>
  <si>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</si>
  <si>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</si>
  <si>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</si>
  <si>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</si>
  <si>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</si>
  <si>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</si>
  <si>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</si>
  <si>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</si>
  <si>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</si>
  <si>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</si>
  <si>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</si>
  <si>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</si>
  <si>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</si>
  <si>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</si>
  <si>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</si>
  <si>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</si>
  <si>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</si>
  <si>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</si>
  <si>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</si>
  <si>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</si>
  <si>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</si>
  <si>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</si>
  <si>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</si>
  <si>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</si>
  <si>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</si>
  <si>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</si>
  <si>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Лимоны свежие некалиброванный</t>
  </si>
  <si>
    <t xml:space="preserve">                    Узбекистан Сыр. обл.</t>
  </si>
  <si>
    <t xml:space="preserve">                 Сыр. обл   </t>
  </si>
  <si>
    <t>Персики свежие</t>
  </si>
  <si>
    <t>Перец горький свежий</t>
  </si>
  <si>
    <t>0709609900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</si>
  <si>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</si>
  <si>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</si>
  <si>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</si>
  <si>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</si>
  <si>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</si>
  <si>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</si>
  <si>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</si>
  <si>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</si>
  <si>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</si>
  <si>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</si>
  <si>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</si>
  <si>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</si>
  <si>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</si>
  <si>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</si>
  <si>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</si>
  <si>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</si>
  <si>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0809309001</t>
  </si>
  <si>
    <t>0805501009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</si>
  <si>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</si>
  <si>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</si>
  <si>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</si>
  <si>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</si>
  <si>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</si>
  <si>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</si>
  <si>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</si>
  <si>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</si>
  <si>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</si>
  <si>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</si>
  <si>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</si>
  <si>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</si>
  <si>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</si>
  <si>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</si>
  <si>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</si>
  <si>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</si>
  <si>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EX0508 от 05.08.2025 года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</si>
  <si>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</si>
  <si>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</si>
  <si>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</si>
  <si>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</si>
  <si>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</si>
  <si>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</si>
  <si>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</si>
  <si>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</si>
  <si>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Гранат свежий</t>
  </si>
  <si>
    <t>0810907504</t>
  </si>
  <si>
    <t xml:space="preserve">ИНВОЙС № MEZ-O-39 от </t>
  </si>
  <si>
    <t xml:space="preserve"> 24.08.2025г.</t>
  </si>
  <si>
    <t>DAP - с Амандык , Республика Казахстан</t>
  </si>
  <si>
    <t>40S496YA/406003BA</t>
  </si>
  <si>
    <t>Айва свежая</t>
  </si>
  <si>
    <t>0808400009</t>
  </si>
  <si>
    <t xml:space="preserve">СПЕЦИФИКАЦИЯ № MEZ-O-39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</si>
</sst>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42</xdr:row>
      <xdr:rowOff>33618</xdr:rowOff>
    </xdr:from>
    <xdr:to>
      <xdr:col>3</xdr:col>
      <xdr:colOff>224118</xdr:colOff>
      <xdr:row>54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42</xdr:row>
      <xdr:rowOff>100855</xdr:rowOff>
    </xdr:from>
    <xdr:to>
      <xdr:col>4</xdr:col>
      <xdr:colOff>389833</xdr:colOff>
      <xdr:row>44</xdr:row>
      <xdr:rowOff>151842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44</xdr:row>
      <xdr:rowOff>20172</xdr:rowOff>
    </xdr:from>
    <xdr:to>
      <xdr:col>12</xdr:col>
      <xdr:colOff>149486</xdr:colOff>
      <xdr:row>47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42</xdr:row>
      <xdr:rowOff>98613</xdr:rowOff>
    </xdr:from>
    <xdr:to>
      <xdr:col>9</xdr:col>
      <xdr:colOff>159123</xdr:colOff>
      <xdr:row>54</xdr:row>
      <xdr:rowOff>93658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448235</xdr:colOff>
      <xdr:row>42</xdr:row>
      <xdr:rowOff>22412</xdr:rowOff>
    </xdr:from>
    <xdr:to>
      <xdr:col>2</xdr:col>
      <xdr:colOff>392207</xdr:colOff>
      <xdr:row>54</xdr:row>
      <xdr:rowOff>10889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42</xdr:row>
      <xdr:rowOff>89649</xdr:rowOff>
    </xdr:from>
    <xdr:to>
      <xdr:col>3</xdr:col>
      <xdr:colOff>546715</xdr:colOff>
      <xdr:row>44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7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165</v>
      </c>
      <c r="D1" s="152"/>
      <c r="E1" s="152"/>
      <c r="F1" s="151" t="s">
        <v>166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154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155</v>
      </c>
      <c r="B5" s="153"/>
      <c r="C5" s="153"/>
      <c r="D5" s="153"/>
      <c r="E5" s="153"/>
      <c r="F5" s="6"/>
      <c r="G5" s="146" t="s">
        <v>144</v>
      </c>
      <c r="H5" s="146"/>
      <c r="I5" s="146"/>
      <c r="J5" s="146"/>
      <c r="K5" s="146"/>
      <c r="L5" s="146"/>
      <c r="M5" s="146"/>
    </row>
    <row r="6" spans="1:15" ht="13.8" x14ac:dyDescent="0.25">
      <c r="A6" s="127" t="s">
        <v>156</v>
      </c>
      <c r="B6" s="125"/>
      <c r="C6" s="125"/>
      <c r="D6" s="125"/>
      <c r="E6" s="125"/>
      <c r="F6" s="7"/>
      <c r="G6" s="141" t="s">
        <v>145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7" t="s">
        <v>161</v>
      </c>
      <c r="B7" s="125"/>
      <c r="C7" s="125"/>
      <c r="D7" s="125"/>
      <c r="E7" s="125"/>
      <c r="F7" s="63"/>
      <c r="G7" s="141" t="s">
        <v>146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158</v>
      </c>
      <c r="B8" s="8"/>
      <c r="C8" s="8"/>
      <c r="D8" s="8"/>
      <c r="E8" s="8"/>
      <c r="F8" s="63"/>
      <c r="G8" s="7" t="s">
        <v>147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157</v>
      </c>
      <c r="B9" s="8"/>
      <c r="C9" s="8"/>
      <c r="D9" s="8"/>
      <c r="E9" s="8"/>
      <c r="F9" s="7"/>
      <c r="G9" s="7" t="s">
        <v>148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159</v>
      </c>
      <c r="B10" s="125"/>
      <c r="C10" s="125"/>
      <c r="D10" s="125"/>
      <c r="E10" s="125"/>
      <c r="F10" s="7"/>
      <c r="G10" s="7" t="s">
        <v>149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150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4"/>
      <c r="H12" s="154"/>
      <c r="I12" s="154"/>
      <c r="J12" s="154"/>
      <c r="K12" s="154"/>
      <c r="L12" s="154"/>
      <c r="M12" s="154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155</v>
      </c>
      <c r="B14" s="153"/>
      <c r="C14" s="153"/>
      <c r="D14" s="153"/>
      <c r="E14" s="153"/>
      <c r="F14" s="6"/>
      <c r="G14" s="146" t="s">
        <v>129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27" t="s">
        <v>156</v>
      </c>
      <c r="B15" s="125"/>
      <c r="C15" s="125"/>
      <c r="D15" s="125"/>
      <c r="E15" s="125"/>
      <c r="F15" s="7"/>
      <c r="G15" s="141" t="s">
        <v>130</v>
      </c>
      <c r="H15" s="143"/>
      <c r="I15" s="143"/>
      <c r="J15" s="143"/>
      <c r="K15" s="143"/>
      <c r="L15" s="143"/>
      <c r="M15" s="143"/>
    </row>
    <row r="16" spans="1:15" ht="13.8" x14ac:dyDescent="0.25">
      <c r="A16" s="127" t="s">
        <v>161</v>
      </c>
      <c r="B16" s="125"/>
      <c r="C16" s="125"/>
      <c r="D16" s="125"/>
      <c r="E16" s="125"/>
      <c r="F16" s="63"/>
      <c r="G16" s="141" t="s">
        <v>131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158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157</v>
      </c>
      <c r="B18" s="8"/>
      <c r="C18" s="8"/>
      <c r="D18" s="8"/>
      <c r="E18" s="8"/>
      <c r="F18" s="7"/>
      <c r="G18" s="8" t="s">
        <v>133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135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167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168</v>
      </c>
      <c r="F26" s="140"/>
      <c r="G26" s="140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9">
        <v>1</v>
      </c>
      <c r="B30" s="101" t="s">
        <v>114</v>
      </c>
      <c r="C30" s="107" t="s">
        <v>137</v>
      </c>
      <c r="D30" s="109" t="s">
        <v>113</v>
      </c>
      <c r="E30" s="101">
        <v>162</v>
      </c>
      <c r="F30" s="110" t="s">
        <v>27</v>
      </c>
      <c r="G30" s="106">
        <v>648</v>
      </c>
      <c r="H30" s="106">
        <v>421</v>
      </c>
      <c r="I30" s="108">
        <v>3</v>
      </c>
      <c r="J30" s="13">
        <f t="shared" ref="J30:J35" si="0">H30*I30</f>
        <v>1263</v>
      </c>
      <c r="K30" s="12">
        <v>0</v>
      </c>
      <c r="L30" s="12">
        <v>0</v>
      </c>
      <c r="M30" s="13">
        <f t="shared" ref="M30:M35" si="1">J30</f>
        <v>1263</v>
      </c>
      <c r="O30" s="100"/>
      <c r="Q30" s="100"/>
    </row>
    <row r="31" spans="1:17" ht="13.8" x14ac:dyDescent="0.25">
      <c r="A31" s="129">
        <v>2</v>
      </c>
      <c r="B31" s="126" t="s">
        <v>118</v>
      </c>
      <c r="C31" s="107" t="s">
        <v>119</v>
      </c>
      <c r="D31" s="109" t="s">
        <v>113</v>
      </c>
      <c r="E31" s="101">
        <v>300</v>
      </c>
      <c r="F31" s="110" t="s">
        <v>27</v>
      </c>
      <c r="G31" s="106">
        <v>2707</v>
      </c>
      <c r="H31" s="106">
        <v>2287</v>
      </c>
      <c r="I31" s="108">
        <v>1</v>
      </c>
      <c r="J31" s="13">
        <f t="shared" si="0"/>
        <v>2287</v>
      </c>
      <c r="K31" s="12">
        <v>0</v>
      </c>
      <c r="L31" s="12">
        <v>0</v>
      </c>
      <c r="M31" s="13">
        <f t="shared" si="1"/>
        <v>2287</v>
      </c>
      <c r="O31" s="100"/>
      <c r="Q31" s="100"/>
    </row>
    <row r="32" spans="1:17" ht="13.8" x14ac:dyDescent="0.25">
      <c r="A32" s="129">
        <v>3</v>
      </c>
      <c r="B32" s="101" t="s">
        <v>117</v>
      </c>
      <c r="C32" s="107" t="s">
        <v>136</v>
      </c>
      <c r="D32" s="109" t="s">
        <v>113</v>
      </c>
      <c r="E32" s="101">
        <v>725</v>
      </c>
      <c r="F32" s="110" t="s">
        <v>27</v>
      </c>
      <c r="G32" s="106">
        <v>3915</v>
      </c>
      <c r="H32" s="106">
        <v>3045</v>
      </c>
      <c r="I32" s="108">
        <v>1</v>
      </c>
      <c r="J32" s="13">
        <f t="shared" si="0"/>
        <v>3045</v>
      </c>
      <c r="K32" s="12">
        <v>0</v>
      </c>
      <c r="L32" s="12">
        <v>0</v>
      </c>
      <c r="M32" s="13">
        <f t="shared" si="1"/>
        <v>3045</v>
      </c>
      <c r="O32" s="100"/>
      <c r="Q32" s="100"/>
    </row>
    <row r="33" spans="1:17" ht="13.8" x14ac:dyDescent="0.25">
      <c r="A33" s="129">
        <v>4</v>
      </c>
      <c r="B33" s="101" t="s">
        <v>163</v>
      </c>
      <c r="C33" s="107" t="s">
        <v>164</v>
      </c>
      <c r="D33" s="109" t="s">
        <v>113</v>
      </c>
      <c r="E33" s="101">
        <v>150</v>
      </c>
      <c r="F33" s="110" t="s">
        <v>27</v>
      </c>
      <c r="G33" s="106">
        <v>1125</v>
      </c>
      <c r="H33" s="106">
        <v>915</v>
      </c>
      <c r="I33" s="108">
        <v>1.85</v>
      </c>
      <c r="J33" s="13">
        <f t="shared" si="0"/>
        <v>1692.75</v>
      </c>
      <c r="K33" s="12">
        <v>0</v>
      </c>
      <c r="L33" s="12">
        <v>0</v>
      </c>
      <c r="M33" s="13">
        <f t="shared" si="1"/>
        <v>1692.75</v>
      </c>
      <c r="O33" s="100"/>
      <c r="Q33" s="100"/>
    </row>
    <row r="34" spans="1:17" ht="13.8" x14ac:dyDescent="0.25">
      <c r="A34" s="129">
        <v>5</v>
      </c>
      <c r="B34" s="101" t="s">
        <v>169</v>
      </c>
      <c r="C34" s="107" t="s">
        <v>170</v>
      </c>
      <c r="D34" s="109" t="s">
        <v>113</v>
      </c>
      <c r="E34" s="101">
        <v>100</v>
      </c>
      <c r="F34" s="110" t="s">
        <v>27</v>
      </c>
      <c r="G34" s="106">
        <v>550</v>
      </c>
      <c r="H34" s="106">
        <v>410</v>
      </c>
      <c r="I34" s="108">
        <v>1.5</v>
      </c>
      <c r="J34" s="13">
        <f t="shared" si="0"/>
        <v>615</v>
      </c>
      <c r="K34" s="12">
        <v>0</v>
      </c>
      <c r="L34" s="12">
        <v>0</v>
      </c>
      <c r="M34" s="13">
        <f t="shared" si="1"/>
        <v>615</v>
      </c>
      <c r="O34" s="100"/>
      <c r="Q34" s="100"/>
    </row>
    <row r="35" spans="1:17" ht="27.6" x14ac:dyDescent="0.25">
      <c r="A35" s="129">
        <v>6</v>
      </c>
      <c r="B35" s="101" t="s">
        <v>139</v>
      </c>
      <c r="C35" s="107" t="s">
        <v>138</v>
      </c>
      <c r="D35" s="109" t="s">
        <v>113</v>
      </c>
      <c r="E35" s="101">
        <v>1479</v>
      </c>
      <c r="F35" s="110" t="s">
        <v>27</v>
      </c>
      <c r="G35" s="106">
        <v>13755</v>
      </c>
      <c r="H35" s="106">
        <v>11684</v>
      </c>
      <c r="I35" s="108">
        <v>0.65</v>
      </c>
      <c r="J35" s="13">
        <f t="shared" si="0"/>
        <v>7594.6</v>
      </c>
      <c r="K35" s="12">
        <v>0</v>
      </c>
      <c r="L35" s="12">
        <v>0</v>
      </c>
      <c r="M35" s="13">
        <f t="shared" si="1"/>
        <v>7594.6</v>
      </c>
      <c r="O35" s="100"/>
      <c r="Q35" s="100"/>
    </row>
    <row r="36" spans="1:17" ht="13.8" x14ac:dyDescent="0.25">
      <c r="A36" s="149" t="s">
        <v>0</v>
      </c>
      <c r="B36" s="150"/>
      <c r="C36" s="14"/>
      <c r="D36" s="15"/>
      <c r="E36" s="64">
        <f>SUM(E30:E35)</f>
        <v>2916</v>
      </c>
      <c r="F36" s="15"/>
      <c r="G36" s="64">
        <f>SUM(G30:G35)</f>
        <v>22700</v>
      </c>
      <c r="H36" s="64">
        <f>SUM(H30:H35)</f>
        <v>18762</v>
      </c>
      <c r="I36" s="102"/>
      <c r="J36" s="17">
        <f>SUM(J30:J35)</f>
        <v>16497.349999999999</v>
      </c>
      <c r="K36" s="16"/>
      <c r="L36" s="16"/>
      <c r="M36" s="17">
        <f>SUM(M30:M35)</f>
        <v>16497.349999999999</v>
      </c>
      <c r="P36" s="66"/>
    </row>
    <row r="37" spans="1:17" ht="13.8" x14ac:dyDescent="0.3">
      <c r="A37" s="2" t="s">
        <v>17</v>
      </c>
      <c r="B37" s="3"/>
      <c r="C37" s="11"/>
      <c r="D37" s="11"/>
      <c r="E37" s="147" t="str">
        <f>Лист1!B3</f>
        <v>Шестнадцать тысяч четыреста девяносто семь долларов США, 35 центов.</v>
      </c>
      <c r="F37" s="148"/>
      <c r="G37" s="148"/>
      <c r="H37" s="148"/>
      <c r="I37" s="148"/>
      <c r="J37" s="148"/>
      <c r="K37" s="148"/>
      <c r="L37" s="148"/>
      <c r="M37" s="148"/>
    </row>
    <row r="38" spans="1:17" ht="20.25" customHeight="1" x14ac:dyDescent="0.25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</row>
    <row r="39" spans="1:17" ht="25.5" customHeight="1" x14ac:dyDescent="0.25">
      <c r="A39" s="142" t="s">
        <v>110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26"/>
    </row>
    <row r="41" spans="1:17" ht="13.8" x14ac:dyDescent="0.25">
      <c r="A41" s="7" t="s">
        <v>28</v>
      </c>
      <c r="B41" s="7"/>
      <c r="D41" s="25" t="s">
        <v>160</v>
      </c>
      <c r="E41" s="24"/>
    </row>
    <row r="42" spans="1:17" ht="13.8" x14ac:dyDescent="0.25">
      <c r="A42" s="7"/>
      <c r="B42" s="9"/>
    </row>
    <row r="43" spans="1:17" ht="13.8" x14ac:dyDescent="0.25">
      <c r="A43" s="7" t="s">
        <v>18</v>
      </c>
      <c r="B43" s="9"/>
    </row>
    <row r="44" spans="1:17" ht="13.8" x14ac:dyDescent="0.25">
      <c r="A44" s="7"/>
      <c r="B44" s="9"/>
    </row>
    <row r="45" spans="1:17" ht="13.8" x14ac:dyDescent="0.25">
      <c r="A45" s="7" t="s">
        <v>29</v>
      </c>
      <c r="B45" s="9"/>
    </row>
    <row r="46" spans="1:17" ht="13.8" x14ac:dyDescent="0.25">
      <c r="A46" s="8"/>
      <c r="B46" s="9"/>
    </row>
    <row r="47" spans="1:17" x14ac:dyDescent="0.25">
      <c r="A47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9:M39"/>
    <mergeCell ref="G15:M15"/>
    <mergeCell ref="G13:M13"/>
    <mergeCell ref="G14:M14"/>
    <mergeCell ref="E37:M37"/>
    <mergeCell ref="E28:E29"/>
    <mergeCell ref="C28:C29"/>
    <mergeCell ref="D28:D29"/>
    <mergeCell ref="A38:M38"/>
    <mergeCell ref="A36:B36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K40" sqref="K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153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115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MEZ-O-39 от  24.08.2025г.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107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162</v>
      </c>
      <c r="D30" s="103" t="str">
        <f>+Инвойс!D30</f>
        <v>Дер. ящик</v>
      </c>
      <c r="E30" s="103"/>
      <c r="F30" s="103" t="str">
        <f>+Инвойс!B30</f>
        <v>Лимоны свежие некалиброванный</v>
      </c>
      <c r="G30" s="104" t="str">
        <f>+Инвойс!C30</f>
        <v>0805501009</v>
      </c>
      <c r="H30" s="103"/>
      <c r="I30" s="105">
        <f>+Инвойс!G30</f>
        <v>648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300</v>
      </c>
      <c r="D31" s="103" t="str">
        <f>+Инвойс!D31</f>
        <v>Дер. ящик</v>
      </c>
      <c r="E31" s="103"/>
      <c r="F31" s="103" t="str">
        <f>+Инвойс!B31</f>
        <v>Перец горький свежий</v>
      </c>
      <c r="G31" s="104" t="str">
        <f>+Инвойс!C31</f>
        <v>0709609900</v>
      </c>
      <c r="H31" s="103"/>
      <c r="I31" s="105">
        <f>+Инвойс!G31</f>
        <v>2707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725</v>
      </c>
      <c r="D32" s="103" t="str">
        <f>+Инвойс!D32</f>
        <v>Дер. ящик</v>
      </c>
      <c r="E32" s="103"/>
      <c r="F32" s="103" t="str">
        <f>+Инвойс!B32</f>
        <v>Персики свежие</v>
      </c>
      <c r="G32" s="104" t="str">
        <f>+Инвойс!C32</f>
        <v>0809309001</v>
      </c>
      <c r="H32" s="103"/>
      <c r="I32" s="105">
        <f>+Инвойс!G32</f>
        <v>3915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150</v>
      </c>
      <c r="D33" s="103" t="str">
        <f>+Инвойс!D33</f>
        <v>Дер. ящик</v>
      </c>
      <c r="E33" s="103"/>
      <c r="F33" s="103" t="str">
        <f>+Инвойс!B33</f>
        <v>Гранат свежий</v>
      </c>
      <c r="G33" s="104" t="str">
        <f>+Инвойс!C33</f>
        <v>0810907504</v>
      </c>
      <c r="H33" s="103"/>
      <c r="I33" s="105">
        <f>+Инвойс!G33</f>
        <v>1125</v>
      </c>
    </row>
    <row r="34" spans="1:9" ht="9" customHeight="1" x14ac:dyDescent="0.2">
      <c r="A34" s="74"/>
      <c r="B34" s="103">
        <f>+Инвойс!A34</f>
        <v>5</v>
      </c>
      <c r="C34" s="103">
        <f>+Инвойс!E34</f>
        <v>100</v>
      </c>
      <c r="D34" s="103" t="str">
        <f>+Инвойс!D34</f>
        <v>Дер. ящик</v>
      </c>
      <c r="E34" s="103"/>
      <c r="F34" s="103" t="str">
        <f>+Инвойс!B34</f>
        <v>Айва свежая</v>
      </c>
      <c r="G34" s="104" t="str">
        <f>+Инвойс!C34</f>
        <v>0808400009</v>
      </c>
      <c r="H34" s="103"/>
      <c r="I34" s="105">
        <f>+Инвойс!G34</f>
        <v>550</v>
      </c>
    </row>
    <row r="35" spans="1:9" ht="9" customHeight="1" x14ac:dyDescent="0.2">
      <c r="B35" s="103">
        <f>+Инвойс!A35</f>
        <v>6</v>
      </c>
      <c r="C35" s="103">
        <f>+Инвойс!E35</f>
        <v>1479</v>
      </c>
      <c r="D35" s="103" t="str">
        <f>+Инвойс!D35</f>
        <v>Дер. ящик</v>
      </c>
      <c r="E35" s="103"/>
      <c r="F35" s="103" t="str">
        <f>+Инвойс!B35</f>
        <v>Виноград свежий столовых сортов</v>
      </c>
      <c r="G35" s="104" t="str">
        <f>+Инвойс!C35</f>
        <v>0806101001</v>
      </c>
      <c r="H35" s="103"/>
      <c r="I35" s="105">
        <f>+Инвойс!G35</f>
        <v>13755</v>
      </c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116</v>
      </c>
      <c r="D49" s="159" t="str">
        <f>+C22</f>
        <v xml:space="preserve"> 24.08.2025г.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40S496YA/406003BA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K38" sqref="K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40S496YA/406003BA</v>
      </c>
      <c r="C14" s="168"/>
      <c r="D14" s="168"/>
      <c r="E14" s="168"/>
      <c r="F14" s="168"/>
      <c r="G14" s="168"/>
      <c r="H14" s="169" t="s">
        <v>108</v>
      </c>
      <c r="I14" s="169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MEZ-O-39 от  24.08.2025г.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162</v>
      </c>
      <c r="G18" s="162" t="str">
        <f>+CMR!F30</f>
        <v>Лимоны свежие некалиброванный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0" t="str">
        <f>+Инвойс!C30</f>
        <v>0805501009</v>
      </c>
      <c r="H19" s="161"/>
      <c r="I19" s="122" t="s">
        <v>103</v>
      </c>
      <c r="J19" s="120">
        <f>+Инвойс!G30</f>
        <v>648</v>
      </c>
    </row>
    <row r="20" spans="2:10" ht="13.5" customHeight="1" x14ac:dyDescent="0.3">
      <c r="B20" s="83"/>
      <c r="E20" s="123"/>
      <c r="F20" s="118">
        <f>+Инвойс!E31</f>
        <v>300</v>
      </c>
      <c r="G20" s="162" t="str">
        <f>+CMR!F31</f>
        <v>Перец горький свежий</v>
      </c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Дер. ящик</v>
      </c>
      <c r="G21" s="160" t="str">
        <f>+Инвойс!C31</f>
        <v>0709609900</v>
      </c>
      <c r="H21" s="161"/>
      <c r="I21" s="122" t="s">
        <v>103</v>
      </c>
      <c r="J21" s="120">
        <f>+Инвойс!G31</f>
        <v>2707</v>
      </c>
    </row>
    <row r="22" spans="2:10" ht="12.75" customHeight="1" x14ac:dyDescent="0.3">
      <c r="B22" s="83"/>
      <c r="E22" s="123"/>
      <c r="F22" s="118">
        <f>+Инвойс!E32</f>
        <v>725</v>
      </c>
      <c r="G22" s="162" t="str">
        <f>+CMR!F32</f>
        <v>Персики свежие</v>
      </c>
      <c r="H22" s="162"/>
      <c r="I22" s="119"/>
      <c r="J22" s="120"/>
    </row>
    <row r="23" spans="2:10" ht="14.25" customHeight="1" x14ac:dyDescent="0.3">
      <c r="B23" s="83"/>
      <c r="E23" s="123"/>
      <c r="F23" s="121" t="str">
        <f>+Инвойс!D32</f>
        <v>Дер. ящик</v>
      </c>
      <c r="G23" s="160" t="str">
        <f>+Инвойс!C32</f>
        <v>0809309001</v>
      </c>
      <c r="H23" s="161"/>
      <c r="I23" s="122" t="s">
        <v>103</v>
      </c>
      <c r="J23" s="120">
        <f>+Инвойс!G32</f>
        <v>3915</v>
      </c>
    </row>
    <row r="24" spans="2:10" ht="12.75" customHeight="1" x14ac:dyDescent="0.3">
      <c r="B24" s="87"/>
      <c r="E24" s="123"/>
      <c r="F24" s="118">
        <f>+Инвойс!E33</f>
        <v>150</v>
      </c>
      <c r="G24" s="162" t="str">
        <f>+CMR!F33</f>
        <v>Гранат свежий</v>
      </c>
      <c r="H24" s="162"/>
      <c r="I24" s="119"/>
      <c r="J24" s="120"/>
    </row>
    <row r="25" spans="2:10" ht="12.75" customHeight="1" x14ac:dyDescent="0.3">
      <c r="B25" s="87"/>
      <c r="E25" s="123"/>
      <c r="F25" s="121" t="str">
        <f>+Инвойс!D33</f>
        <v>Дер. ящик</v>
      </c>
      <c r="G25" s="160" t="str">
        <f>+Инвойс!C33</f>
        <v>0810907504</v>
      </c>
      <c r="H25" s="161"/>
      <c r="I25" s="122" t="s">
        <v>103</v>
      </c>
      <c r="J25" s="120">
        <f>+Инвойс!G33</f>
        <v>1125</v>
      </c>
    </row>
    <row r="26" spans="2:10" ht="12" customHeight="1" x14ac:dyDescent="0.3">
      <c r="B26" s="87"/>
      <c r="E26" s="123"/>
      <c r="F26" s="118">
        <f>+Инвойс!E34</f>
        <v>100</v>
      </c>
      <c r="G26" s="162" t="str">
        <f>+CMR!F34</f>
        <v>Айва свежая</v>
      </c>
      <c r="H26" s="162"/>
      <c r="I26" s="119"/>
      <c r="J26" s="120"/>
    </row>
    <row r="27" spans="2:10" ht="14.25" customHeight="1" x14ac:dyDescent="0.3">
      <c r="B27" s="87"/>
      <c r="E27" s="123"/>
      <c r="F27" s="121" t="str">
        <f>+Инвойс!D34</f>
        <v>Дер. ящик</v>
      </c>
      <c r="G27" s="160" t="str">
        <f>+Инвойс!C34</f>
        <v>0808400009</v>
      </c>
      <c r="H27" s="161"/>
      <c r="I27" s="122" t="s">
        <v>103</v>
      </c>
      <c r="J27" s="120">
        <f>+Инвойс!G34</f>
        <v>550</v>
      </c>
    </row>
    <row r="28" spans="2:10" ht="12.75" customHeight="1" x14ac:dyDescent="0.3">
      <c r="B28" s="87"/>
      <c r="E28" s="123"/>
      <c r="F28" s="118">
        <f>+Инвойс!E35</f>
        <v>1479</v>
      </c>
      <c r="G28" s="162" t="str">
        <f>+CMR!F35</f>
        <v>Виноград свежий столовых сортов</v>
      </c>
      <c r="H28" s="162"/>
      <c r="I28" s="119"/>
      <c r="J28" s="120"/>
    </row>
    <row r="29" spans="2:10" ht="12.75" customHeight="1" x14ac:dyDescent="0.3">
      <c r="B29" s="87"/>
      <c r="E29" s="123"/>
      <c r="F29" s="121" t="str">
        <f>+Инвойс!D35</f>
        <v>Дер. ящик</v>
      </c>
      <c r="G29" s="160" t="str">
        <f>+Инвойс!C35</f>
        <v>0806101001</v>
      </c>
      <c r="H29" s="161"/>
      <c r="I29" s="122" t="s">
        <v>103</v>
      </c>
      <c r="J29" s="120">
        <f>+Инвойс!G35</f>
        <v>13755</v>
      </c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2916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7"/>
  <sheetViews>
    <sheetView topLeftCell="A10" zoomScale="85" zoomScaleNormal="85" workbookViewId="0">
      <selection activeCell="C40" sqref="C4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171</v>
      </c>
      <c r="C1" s="171"/>
      <c r="D1" s="171"/>
      <c r="E1" s="171"/>
      <c r="F1" s="151" t="str">
        <f>+Инвойс!F1</f>
        <v xml:space="preserve"> 24.08.2025г.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EX0508 от 05.08.2025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>ООО «MEGA EXIMPORT»</v>
      </c>
      <c r="B5" s="153"/>
      <c r="C5" s="153"/>
      <c r="D5" s="153"/>
      <c r="E5" s="153"/>
      <c r="F5" s="6"/>
      <c r="G5" s="146" t="str">
        <f>+Инвойс!G5</f>
        <v>ООО ТД «РЕСУРС»</v>
      </c>
      <c r="H5" s="146"/>
      <c r="I5" s="146"/>
      <c r="J5" s="146"/>
      <c r="K5" s="146"/>
      <c r="L5" s="146"/>
      <c r="M5" s="146"/>
    </row>
    <row r="6" spans="1:15" ht="13.8" x14ac:dyDescent="0.25">
      <c r="A6" s="174" t="str">
        <f>+Инвойс!A6</f>
        <v xml:space="preserve">Республика Узбекистан, Ферганская область, </v>
      </c>
      <c r="B6" s="174"/>
      <c r="C6" s="174"/>
      <c r="D6" s="174"/>
      <c r="E6" s="174"/>
      <c r="F6" s="7"/>
      <c r="G6" s="172" t="str">
        <f>+Инвойс!G6</f>
        <v xml:space="preserve">125362, Город Москва, вн.тер.г. муниципальный округ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Кува Район, Гулобод МФЙ, Сарбоз улитца</v>
      </c>
      <c r="B7" s="174"/>
      <c r="C7" s="174"/>
      <c r="D7" s="174"/>
      <c r="E7" s="174"/>
      <c r="F7" s="63"/>
      <c r="G7" s="172" t="str">
        <f>+Инвойс!G7</f>
        <v xml:space="preserve">Южное Тушино, ул Свободы, д. 35, стр. 43, помещ. 92/3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 xml:space="preserve">Р/с N 20208840607249418001   (USD)    </v>
      </c>
      <c r="B8" s="174"/>
      <c r="C8" s="174"/>
      <c r="D8" s="174"/>
      <c r="E8" s="174"/>
      <c r="F8" s="63"/>
      <c r="G8" s="172" t="str">
        <f>+Инвойс!G8</f>
        <v>Банк: Азия-Инвест Банк (АО) ИНН: 9705116064 КПП: 770501001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 xml:space="preserve">в АКБ «KAPITAL BANK» МФО: 01088 Swift: KACHUZ22  </v>
      </c>
      <c r="B9" s="174"/>
      <c r="C9" s="174"/>
      <c r="D9" s="174"/>
      <c r="E9" s="174"/>
      <c r="F9" s="7"/>
      <c r="G9" s="172" t="str">
        <f>+Инвойс!G9</f>
        <v xml:space="preserve">Р/Счет: 40702840100000019384 ; БИК:  044525234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 xml:space="preserve"> ИНН: 312169146</v>
      </c>
      <c r="B10" s="174"/>
      <c r="C10" s="174"/>
      <c r="D10" s="174"/>
      <c r="E10" s="174"/>
      <c r="F10" s="7"/>
      <c r="G10" s="172" t="str">
        <f>+Инвойс!G10</f>
        <v xml:space="preserve">Корр.счет: 30101810445250000234  </v>
      </c>
      <c r="H10" s="172"/>
      <c r="I10" s="172"/>
      <c r="J10" s="172"/>
      <c r="K10" s="172"/>
      <c r="L10" s="172"/>
      <c r="M10" s="172"/>
    </row>
    <row r="11" spans="1:15" ht="13.8" x14ac:dyDescent="0.25">
      <c r="A11" s="174"/>
      <c r="B11" s="174"/>
      <c r="C11" s="174"/>
      <c r="D11" s="174"/>
      <c r="E11" s="174"/>
      <c r="F11" s="7"/>
      <c r="G11" s="172" t="str">
        <f>+Инвойс!G11</f>
        <v>(SWIFT code: ASIJRUMM)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54"/>
      <c r="B12" s="154"/>
      <c r="C12" s="154"/>
      <c r="D12" s="154"/>
      <c r="E12" s="154"/>
      <c r="F12" s="7"/>
      <c r="G12" s="154"/>
      <c r="H12" s="154"/>
      <c r="I12" s="154"/>
      <c r="J12" s="154"/>
      <c r="K12" s="154"/>
      <c r="L12" s="154"/>
      <c r="M12" s="154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>ООО «MEGA EXIMPORT»</v>
      </c>
      <c r="B14" s="153"/>
      <c r="C14" s="153"/>
      <c r="D14" s="153"/>
      <c r="E14" s="153"/>
      <c r="F14" s="6"/>
      <c r="G14" s="146" t="str">
        <f>+Инвойс!G14</f>
        <v>OOO «Западные ворота»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74" t="str">
        <f>+Инвойс!A15</f>
        <v xml:space="preserve">Республика Узбекистан, Ферганская область, </v>
      </c>
      <c r="B15" s="174"/>
      <c r="C15" s="174"/>
      <c r="D15" s="174"/>
      <c r="E15" s="174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Кува Район, Гулобод МФЙ, Сарбоз улитца</v>
      </c>
      <c r="B16" s="174"/>
      <c r="C16" s="174"/>
      <c r="D16" s="174"/>
      <c r="E16" s="174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 xml:space="preserve">Р/с N 20208840607249418001   (USD)    </v>
      </c>
      <c r="B17" s="174"/>
      <c r="C17" s="174"/>
      <c r="D17" s="174"/>
      <c r="E17" s="174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 xml:space="preserve">в АКБ «KAPITAL BANK» МФО: 01088 Swift: KACHUZ22  </v>
      </c>
      <c r="B18" s="174"/>
      <c r="C18" s="174"/>
      <c r="D18" s="174"/>
      <c r="E18" s="174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 xml:space="preserve"> ИНН: 312169146</v>
      </c>
      <c r="B19" s="174"/>
      <c r="C19" s="174"/>
      <c r="D19" s="174"/>
      <c r="E19" s="174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74"/>
      <c r="B20" s="174"/>
      <c r="C20" s="174"/>
      <c r="D20" s="174"/>
      <c r="E20" s="174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141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120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40S496YA/406003BA</v>
      </c>
      <c r="F26" s="140"/>
      <c r="G26" s="140"/>
      <c r="J26" s="21"/>
    </row>
    <row r="27" spans="1:17" ht="34.5" customHeight="1" x14ac:dyDescent="0.25">
      <c r="A27" s="67" t="s">
        <v>142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9">
        <f>+Инвойс!A30</f>
        <v>1</v>
      </c>
      <c r="B30" s="101" t="str">
        <f>+Инвойс!B30</f>
        <v>Лимоны свежие некалиброванный</v>
      </c>
      <c r="C30" s="107" t="str">
        <f>+Инвойс!C30</f>
        <v>0805501009</v>
      </c>
      <c r="D30" s="115" t="str">
        <f>+Инвойс!D30</f>
        <v>Дер. ящик</v>
      </c>
      <c r="E30" s="101">
        <f>+Инвойс!E30</f>
        <v>162</v>
      </c>
      <c r="F30" s="116" t="str">
        <f>+Инвойс!F30</f>
        <v>кг</v>
      </c>
      <c r="G30" s="106">
        <f>+Инвойс!G30</f>
        <v>648</v>
      </c>
      <c r="H30" s="106">
        <f>+Инвойс!H30</f>
        <v>421</v>
      </c>
      <c r="I30" s="108">
        <f>+Инвойс!I30</f>
        <v>3</v>
      </c>
      <c r="J30" s="13">
        <f>+Инвойс!J30</f>
        <v>1263</v>
      </c>
      <c r="K30" s="12">
        <v>0</v>
      </c>
      <c r="L30" s="12">
        <v>0</v>
      </c>
      <c r="M30" s="13">
        <f>+Инвойс!M30</f>
        <v>1263</v>
      </c>
      <c r="O30" s="100"/>
      <c r="Q30" s="100"/>
    </row>
    <row r="31" spans="1:17" ht="13.8" x14ac:dyDescent="0.25">
      <c r="A31" s="129">
        <f>+Инвойс!A31</f>
        <v>2</v>
      </c>
      <c r="B31" s="101" t="str">
        <f>+Инвойс!B31</f>
        <v>Перец горький свежий</v>
      </c>
      <c r="C31" s="107" t="str">
        <f>+Инвойс!C31</f>
        <v>0709609900</v>
      </c>
      <c r="D31" s="115" t="str">
        <f>+Инвойс!D31</f>
        <v>Дер. ящик</v>
      </c>
      <c r="E31" s="101">
        <f>+Инвойс!E31</f>
        <v>300</v>
      </c>
      <c r="F31" s="116" t="str">
        <f>+Инвойс!F31</f>
        <v>кг</v>
      </c>
      <c r="G31" s="106">
        <f>+Инвойс!G31</f>
        <v>2707</v>
      </c>
      <c r="H31" s="106">
        <f>+Инвойс!H31</f>
        <v>2287</v>
      </c>
      <c r="I31" s="108">
        <f>+Инвойс!I31</f>
        <v>1</v>
      </c>
      <c r="J31" s="13">
        <f>+Инвойс!J31</f>
        <v>2287</v>
      </c>
      <c r="K31" s="12">
        <v>0</v>
      </c>
      <c r="L31" s="12">
        <v>0</v>
      </c>
      <c r="M31" s="13">
        <f>+Инвойс!M31</f>
        <v>2287</v>
      </c>
      <c r="O31" s="100"/>
      <c r="Q31" s="100"/>
    </row>
    <row r="32" spans="1:17" ht="13.8" x14ac:dyDescent="0.25">
      <c r="A32" s="129">
        <f>+Инвойс!A32</f>
        <v>3</v>
      </c>
      <c r="B32" s="101" t="str">
        <f>+Инвойс!B32</f>
        <v>Персики свежие</v>
      </c>
      <c r="C32" s="107" t="str">
        <f>+Инвойс!C32</f>
        <v>0809309001</v>
      </c>
      <c r="D32" s="115" t="str">
        <f>+Инвойс!D32</f>
        <v>Дер. ящик</v>
      </c>
      <c r="E32" s="101">
        <f>+Инвойс!E32</f>
        <v>725</v>
      </c>
      <c r="F32" s="116" t="str">
        <f>+Инвойс!F32</f>
        <v>кг</v>
      </c>
      <c r="G32" s="106">
        <f>+Инвойс!G32</f>
        <v>3915</v>
      </c>
      <c r="H32" s="106">
        <f>+Инвойс!H32</f>
        <v>3045</v>
      </c>
      <c r="I32" s="108">
        <f>+Инвойс!I32</f>
        <v>1</v>
      </c>
      <c r="J32" s="13">
        <f>+Инвойс!J32</f>
        <v>3045</v>
      </c>
      <c r="K32" s="12">
        <v>0</v>
      </c>
      <c r="L32" s="12">
        <v>0</v>
      </c>
      <c r="M32" s="13">
        <f>+Инвойс!M32</f>
        <v>3045</v>
      </c>
      <c r="O32" s="100"/>
      <c r="Q32" s="100"/>
    </row>
    <row r="33" spans="1:17" ht="13.8" x14ac:dyDescent="0.25">
      <c r="A33" s="129">
        <f>+Инвойс!A33</f>
        <v>4</v>
      </c>
      <c r="B33" s="101" t="str">
        <f>+Инвойс!B33</f>
        <v>Гранат свежий</v>
      </c>
      <c r="C33" s="107" t="str">
        <f>+Инвойс!C33</f>
        <v>0810907504</v>
      </c>
      <c r="D33" s="115" t="str">
        <f>+Инвойс!D33</f>
        <v>Дер. ящик</v>
      </c>
      <c r="E33" s="101">
        <f>+Инвойс!E33</f>
        <v>150</v>
      </c>
      <c r="F33" s="116" t="str">
        <f>+Инвойс!F33</f>
        <v>кг</v>
      </c>
      <c r="G33" s="106">
        <f>+Инвойс!G33</f>
        <v>1125</v>
      </c>
      <c r="H33" s="106">
        <f>+Инвойс!H33</f>
        <v>915</v>
      </c>
      <c r="I33" s="108">
        <f>+Инвойс!I33</f>
        <v>1.85</v>
      </c>
      <c r="J33" s="13">
        <f>+Инвойс!J33</f>
        <v>1692.75</v>
      </c>
      <c r="K33" s="12">
        <v>0</v>
      </c>
      <c r="L33" s="12">
        <v>0</v>
      </c>
      <c r="M33" s="13">
        <f>+Инвойс!M33</f>
        <v>1692.75</v>
      </c>
      <c r="O33" s="100"/>
      <c r="Q33" s="100"/>
    </row>
    <row r="34" spans="1:17" ht="13.8" x14ac:dyDescent="0.25">
      <c r="A34" s="129">
        <f>+Инвойс!A34</f>
        <v>5</v>
      </c>
      <c r="B34" s="101" t="str">
        <f>+Инвойс!B34</f>
        <v>Айва свежая</v>
      </c>
      <c r="C34" s="107" t="str">
        <f>+Инвойс!C34</f>
        <v>0808400009</v>
      </c>
      <c r="D34" s="115" t="str">
        <f>+Инвойс!D34</f>
        <v>Дер. ящик</v>
      </c>
      <c r="E34" s="101">
        <f>+Инвойс!E34</f>
        <v>100</v>
      </c>
      <c r="F34" s="116" t="str">
        <f>+Инвойс!F34</f>
        <v>кг</v>
      </c>
      <c r="G34" s="106">
        <f>+Инвойс!G34</f>
        <v>550</v>
      </c>
      <c r="H34" s="106">
        <f>+Инвойс!H34</f>
        <v>410</v>
      </c>
      <c r="I34" s="108">
        <f>+Инвойс!I34</f>
        <v>1.5</v>
      </c>
      <c r="J34" s="13">
        <f>+Инвойс!J34</f>
        <v>615</v>
      </c>
      <c r="K34" s="12">
        <v>0</v>
      </c>
      <c r="L34" s="12">
        <v>0</v>
      </c>
      <c r="M34" s="13">
        <f>+Инвойс!M34</f>
        <v>615</v>
      </c>
      <c r="O34" s="100"/>
      <c r="Q34" s="100"/>
    </row>
    <row r="35" spans="1:17" ht="27.6" x14ac:dyDescent="0.25">
      <c r="A35" s="129">
        <f>+Инвойс!A35</f>
        <v>6</v>
      </c>
      <c r="B35" s="101" t="str">
        <f>+Инвойс!B35</f>
        <v>Виноград свежий столовых сортов</v>
      </c>
      <c r="C35" s="107" t="str">
        <f>+Инвойс!C35</f>
        <v>0806101001</v>
      </c>
      <c r="D35" s="115" t="str">
        <f>+Инвойс!D35</f>
        <v>Дер. ящик</v>
      </c>
      <c r="E35" s="101">
        <f>+Инвойс!E35</f>
        <v>1479</v>
      </c>
      <c r="F35" s="116" t="str">
        <f>+Инвойс!F35</f>
        <v>кг</v>
      </c>
      <c r="G35" s="106">
        <f>+Инвойс!G35</f>
        <v>13755</v>
      </c>
      <c r="H35" s="106">
        <f>+Инвойс!H35</f>
        <v>11684</v>
      </c>
      <c r="I35" s="108">
        <f>+Инвойс!I35</f>
        <v>0.65</v>
      </c>
      <c r="J35" s="13">
        <f>+Инвойс!J35</f>
        <v>7594.6</v>
      </c>
      <c r="K35" s="12">
        <v>0</v>
      </c>
      <c r="L35" s="12">
        <v>0</v>
      </c>
      <c r="M35" s="13">
        <f>+Инвойс!M35</f>
        <v>7594.6</v>
      </c>
      <c r="O35" s="100"/>
      <c r="Q35" s="100"/>
    </row>
    <row r="36" spans="1:17" ht="13.8" x14ac:dyDescent="0.25">
      <c r="A36" s="149" t="s">
        <v>0</v>
      </c>
      <c r="B36" s="150"/>
      <c r="C36" s="14"/>
      <c r="D36" s="15"/>
      <c r="E36" s="64">
        <f>SUM(E30:E35)</f>
        <v>2916</v>
      </c>
      <c r="F36" s="15"/>
      <c r="G36" s="64">
        <f>SUM(G30:G35)</f>
        <v>22700</v>
      </c>
      <c r="H36" s="64">
        <f>SUM(H30:H35)</f>
        <v>18762</v>
      </c>
      <c r="I36" s="102"/>
      <c r="J36" s="17">
        <f>SUM(J30:J35)</f>
        <v>16497.349999999999</v>
      </c>
      <c r="K36" s="16"/>
      <c r="L36" s="16"/>
      <c r="M36" s="17">
        <f>SUM(M30:M35)</f>
        <v>16497.349999999999</v>
      </c>
      <c r="P36" s="66"/>
    </row>
    <row r="37" spans="1:17" ht="13.8" x14ac:dyDescent="0.3">
      <c r="A37" s="2" t="s">
        <v>17</v>
      </c>
      <c r="B37" s="3"/>
      <c r="C37" s="11"/>
      <c r="D37" s="11"/>
      <c r="E37" s="147" t="str">
        <f>Лист1!B3</f>
        <v>Шестнадцать тысяч четыреста девяносто семь долларов США, 35 центов.</v>
      </c>
      <c r="F37" s="148"/>
      <c r="G37" s="148"/>
      <c r="H37" s="148"/>
      <c r="I37" s="148"/>
      <c r="J37" s="148"/>
      <c r="K37" s="148"/>
      <c r="L37" s="148"/>
      <c r="M37" s="148"/>
    </row>
    <row r="38" spans="1:17" ht="20.25" customHeight="1" x14ac:dyDescent="0.25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</row>
    <row r="39" spans="1:17" ht="25.5" customHeight="1" x14ac:dyDescent="0.25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26"/>
    </row>
    <row r="41" spans="1:17" ht="15.6" x14ac:dyDescent="0.3">
      <c r="A41" s="7" t="s">
        <v>162</v>
      </c>
      <c r="B41" s="7"/>
      <c r="D41" s="25" t="str">
        <f>+Инвойс!D41</f>
        <v>Эргашев О.Р</v>
      </c>
      <c r="E41" s="24"/>
      <c r="G41" s="131" t="s">
        <v>151</v>
      </c>
      <c r="H41" t="str">
        <f>Инвойс!G5</f>
        <v>ООО ТД «РЕСУРС»</v>
      </c>
      <c r="K41" s="132" t="s">
        <v>152</v>
      </c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7"/>
      <c r="B44" s="9"/>
    </row>
    <row r="45" spans="1:17" ht="13.8" x14ac:dyDescent="0.25">
      <c r="A45" s="7"/>
      <c r="B45" s="9"/>
    </row>
    <row r="46" spans="1:17" ht="13.8" x14ac:dyDescent="0.25">
      <c r="A46" s="8"/>
      <c r="B46" s="9"/>
    </row>
    <row r="47" spans="1:17" x14ac:dyDescent="0.25">
      <c r="A47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8:M38"/>
    <mergeCell ref="A39:M39"/>
    <mergeCell ref="G28:H28"/>
    <mergeCell ref="I28:I29"/>
    <mergeCell ref="K28:L28"/>
    <mergeCell ref="M28:M29"/>
    <mergeCell ref="A36:B36"/>
    <mergeCell ref="E37:M37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15" sqref="A1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8" t="s">
        <v>121</v>
      </c>
    </row>
    <row r="3" spans="1:1" ht="52.8" x14ac:dyDescent="0.25">
      <c r="A3" s="133" t="s">
        <v>143</v>
      </c>
    </row>
    <row r="5" spans="1:1" ht="39.6" x14ac:dyDescent="0.25">
      <c r="A5" s="128" t="s">
        <v>122</v>
      </c>
    </row>
    <row r="7" spans="1:1" ht="52.8" x14ac:dyDescent="0.25">
      <c r="A7" s="128" t="s">
        <v>123</v>
      </c>
    </row>
    <row r="9" spans="1:1" ht="52.8" x14ac:dyDescent="0.25">
      <c r="A9" s="128" t="s">
        <v>124</v>
      </c>
    </row>
    <row r="10" spans="1:1" x14ac:dyDescent="0.25">
      <c r="A10" s="128"/>
    </row>
    <row r="11" spans="1:1" ht="52.8" x14ac:dyDescent="0.25">
      <c r="A11" s="128" t="s">
        <v>125</v>
      </c>
    </row>
    <row r="13" spans="1:1" ht="52.8" x14ac:dyDescent="0.25">
      <c r="A13" s="128" t="s">
        <v>126</v>
      </c>
    </row>
    <row r="15" spans="1:1" ht="39.6" x14ac:dyDescent="0.25">
      <c r="A15" s="128" t="s">
        <v>127</v>
      </c>
    </row>
    <row r="17" spans="1:1" ht="39.6" x14ac:dyDescent="0.25">
      <c r="A17" s="128" t="s">
        <v>128</v>
      </c>
    </row>
    <row r="19" spans="1:1" ht="39.6" x14ac:dyDescent="0.25">
      <c r="A19" s="130" t="s">
        <v>140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Инвойс!M36</f>
        <v>16497.349999999999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Шестнадцать тысяч четыреста девяносто семь долларов США, 35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45893</v>
      </c>
      <c r="O3" s="178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Шестнадцать тысяч четыреста девяносто семь долларов США, 35 центов. (в т.ч. НДС - 357,79)</v>
      </c>
      <c r="H4" s="32"/>
      <c r="I4" s="32"/>
      <c r="J4" s="32"/>
      <c r="K4" s="179" t="str">
        <f ca="1">CONCATENATE(" «  ",P3,"  »  ",Q3,"  ",R3," г.")</f>
        <v xml:space="preserve"> «  24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шестнадцать тысяч четыреста девяносто семь долларов США, 35 центов.</v>
      </c>
    </row>
    <row r="6" spans="1:19" s="36" customFormat="1" x14ac:dyDescent="0.25">
      <c r="A6" s="38" t="s">
        <v>37</v>
      </c>
      <c r="B6" s="36" t="str">
        <f>CONCATENATE(A8,A9,A10,A11,A12,B8,B9,C9)</f>
        <v>шестнадцать тысяч четыреста девяносто семь долларов США, 35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ш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шестнадцать тысяч </v>
      </c>
      <c r="D10" s="47"/>
      <c r="E10" s="48"/>
      <c r="F10" s="41" t="str">
        <f>PROPER(F9)</f>
        <v>Ш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девяносто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35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16497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16</v>
      </c>
      <c r="B25" s="47">
        <f>TRUNC(RIGHT(A25))</f>
        <v>6</v>
      </c>
      <c r="C25" s="51">
        <f>IF(B24=1,B25+10,IF(B25=0,0,B25))</f>
        <v>16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шесть </v>
      </c>
      <c r="F25" s="43" t="str">
        <f>IF(AND(C25&gt;15,C25&lt;20),IF(C25=16,D40,IF(C25=17,D41,IF(C25=18,D42,IF(C25=19,D43,)))),"")</f>
        <v xml:space="preserve">шестнадцать </v>
      </c>
    </row>
    <row r="26" spans="1:9" s="43" customFormat="1" x14ac:dyDescent="0.25">
      <c r="A26" s="54"/>
      <c r="B26" s="47"/>
      <c r="C26" s="51"/>
      <c r="E26" s="57">
        <f>B23*100+B24*10+B25</f>
        <v>16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164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1649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16497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35</v>
      </c>
      <c r="C31" s="59">
        <f>TRUNC(A31/10)</f>
        <v>3</v>
      </c>
      <c r="E31" s="56" t="str">
        <f>IF(OR(C31=1,C31=0),"",IF(C31=2,E35,IF(C31=3,E36,IF(C31=4,E37,IF(C31=5,E38,IF(C31=6,E39,IF(C31=7,E40,IF(C31=8,E41,E42))))))))</f>
        <v xml:space="preserve">тридцать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2025-08-24T06:31:22Z</cp:lastPrinted>
  <dcterms:created xsi:type="dcterms:W3CDTF">1996-10-14T23:33:28Z</dcterms:created>
  <dcterms:modified xsi:type="dcterms:W3CDTF">2025-08-24T06:31:25Z</dcterms:modified>
</cp:coreProperties>
</file>