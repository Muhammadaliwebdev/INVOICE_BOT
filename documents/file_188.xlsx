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6B42BE4-B670-4ECC-BA48-129E6D8C2D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<sst xmlns="http://schemas.openxmlformats.org/spreadsheetml/2006/main" count="206" uniqueCount="163">
  <si>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</si>
  <si>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</si>
  <si>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</si>
  <si>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</si>
  <si>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</si>
  <si>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</si>
  <si>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</si>
  <si>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</si>
  <si>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</si>
  <si>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</si>
  <si>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</si>
  <si>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</si>
  <si>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</si>
  <si>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</si>
  <si>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</si>
  <si>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</si>
  <si>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</si>
  <si>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</si>
  <si>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</si>
  <si>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</si>
  <si>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</si>
  <si>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</si>
  <si>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</si>
  <si>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</si>
  <si>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</si>
  <si>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</si>
  <si>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</si>
  <si>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</si>
  <si>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</si>
  <si>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</si>
  <si>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</si>
  <si>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</si>
  <si>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</si>
  <si>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</si>
  <si>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</si>
  <si>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</si>
  <si>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</si>
  <si>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</si>
  <si>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</si>
  <si>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</si>
  <si>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</si>
  <si>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</si>
  <si>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</si>
  <si>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</si>
  <si>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</si>
  <si>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</si>
  <si>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</si>
  <si>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</si>
  <si>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</si>
  <si>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</si>
  <si>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</si>
  <si>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</si>
  <si>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</si>
  <si>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</si>
  <si>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</si>
  <si>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</si>
  <si>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</si>
  <si>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</si>
  <si>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</si>
  <si>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</si>
  <si>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</si>
  <si>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</si>
  <si>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</si>
  <si>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</si>
  <si>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</si>
  <si>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</si>
  <si>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</si>
  <si>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</si>
  <si>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</si>
  <si>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</si>
  <si>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</si>
  <si>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</si>
  <si>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</si>
  <si>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</si>
  <si>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</si>
  <si>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</si>
  <si>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</si>
  <si>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</si>
  <si>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</si>
  <si>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</si>
  <si>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</si>
  <si>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</si>
  <si>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</si>
  <si>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</si>
  <si>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</si>
  <si>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</si>
  <si>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</si>
  <si>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</si>
  <si>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</si>
  <si>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</si>
  <si>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</si>
  <si>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</si>
  <si>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</si>
  <si>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</si>
  <si>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</si>
  <si>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</si>
  <si>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</si>
  <si>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</si>
  <si>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</si>
  <si>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</si>
  <si>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</si>
  <si>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</si>
  <si>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</si>
  <si>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</si>
  <si>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</si>
  <si>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</si>
  <si>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</si>
  <si>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</si>
  <si>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</si>
  <si>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</si>
  <si>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</si>
  <si>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Пласт. ящик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</si>
  <si>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</si>
  <si>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</si>
  <si>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</si>
  <si>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</si>
  <si>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</si>
  <si>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</si>
  <si>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</si>
  <si>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</si>
  <si>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</si>
  <si>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</si>
  <si>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</si>
  <si>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</si>
  <si>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</si>
  <si>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</si>
  <si>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</si>
  <si>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</si>
  <si>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</si>
  <si>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</si>
  <si>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</si>
  <si>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</si>
  <si>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</si>
  <si>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</si>
  <si>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</si>
  <si>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</si>
  <si>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</si>
  <si>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</si>
  <si>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</si>
  <si>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</si>
  <si>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</si>
  <si>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</si>
  <si>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</si>
  <si>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</si>
  <si>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</si>
  <si>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</si>
  <si>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</si>
  <si>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</si>
  <si>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</si>
  <si>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</si>
  <si>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</si>
  <si>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</si>
  <si>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</si>
  <si>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</si>
  <si>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</si>
  <si>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</si>
  <si>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BEZ-F-48 от </t>
  </si>
  <si>
    <t xml:space="preserve"> 12.08.2025г.</t>
  </si>
  <si>
    <t>30350NBA/307190AA</t>
  </si>
  <si>
    <t>DAP - с Амандык , Республика Казахстан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</si>
  <si>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600 кг.</t>
  </si>
  <si>
    <t xml:space="preserve">СПЕЦИФИКАЦИЯ № BEZ-F-48 от </t>
  </si>
  <si>
    <t xml:space="preserve">      г.Свердловск /г.Казань/г.Москва/г.Санкт-Петербург/г.Пермь/г. Новосибирск /г.Красноярск/г.Челябинск/г.Екатеринбург/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</si>
</sst>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38</xdr:row>
      <xdr:rowOff>22411</xdr:rowOff>
    </xdr:from>
    <xdr:to>
      <xdr:col>4</xdr:col>
      <xdr:colOff>159123</xdr:colOff>
      <xdr:row>48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40</xdr:row>
      <xdr:rowOff>20172</xdr:rowOff>
    </xdr:from>
    <xdr:to>
      <xdr:col>12</xdr:col>
      <xdr:colOff>149486</xdr:colOff>
      <xdr:row>43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38</xdr:row>
      <xdr:rowOff>98613</xdr:rowOff>
    </xdr:from>
    <xdr:to>
      <xdr:col>9</xdr:col>
      <xdr:colOff>159123</xdr:colOff>
      <xdr:row>50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38</xdr:row>
      <xdr:rowOff>56030</xdr:rowOff>
    </xdr:from>
    <xdr:to>
      <xdr:col>3</xdr:col>
      <xdr:colOff>268941</xdr:colOff>
      <xdr:row>51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2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49" t="s">
        <v>156</v>
      </c>
      <c r="D1" s="149"/>
      <c r="E1" s="149"/>
      <c r="F1" s="148" t="s">
        <v>157</v>
      </c>
      <c r="G1" s="148"/>
      <c r="H1" s="148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2" t="s">
        <v>146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">
      <c r="A5" s="150" t="s">
        <v>147</v>
      </c>
      <c r="B5" s="150"/>
      <c r="C5" s="150"/>
      <c r="D5" s="150"/>
      <c r="E5" s="150"/>
      <c r="F5" s="6"/>
      <c r="G5" s="143" t="s">
        <v>136</v>
      </c>
      <c r="H5" s="143"/>
      <c r="I5" s="143"/>
      <c r="J5" s="143"/>
      <c r="K5" s="143"/>
      <c r="L5" s="143"/>
      <c r="M5" s="143"/>
    </row>
    <row r="6" spans="1:15" ht="15" x14ac:dyDescent="0.25">
      <c r="A6" s="124" t="s">
        <v>148</v>
      </c>
      <c r="B6" s="124"/>
      <c r="C6" s="124"/>
      <c r="D6" s="124"/>
      <c r="E6" s="124"/>
      <c r="F6" s="7"/>
      <c r="G6" s="138" t="s">
        <v>137</v>
      </c>
      <c r="H6" s="138"/>
      <c r="I6" s="138"/>
      <c r="J6" s="138"/>
      <c r="K6" s="138"/>
      <c r="L6" s="138"/>
      <c r="M6" s="138"/>
      <c r="N6" s="4"/>
    </row>
    <row r="7" spans="1:15" ht="15" x14ac:dyDescent="0.25">
      <c r="A7" s="124" t="s">
        <v>149</v>
      </c>
      <c r="B7" s="124"/>
      <c r="C7" s="124"/>
      <c r="D7" s="124"/>
      <c r="E7" s="124"/>
      <c r="F7" s="63"/>
      <c r="G7" s="138" t="s">
        <v>138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150</v>
      </c>
      <c r="B8" s="8"/>
      <c r="C8" s="8"/>
      <c r="D8" s="8"/>
      <c r="E8" s="8"/>
      <c r="F8" s="63"/>
      <c r="G8" s="7" t="s">
        <v>139</v>
      </c>
      <c r="H8" s="23"/>
      <c r="I8" s="23"/>
      <c r="J8" s="23"/>
      <c r="K8" s="23"/>
      <c r="L8" s="23"/>
      <c r="M8" s="23"/>
    </row>
    <row r="9" spans="1:15" ht="15" x14ac:dyDescent="0.25">
      <c r="A9" s="8" t="s">
        <v>151</v>
      </c>
      <c r="B9" s="8"/>
      <c r="C9" s="8"/>
      <c r="D9" s="8"/>
      <c r="E9" s="8"/>
      <c r="F9" s="7"/>
      <c r="G9" s="7" t="s">
        <v>140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152</v>
      </c>
      <c r="B10" s="124"/>
      <c r="C10" s="124"/>
      <c r="D10" s="124"/>
      <c r="E10" s="124"/>
      <c r="F10" s="7"/>
      <c r="G10" s="7" t="s">
        <v>141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153</v>
      </c>
      <c r="B11" s="8"/>
      <c r="C11" s="8"/>
      <c r="D11" s="8"/>
      <c r="E11" s="8"/>
      <c r="F11" s="7"/>
      <c r="G11" s="7" t="s">
        <v>142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2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">
      <c r="A14" s="150" t="s">
        <v>147</v>
      </c>
      <c r="B14" s="150"/>
      <c r="C14" s="150"/>
      <c r="D14" s="150"/>
      <c r="E14" s="150"/>
      <c r="F14" s="6"/>
      <c r="G14" s="143" t="s">
        <v>123</v>
      </c>
      <c r="H14" s="143"/>
      <c r="I14" s="143"/>
      <c r="J14" s="143"/>
      <c r="K14" s="143"/>
      <c r="L14" s="143"/>
      <c r="M14" s="143"/>
    </row>
    <row r="15" spans="1:15" ht="13.9" customHeight="1" x14ac:dyDescent="0.25">
      <c r="A15" s="124" t="s">
        <v>148</v>
      </c>
      <c r="B15" s="124"/>
      <c r="C15" s="124"/>
      <c r="D15" s="124"/>
      <c r="E15" s="124"/>
      <c r="F15" s="7"/>
      <c r="G15" s="138" t="s">
        <v>124</v>
      </c>
      <c r="H15" s="140"/>
      <c r="I15" s="140"/>
      <c r="J15" s="140"/>
      <c r="K15" s="140"/>
      <c r="L15" s="140"/>
      <c r="M15" s="140"/>
    </row>
    <row r="16" spans="1:15" ht="15" x14ac:dyDescent="0.25">
      <c r="A16" s="124" t="s">
        <v>149</v>
      </c>
      <c r="B16" s="124"/>
      <c r="C16" s="124"/>
      <c r="D16" s="124"/>
      <c r="E16" s="124"/>
      <c r="F16" s="63"/>
      <c r="G16" s="138" t="s">
        <v>125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150</v>
      </c>
      <c r="B17" s="8"/>
      <c r="C17" s="8"/>
      <c r="D17" s="8"/>
      <c r="E17" s="8"/>
      <c r="F17" s="63"/>
      <c r="G17" s="7" t="s">
        <v>126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151</v>
      </c>
      <c r="B18" s="8"/>
      <c r="C18" s="8"/>
      <c r="D18" s="8"/>
      <c r="E18" s="8"/>
      <c r="F18" s="7"/>
      <c r="G18" s="8" t="s">
        <v>127</v>
      </c>
      <c r="H18" s="8"/>
      <c r="I18" s="8"/>
      <c r="J18" s="8"/>
      <c r="K18" s="8"/>
      <c r="L18" s="8"/>
      <c r="M18" s="8"/>
    </row>
    <row r="19" spans="1:17" ht="15" x14ac:dyDescent="0.25">
      <c r="A19" s="124" t="s">
        <v>152</v>
      </c>
      <c r="B19" s="124"/>
      <c r="C19" s="124"/>
      <c r="D19" s="124"/>
      <c r="E19" s="124"/>
      <c r="F19" s="7"/>
      <c r="G19" s="7" t="s">
        <v>128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153</v>
      </c>
      <c r="B20" s="8"/>
      <c r="C20" s="8"/>
      <c r="D20" s="8"/>
      <c r="E20" s="8"/>
      <c r="F20" s="7"/>
      <c r="G20" s="7" t="s">
        <v>129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5" t="s">
        <v>119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1:17" ht="15.75" x14ac:dyDescent="0.25">
      <c r="A24" s="20" t="s">
        <v>22</v>
      </c>
      <c r="C24" s="18" t="s">
        <v>159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6" t="s">
        <v>158</v>
      </c>
      <c r="F26" s="137"/>
      <c r="G26" s="137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2.25" x14ac:dyDescent="0.2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30" x14ac:dyDescent="0.2">
      <c r="A30" s="126">
        <v>1</v>
      </c>
      <c r="B30" s="101" t="s">
        <v>131</v>
      </c>
      <c r="C30" s="107" t="s">
        <v>130</v>
      </c>
      <c r="D30" s="109" t="s">
        <v>111</v>
      </c>
      <c r="E30" s="101">
        <v>2555</v>
      </c>
      <c r="F30" s="115" t="s">
        <v>27</v>
      </c>
      <c r="G30" s="106">
        <v>16300</v>
      </c>
      <c r="H30" s="106">
        <v>14767</v>
      </c>
      <c r="I30" s="108">
        <v>1</v>
      </c>
      <c r="J30" s="13">
        <f t="shared" ref="J30:J31" si="0">H30*I30</f>
        <v>14767</v>
      </c>
      <c r="K30" s="12">
        <v>0</v>
      </c>
      <c r="L30" s="12">
        <v>0</v>
      </c>
      <c r="M30" s="13">
        <f t="shared" ref="M30:M31" si="1">J30</f>
        <v>14767</v>
      </c>
      <c r="O30" s="100"/>
      <c r="Q30" s="100"/>
    </row>
    <row r="31" spans="1:17" ht="30" x14ac:dyDescent="0.2">
      <c r="A31" s="126">
        <v>2</v>
      </c>
      <c r="B31" s="101" t="s">
        <v>131</v>
      </c>
      <c r="C31" s="107" t="s">
        <v>130</v>
      </c>
      <c r="D31" s="109" t="s">
        <v>111</v>
      </c>
      <c r="E31" s="101">
        <v>705</v>
      </c>
      <c r="F31" s="115" t="s">
        <v>27</v>
      </c>
      <c r="G31" s="106">
        <v>6300</v>
      </c>
      <c r="H31" s="106">
        <v>5807</v>
      </c>
      <c r="I31" s="108">
        <v>1</v>
      </c>
      <c r="J31" s="13">
        <f t="shared" si="0"/>
        <v>5807</v>
      </c>
      <c r="K31" s="12">
        <v>0</v>
      </c>
      <c r="L31" s="12">
        <v>0</v>
      </c>
      <c r="M31" s="13">
        <f t="shared" si="1"/>
        <v>5807</v>
      </c>
      <c r="O31" s="100"/>
      <c r="Q31" s="100"/>
    </row>
    <row r="32" spans="1:17" ht="14.25" x14ac:dyDescent="0.2">
      <c r="A32" s="146" t="s">
        <v>0</v>
      </c>
      <c r="B32" s="147"/>
      <c r="C32" s="14"/>
      <c r="D32" s="15"/>
      <c r="E32" s="64">
        <f>SUM(E30:E31)</f>
        <v>3260</v>
      </c>
      <c r="F32" s="15"/>
      <c r="G32" s="64">
        <f>SUM(G30:G31)</f>
        <v>22600</v>
      </c>
      <c r="H32" s="64">
        <f>SUM(H30:H31)</f>
        <v>20574</v>
      </c>
      <c r="I32" s="102"/>
      <c r="J32" s="17">
        <f>SUM(J30:J31)</f>
        <v>20574</v>
      </c>
      <c r="K32" s="16"/>
      <c r="L32" s="16"/>
      <c r="M32" s="17">
        <f>SUM(M30:M31)</f>
        <v>20574</v>
      </c>
      <c r="P32" s="66"/>
    </row>
    <row r="33" spans="1:14" ht="13.5" x14ac:dyDescent="0.25">
      <c r="A33" s="2" t="s">
        <v>17</v>
      </c>
      <c r="B33" s="3"/>
      <c r="C33" s="11"/>
      <c r="D33" s="11"/>
      <c r="E33" s="144" t="str">
        <f>Лист1!B3</f>
        <v>Двадцать тысяч пятьсот семьдесят четыре доллара США,00 центов.</v>
      </c>
      <c r="F33" s="145"/>
      <c r="G33" s="145"/>
      <c r="H33" s="145"/>
      <c r="I33" s="145"/>
      <c r="J33" s="145"/>
      <c r="K33" s="145"/>
      <c r="L33" s="145"/>
      <c r="M33" s="145"/>
    </row>
    <row r="34" spans="1:14" ht="20.25" customHeight="1" x14ac:dyDescent="0.2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</row>
    <row r="35" spans="1:14" ht="25.5" customHeight="1" x14ac:dyDescent="0.2">
      <c r="A35" s="139" t="s">
        <v>160</v>
      </c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26"/>
    </row>
    <row r="37" spans="1:14" ht="15" x14ac:dyDescent="0.25">
      <c r="A37" s="7" t="s">
        <v>28</v>
      </c>
      <c r="B37" s="7"/>
      <c r="D37" s="25" t="s">
        <v>154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29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B14" sqref="B14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162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145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12.08.2025г.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BEZ-F-48 от  12.08.2025г.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2555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16300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705</v>
      </c>
      <c r="D31" s="103" t="str">
        <f>+Инвойс!D31</f>
        <v>Пласт. ящик</v>
      </c>
      <c r="E31" s="103"/>
      <c r="F31" s="103" t="str">
        <f>+Инвойс!B31</f>
        <v>Виноград свежий столовых сортов</v>
      </c>
      <c r="G31" s="104" t="str">
        <f>+Инвойс!C31</f>
        <v>0806101001</v>
      </c>
      <c r="H31" s="103"/>
      <c r="I31" s="105">
        <f>+Инвойс!G31</f>
        <v>6300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 xml:space="preserve">СВХ ООО "Южно-Уральская Внешнеэкономическая Компания" 10504080 - т/п Челябинский 454108, Челябинская обл., г. Челябинск, ул. Игуменка, д. 7А
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56" t="str">
        <f>+C22</f>
        <v xml:space="preserve"> 12.08.2025г.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30350NBA/307190AA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2" sqref="F22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4" t="s">
        <v>96</v>
      </c>
      <c r="C2" s="164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5" t="str">
        <f>+Инвойс!E26</f>
        <v>30350NBA/307190AA</v>
      </c>
      <c r="C14" s="165"/>
      <c r="D14" s="165"/>
      <c r="E14" s="165"/>
      <c r="F14" s="165"/>
      <c r="G14" s="165"/>
      <c r="H14" s="166" t="s">
        <v>108</v>
      </c>
      <c r="I14" s="166"/>
      <c r="J14" s="88" t="str">
        <f>+Инвойс!F1</f>
        <v xml:space="preserve"> 12.08.2025г.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BEZ-F-48 от  12.08.2025г.</v>
      </c>
      <c r="I15" s="167"/>
      <c r="J15" s="167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2555</v>
      </c>
      <c r="G18" s="159" t="str">
        <f>+CMR!F30</f>
        <v>Виноград свежий столовых сортов</v>
      </c>
      <c r="H18" s="159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Пласт. ящик</v>
      </c>
      <c r="G19" s="157" t="str">
        <f>+Инвойс!C30</f>
        <v>0806101001</v>
      </c>
      <c r="H19" s="158"/>
      <c r="I19" s="121" t="s">
        <v>103</v>
      </c>
      <c r="J19" s="119">
        <f>+Инвойс!G30</f>
        <v>16300</v>
      </c>
    </row>
    <row r="20" spans="2:10" ht="13.5" customHeight="1" x14ac:dyDescent="0.25">
      <c r="B20" s="83"/>
      <c r="E20" s="122"/>
      <c r="F20" s="117">
        <f>+Инвойс!E31</f>
        <v>705</v>
      </c>
      <c r="G20" s="159" t="str">
        <f>+CMR!F31</f>
        <v>Виноград свежий столовых сортов</v>
      </c>
      <c r="H20" s="159"/>
      <c r="I20" s="118"/>
      <c r="J20" s="119"/>
    </row>
    <row r="21" spans="2:10" ht="13.5" customHeight="1" x14ac:dyDescent="0.25">
      <c r="B21" s="83" t="s">
        <v>104</v>
      </c>
      <c r="E21" s="122"/>
      <c r="F21" s="120" t="str">
        <f>+Инвойс!D31</f>
        <v>Пласт. ящик</v>
      </c>
      <c r="G21" s="157" t="str">
        <f>+Инвойс!C31</f>
        <v>0806101001</v>
      </c>
      <c r="H21" s="158"/>
      <c r="I21" s="121" t="s">
        <v>103</v>
      </c>
      <c r="J21" s="119">
        <f>+Инвойс!G31</f>
        <v>6300</v>
      </c>
    </row>
    <row r="22" spans="2:10" ht="12.75" customHeight="1" x14ac:dyDescent="0.25">
      <c r="B22" s="83"/>
      <c r="E22" s="122"/>
      <c r="F22" s="117"/>
      <c r="G22" s="159"/>
      <c r="H22" s="159"/>
      <c r="I22" s="118"/>
      <c r="J22" s="119"/>
    </row>
    <row r="23" spans="2:10" ht="14.25" customHeight="1" x14ac:dyDescent="0.25">
      <c r="B23" s="83"/>
      <c r="E23" s="122"/>
      <c r="F23" s="120"/>
      <c r="G23" s="157"/>
      <c r="H23" s="158"/>
      <c r="I23" s="121"/>
      <c r="J23" s="119"/>
    </row>
    <row r="24" spans="2:10" ht="12.75" customHeight="1" x14ac:dyDescent="0.25">
      <c r="B24" s="87"/>
      <c r="E24" s="122"/>
      <c r="F24" s="117"/>
      <c r="G24" s="159"/>
      <c r="H24" s="159"/>
      <c r="I24" s="118"/>
      <c r="J24" s="119"/>
    </row>
    <row r="25" spans="2:10" ht="12.75" customHeight="1" x14ac:dyDescent="0.25">
      <c r="B25" s="87"/>
      <c r="E25" s="122"/>
      <c r="F25" s="120"/>
      <c r="G25" s="157"/>
      <c r="H25" s="158"/>
      <c r="I25" s="121"/>
      <c r="J25" s="119"/>
    </row>
    <row r="26" spans="2:10" ht="12" customHeight="1" x14ac:dyDescent="0.25">
      <c r="B26" s="87"/>
      <c r="E26" s="122"/>
      <c r="F26" s="117"/>
      <c r="G26" s="159"/>
      <c r="H26" s="159"/>
      <c r="I26" s="118"/>
      <c r="J26" s="119"/>
    </row>
    <row r="27" spans="2:10" ht="14.25" customHeight="1" x14ac:dyDescent="0.25">
      <c r="B27" s="87"/>
      <c r="E27" s="122"/>
      <c r="F27" s="120"/>
      <c r="G27" s="157"/>
      <c r="H27" s="158"/>
      <c r="I27" s="121"/>
      <c r="J27" s="119"/>
    </row>
    <row r="28" spans="2:10" ht="12.75" customHeight="1" x14ac:dyDescent="0.25">
      <c r="B28" s="87"/>
      <c r="E28" s="122"/>
      <c r="F28" s="117"/>
      <c r="G28" s="159"/>
      <c r="H28" s="159"/>
      <c r="I28" s="118"/>
      <c r="J28" s="119"/>
    </row>
    <row r="29" spans="2:10" ht="12.75" customHeight="1" x14ac:dyDescent="0.25">
      <c r="B29" s="87"/>
      <c r="E29" s="122"/>
      <c r="F29" s="120"/>
      <c r="G29" s="157"/>
      <c r="H29" s="158"/>
      <c r="I29" s="121"/>
      <c r="J29" s="119"/>
    </row>
    <row r="30" spans="2:10" ht="12.75" customHeight="1" x14ac:dyDescent="0.25">
      <c r="B30" s="87"/>
      <c r="E30" s="122"/>
      <c r="F30" s="117"/>
      <c r="G30" s="159"/>
      <c r="H30" s="159"/>
      <c r="I30" s="118"/>
      <c r="J30" s="119"/>
    </row>
    <row r="31" spans="2:10" ht="13.5" customHeight="1" x14ac:dyDescent="0.25">
      <c r="B31" s="87"/>
      <c r="E31" s="122"/>
      <c r="F31" s="120"/>
      <c r="G31" s="157"/>
      <c r="H31" s="158"/>
      <c r="I31" s="121"/>
      <c r="J31" s="119"/>
    </row>
    <row r="32" spans="2:10" ht="13.5" customHeight="1" x14ac:dyDescent="0.25">
      <c r="B32" s="87"/>
      <c r="E32" s="122"/>
      <c r="F32" s="117"/>
      <c r="G32" s="159"/>
      <c r="H32" s="159"/>
      <c r="I32" s="118"/>
      <c r="J32" s="119"/>
    </row>
    <row r="33" spans="2:10" ht="13.5" customHeight="1" x14ac:dyDescent="0.25">
      <c r="B33" s="87"/>
      <c r="E33" s="122"/>
      <c r="F33" s="120"/>
      <c r="G33" s="157"/>
      <c r="H33" s="158"/>
      <c r="I33" s="121"/>
      <c r="J33" s="119"/>
    </row>
    <row r="34" spans="2:10" ht="13.5" customHeight="1" x14ac:dyDescent="0.25">
      <c r="B34" s="87"/>
      <c r="E34" s="122"/>
      <c r="F34" s="117"/>
      <c r="G34" s="159"/>
      <c r="H34" s="159"/>
      <c r="I34" s="118"/>
      <c r="J34" s="119"/>
    </row>
    <row r="35" spans="2:10" ht="12.75" customHeight="1" x14ac:dyDescent="0.25">
      <c r="B35" s="87"/>
      <c r="E35" s="122"/>
      <c r="F35" s="120"/>
      <c r="G35" s="157"/>
      <c r="H35" s="158"/>
      <c r="I35" s="121"/>
      <c r="J35" s="119"/>
    </row>
    <row r="36" spans="2:10" x14ac:dyDescent="0.25">
      <c r="B36" s="87"/>
      <c r="E36" s="122"/>
      <c r="F36" s="117"/>
      <c r="G36" s="159"/>
      <c r="H36" s="159"/>
      <c r="I36" s="118"/>
      <c r="J36" s="119"/>
    </row>
    <row r="37" spans="2:10" ht="13.5" customHeight="1" x14ac:dyDescent="0.25">
      <c r="B37" s="87"/>
      <c r="E37" s="122"/>
      <c r="F37" s="120"/>
      <c r="G37" s="157"/>
      <c r="H37" s="158"/>
      <c r="I37" s="121"/>
      <c r="J37" s="119"/>
    </row>
    <row r="38" spans="2:10" x14ac:dyDescent="0.25">
      <c r="B38" s="87"/>
      <c r="E38" s="122"/>
      <c r="F38" s="117"/>
      <c r="G38" s="159"/>
      <c r="H38" s="159"/>
      <c r="I38" s="118"/>
      <c r="J38" s="119"/>
    </row>
    <row r="39" spans="2:10" ht="13.5" customHeight="1" x14ac:dyDescent="0.25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25">
      <c r="B40" s="87"/>
      <c r="E40" s="122"/>
      <c r="F40" s="117"/>
      <c r="G40" s="159"/>
      <c r="H40" s="159"/>
      <c r="I40" s="118"/>
      <c r="J40" s="119"/>
    </row>
    <row r="41" spans="2:10" ht="14.25" hidden="1" customHeight="1" x14ac:dyDescent="0.25">
      <c r="B41" s="87"/>
      <c r="E41" s="122"/>
      <c r="F41" s="120"/>
      <c r="G41" s="157"/>
      <c r="H41" s="158"/>
      <c r="I41" s="121"/>
      <c r="J41" s="119"/>
    </row>
    <row r="42" spans="2:10" hidden="1" x14ac:dyDescent="0.25">
      <c r="B42" s="87"/>
      <c r="E42" s="122"/>
      <c r="F42" s="117"/>
      <c r="G42" s="159"/>
      <c r="H42" s="159"/>
      <c r="I42" s="118"/>
      <c r="J42" s="119"/>
    </row>
    <row r="43" spans="2:10" x14ac:dyDescent="0.25">
      <c r="B43" s="87"/>
      <c r="E43" s="122"/>
      <c r="F43" s="120"/>
      <c r="G43" s="157"/>
      <c r="H43" s="158"/>
      <c r="I43" s="121"/>
      <c r="J43" s="119"/>
    </row>
    <row r="44" spans="2:10" ht="9" customHeight="1" x14ac:dyDescent="0.25">
      <c r="B44" s="87"/>
      <c r="E44" s="95"/>
      <c r="F44" s="92"/>
      <c r="G44" s="161"/>
      <c r="H44" s="161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2">
        <f>+F18+F20+F22+F24+F26+F28+F30+F32+F34+F36+F38+F40+F42</f>
        <v>3260</v>
      </c>
      <c r="E47" s="163"/>
    </row>
    <row r="48" spans="2:10" ht="17.25" customHeight="1" x14ac:dyDescent="0.25">
      <c r="B48" s="160" t="s">
        <v>105</v>
      </c>
      <c r="C48" s="160"/>
      <c r="D48" s="160"/>
      <c r="E48" s="160"/>
    </row>
    <row r="49" spans="2:5" ht="21.75" customHeight="1" x14ac:dyDescent="0.25">
      <c r="B49" s="160"/>
      <c r="C49" s="160"/>
      <c r="D49" s="160"/>
      <c r="E49" s="160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zoomScale="85" zoomScaleNormal="85" workbookViewId="0">
      <selection activeCell="A32" sqref="A32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68" t="s">
        <v>161</v>
      </c>
      <c r="C1" s="168"/>
      <c r="D1" s="168"/>
      <c r="E1" s="168"/>
      <c r="F1" s="148" t="str">
        <f>+Инвойс!F1</f>
        <v xml:space="preserve"> 12.08.2025г.</v>
      </c>
      <c r="G1" s="148"/>
      <c r="H1" s="148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2" t="str">
        <f>+Инвойс!C2</f>
        <v>к контракту № EX1607 от 16.07.2025 года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">
      <c r="A5" s="150" t="str">
        <f>+Инвойс!A5</f>
        <v>OOO “BMB EXIM”</v>
      </c>
      <c r="B5" s="150"/>
      <c r="C5" s="150"/>
      <c r="D5" s="150"/>
      <c r="E5" s="150"/>
      <c r="F5" s="6"/>
      <c r="G5" s="143" t="str">
        <f>+Инвойс!G5</f>
        <v>ООО ТД «РЕСУРС»</v>
      </c>
      <c r="H5" s="143"/>
      <c r="I5" s="143"/>
      <c r="J5" s="143"/>
      <c r="K5" s="143"/>
      <c r="L5" s="143"/>
      <c r="M5" s="143"/>
    </row>
    <row r="6" spans="1:15" ht="15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5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5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5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5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51"/>
      <c r="B12" s="151"/>
      <c r="C12" s="151"/>
      <c r="D12" s="151"/>
      <c r="E12" s="151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2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">
      <c r="A14" s="150" t="str">
        <f>+Инвойс!A14</f>
        <v>OOO “BMB EXIM”</v>
      </c>
      <c r="B14" s="150"/>
      <c r="C14" s="150"/>
      <c r="D14" s="150"/>
      <c r="E14" s="150"/>
      <c r="F14" s="6"/>
      <c r="G14" s="143" t="str">
        <f>+Инвойс!G14</f>
        <v>OOO «Западные ворота»</v>
      </c>
      <c r="H14" s="143"/>
      <c r="I14" s="143"/>
      <c r="J14" s="143"/>
      <c r="K14" s="143"/>
      <c r="L14" s="143"/>
      <c r="M14" s="143"/>
    </row>
    <row r="15" spans="1:15" ht="13.9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5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5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5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5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70" t="s">
        <v>114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6" t="str">
        <f>+Инвойс!E26</f>
        <v>30350NBA/307190AA</v>
      </c>
      <c r="F26" s="137"/>
      <c r="G26" s="137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2.25" x14ac:dyDescent="0.2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30" x14ac:dyDescent="0.2">
      <c r="A30" s="126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4" t="str">
        <f>+Инвойс!D30</f>
        <v>Пласт. ящик</v>
      </c>
      <c r="E30" s="101">
        <f>+Инвойс!E30</f>
        <v>2555</v>
      </c>
      <c r="F30" s="115" t="str">
        <f>+Инвойс!F30</f>
        <v>кг</v>
      </c>
      <c r="G30" s="106">
        <f>+Инвойс!G30</f>
        <v>16300</v>
      </c>
      <c r="H30" s="106">
        <f>+Инвойс!H30</f>
        <v>14767</v>
      </c>
      <c r="I30" s="108">
        <f>+Инвойс!I30</f>
        <v>1</v>
      </c>
      <c r="J30" s="13">
        <f>+Инвойс!J30</f>
        <v>14767</v>
      </c>
      <c r="K30" s="12">
        <v>0</v>
      </c>
      <c r="L30" s="12">
        <v>0</v>
      </c>
      <c r="M30" s="13">
        <f>+Инвойс!M30</f>
        <v>14767</v>
      </c>
      <c r="O30" s="100"/>
      <c r="Q30" s="100"/>
    </row>
    <row r="31" spans="1:17" ht="30" x14ac:dyDescent="0.2">
      <c r="A31" s="126">
        <f>+Инвойс!A31</f>
        <v>2</v>
      </c>
      <c r="B31" s="101" t="str">
        <f>+Инвойс!B31</f>
        <v>Виноград свежий столовых сортов</v>
      </c>
      <c r="C31" s="107" t="str">
        <f>+Инвойс!C31</f>
        <v>0806101001</v>
      </c>
      <c r="D31" s="114" t="str">
        <f>+Инвойс!D31</f>
        <v>Пласт. ящик</v>
      </c>
      <c r="E31" s="101">
        <f>+Инвойс!E31</f>
        <v>705</v>
      </c>
      <c r="F31" s="115" t="str">
        <f>+Инвойс!F31</f>
        <v>кг</v>
      </c>
      <c r="G31" s="106">
        <f>+Инвойс!G31</f>
        <v>6300</v>
      </c>
      <c r="H31" s="106">
        <f>+Инвойс!H31</f>
        <v>5807</v>
      </c>
      <c r="I31" s="108">
        <f>+Инвойс!I31</f>
        <v>1</v>
      </c>
      <c r="J31" s="13">
        <f>+Инвойс!J31</f>
        <v>5807</v>
      </c>
      <c r="K31" s="12">
        <v>0</v>
      </c>
      <c r="L31" s="12">
        <v>0</v>
      </c>
      <c r="M31" s="13">
        <f>+Инвойс!M31</f>
        <v>5807</v>
      </c>
      <c r="O31" s="100"/>
      <c r="Q31" s="100"/>
    </row>
    <row r="32" spans="1:17" ht="14.25" x14ac:dyDescent="0.2">
      <c r="A32" s="146" t="s">
        <v>0</v>
      </c>
      <c r="B32" s="147"/>
      <c r="C32" s="14"/>
      <c r="D32" s="15"/>
      <c r="E32" s="64">
        <f>SUM(E30:E31)</f>
        <v>3260</v>
      </c>
      <c r="F32" s="15"/>
      <c r="G32" s="64">
        <f>SUM(G30:G31)</f>
        <v>22600</v>
      </c>
      <c r="H32" s="64">
        <f>SUM(H30:H31)</f>
        <v>20574</v>
      </c>
      <c r="I32" s="102"/>
      <c r="J32" s="17">
        <f>SUM(J30:J31)</f>
        <v>20574</v>
      </c>
      <c r="K32" s="16"/>
      <c r="L32" s="16"/>
      <c r="M32" s="17">
        <f>SUM(M30:M31)</f>
        <v>20574</v>
      </c>
      <c r="P32" s="66"/>
    </row>
    <row r="33" spans="1:14" ht="13.5" x14ac:dyDescent="0.25">
      <c r="A33" s="2" t="s">
        <v>17</v>
      </c>
      <c r="B33" s="3"/>
      <c r="C33" s="11"/>
      <c r="D33" s="11"/>
      <c r="E33" s="144" t="str">
        <f>Лист1!B3</f>
        <v>Двадцать тысяч пятьсот семьдесят четыре доллара США,00 центов.</v>
      </c>
      <c r="F33" s="145"/>
      <c r="G33" s="145"/>
      <c r="H33" s="145"/>
      <c r="I33" s="145"/>
      <c r="J33" s="145"/>
      <c r="K33" s="145"/>
      <c r="L33" s="145"/>
      <c r="M33" s="145"/>
    </row>
    <row r="34" spans="1:14" ht="20.25" customHeight="1" x14ac:dyDescent="0.2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</row>
    <row r="35" spans="1:14" ht="25.5" customHeight="1" x14ac:dyDescent="0.2">
      <c r="A35" s="139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26"/>
    </row>
    <row r="37" spans="1:14" ht="15.75" x14ac:dyDescent="0.25">
      <c r="A37" s="7" t="s">
        <v>155</v>
      </c>
      <c r="B37" s="7"/>
      <c r="D37" s="25" t="s">
        <v>154</v>
      </c>
      <c r="E37" s="24"/>
      <c r="G37" s="128" t="s">
        <v>143</v>
      </c>
      <c r="H37" t="str">
        <f>Инвойс!G5</f>
        <v>ООО ТД «РЕСУРС»</v>
      </c>
      <c r="K37" s="129" t="s">
        <v>144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11" sqref="A11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5" t="s">
        <v>115</v>
      </c>
    </row>
    <row r="3" spans="1:1" ht="51" x14ac:dyDescent="0.2">
      <c r="A3" s="130" t="s">
        <v>135</v>
      </c>
    </row>
    <row r="5" spans="1:1" ht="38.25" x14ac:dyDescent="0.2">
      <c r="A5" s="125" t="s">
        <v>116</v>
      </c>
    </row>
    <row r="7" spans="1:1" ht="51" x14ac:dyDescent="0.2">
      <c r="A7" s="125" t="s">
        <v>117</v>
      </c>
    </row>
    <row r="9" spans="1:1" ht="51" x14ac:dyDescent="0.2">
      <c r="A9" s="125" t="s">
        <v>118</v>
      </c>
    </row>
    <row r="10" spans="1:1" x14ac:dyDescent="0.2">
      <c r="A10" s="125"/>
    </row>
    <row r="11" spans="1:1" ht="51" x14ac:dyDescent="0.2">
      <c r="A11" s="125" t="s">
        <v>119</v>
      </c>
    </row>
    <row r="13" spans="1:1" ht="51" x14ac:dyDescent="0.2">
      <c r="A13" s="125" t="s">
        <v>120</v>
      </c>
    </row>
    <row r="15" spans="1:1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Инвойс!M32</f>
        <v>20574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тысяч пятьсот семьдесят четыре доллара США,00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45881</v>
      </c>
      <c r="O3" s="175"/>
      <c r="P3">
        <f ca="1">DAY(N3)</f>
        <v>12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Двадцать тысяч пятьсот семьдесят четыре доллара США,00 центов. (в т.ч. НДС - 357,79)</v>
      </c>
      <c r="H4" s="32"/>
      <c r="I4" s="32"/>
      <c r="J4" s="32"/>
      <c r="K4" s="176" t="str">
        <f ca="1">CONCATENATE(" «  ",P3,"  »  ",Q3,"  ",R3," г.")</f>
        <v xml:space="preserve"> «  12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тысяч пятьсот семьдесят четыре доллара США,00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тысяч пятьсот семьдесят четыре доллара США,00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пятьсот семьдесят четыре доллара США,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45881</v>
      </c>
    </row>
    <row r="13" spans="1:19" s="43" customFormat="1" x14ac:dyDescent="0.2">
      <c r="A13" s="49"/>
      <c r="D13" s="51"/>
      <c r="E13" s="52">
        <f>TRUNC(E2)</f>
        <v>20574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205</v>
      </c>
      <c r="B27" s="47">
        <f>TRUNC(RIGHT(A27))</f>
        <v>5</v>
      </c>
      <c r="C27" s="51">
        <f>B27</f>
        <v>5</v>
      </c>
      <c r="E27" s="55" t="str">
        <f>IF(B27=1,E43,IF(B27=2,G35,IF(B27=3,G36,IF(B27=4,G37,IF(B27=5,G38,IF(B27=6,G39,IF(B27=7,G40,IF(B27=8,G41,G42))))))))</f>
        <v xml:space="preserve">пятьсот </v>
      </c>
    </row>
    <row r="28" spans="1:9" s="43" customFormat="1" x14ac:dyDescent="0.2">
      <c r="A28" s="54">
        <f>TRUNC(A29/10)</f>
        <v>2057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">
      <c r="A29" s="54">
        <f>E13</f>
        <v>20574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574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2025-08-12T05:26:03Z</cp:lastPrinted>
  <dcterms:created xsi:type="dcterms:W3CDTF">1996-10-14T23:33:28Z</dcterms:created>
  <dcterms:modified xsi:type="dcterms:W3CDTF">2025-08-12T05:26:05Z</dcterms:modified>
</cp:coreProperties>
</file>