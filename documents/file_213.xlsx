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617BB0D-69F3-46C1-AE3B-45ABB63776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<sst xmlns="http://schemas.openxmlformats.org/spreadsheetml/2006/main" count="207" uniqueCount="165">
  <si>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</si>
  <si>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</si>
  <si>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</si>
  <si>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</si>
  <si>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</si>
  <si>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</si>
  <si>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</si>
  <si>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</si>
  <si>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</si>
  <si>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</si>
  <si>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</si>
  <si>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</si>
  <si>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</si>
  <si>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</si>
  <si>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</si>
  <si>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</si>
  <si>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</si>
  <si>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</si>
  <si>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</si>
  <si>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</si>
  <si>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</si>
  <si>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</si>
  <si>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</si>
  <si>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</si>
  <si>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</si>
  <si>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</si>
  <si>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</si>
  <si>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</si>
  <si>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</si>
  <si>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</si>
  <si>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</si>
  <si>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</si>
  <si>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</si>
  <si>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</si>
  <si>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</si>
  <si>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</si>
  <si>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</si>
  <si>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</si>
  <si>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</si>
  <si>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</si>
  <si>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</si>
  <si>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</si>
  <si>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</si>
  <si>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</si>
  <si>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</si>
  <si>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</si>
  <si>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</si>
  <si>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</si>
  <si>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</si>
  <si>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</si>
  <si>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</si>
  <si>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</si>
  <si>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</si>
  <si>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</si>
  <si>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</si>
  <si>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</si>
  <si>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</si>
  <si>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</si>
  <si>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</si>
  <si>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</si>
  <si>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</si>
  <si>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</si>
  <si>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</si>
  <si>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</si>
  <si>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</si>
  <si>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</si>
  <si>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</si>
  <si>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</si>
  <si>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</si>
  <si>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</si>
  <si>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</si>
  <si>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</si>
  <si>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</si>
  <si>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</si>
  <si>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</si>
  <si>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</si>
  <si>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</si>
  <si>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</si>
  <si>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</si>
  <si>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</si>
  <si>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</si>
  <si>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</si>
  <si>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</si>
  <si>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</si>
  <si>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</si>
  <si>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</si>
  <si>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</si>
  <si>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</si>
  <si>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</si>
  <si>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</si>
  <si>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</si>
  <si>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</si>
  <si>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</si>
  <si>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</si>
  <si>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</si>
  <si>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</si>
  <si>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</si>
  <si>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</si>
  <si>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</si>
  <si>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</si>
  <si>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</si>
  <si>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</si>
  <si>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</si>
  <si>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</si>
  <si>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</si>
  <si>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</si>
  <si>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</si>
  <si>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</si>
  <si>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</si>
  <si>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</si>
  <si>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</si>
  <si>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</si>
  <si>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</si>
  <si>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</si>
  <si>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</si>
  <si>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</si>
  <si>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</si>
  <si>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</si>
  <si>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</si>
  <si>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</si>
  <si>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</si>
  <si>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</si>
  <si>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</si>
  <si>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</si>
  <si>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</si>
  <si>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</si>
  <si>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</si>
  <si>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</si>
  <si>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</si>
  <si>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</si>
  <si>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</si>
  <si>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</si>
  <si>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</si>
  <si>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</si>
  <si>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</si>
  <si>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</si>
  <si>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</si>
  <si>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</si>
  <si>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</si>
  <si>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</si>
  <si>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</si>
  <si>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</si>
  <si>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</si>
  <si>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</si>
  <si>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</si>
  <si>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</si>
  <si>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</si>
  <si>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</si>
  <si>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</si>
  <si>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</si>
  <si>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</si>
  <si>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</si>
  <si>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</si>
  <si>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</si>
  <si>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</si>
  <si>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</si>
  <si>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</si>
  <si>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</si>
  <si>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BEZ-O-17 от </t>
  </si>
  <si>
    <t xml:space="preserve"> 13.08.2025г.</t>
  </si>
  <si>
    <t>90208HBA/901212BA</t>
  </si>
  <si>
    <t>DAP - с Амандык , Республика Казахстан</t>
  </si>
  <si>
    <t>Навалом</t>
  </si>
  <si>
    <t>-</t>
  </si>
  <si>
    <t xml:space="preserve">СПЕЦИФИКАЦИЯ № BEZ-O-17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</si>
</sst>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38</xdr:row>
      <xdr:rowOff>22411</xdr:rowOff>
    </xdr:from>
    <xdr:to>
      <xdr:col>4</xdr:col>
      <xdr:colOff>159123</xdr:colOff>
      <xdr:row>48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38</xdr:row>
      <xdr:rowOff>56030</xdr:rowOff>
    </xdr:from>
    <xdr:to>
      <xdr:col>3</xdr:col>
      <xdr:colOff>268941</xdr:colOff>
      <xdr:row>51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8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137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21850</v>
      </c>
      <c r="H30" s="106">
        <v>20140</v>
      </c>
      <c r="I30" s="108">
        <v>0.2</v>
      </c>
      <c r="J30" s="13">
        <f t="shared" ref="J30:J31" si="0">H30*I30</f>
        <v>4028</v>
      </c>
      <c r="K30" s="12">
        <v>0</v>
      </c>
      <c r="L30" s="12">
        <v>0</v>
      </c>
      <c r="M30" s="13">
        <f t="shared" ref="M30:M31" si="1">J30</f>
        <v>4028</v>
      </c>
      <c r="O30" s="100"/>
      <c r="Q30" s="100"/>
    </row>
    <row r="31" spans="1:17" ht="15" x14ac:dyDescent="0.2">
      <c r="A31" s="127">
        <v>2</v>
      </c>
      <c r="B31" s="101" t="s">
        <v>135</v>
      </c>
      <c r="C31" s="107" t="s">
        <v>136</v>
      </c>
      <c r="D31" s="109" t="s">
        <v>162</v>
      </c>
      <c r="E31" s="101" t="s">
        <v>163</v>
      </c>
      <c r="F31" s="116" t="s">
        <v>27</v>
      </c>
      <c r="G31" s="106">
        <v>1150</v>
      </c>
      <c r="H31" s="106">
        <v>1150</v>
      </c>
      <c r="I31" s="108">
        <v>0.2</v>
      </c>
      <c r="J31" s="13">
        <f t="shared" si="0"/>
        <v>230</v>
      </c>
      <c r="K31" s="12">
        <v>0</v>
      </c>
      <c r="L31" s="12">
        <v>0</v>
      </c>
      <c r="M31" s="13">
        <f t="shared" si="1"/>
        <v>230</v>
      </c>
      <c r="O31" s="100"/>
      <c r="Q31" s="100"/>
    </row>
    <row r="32" spans="1:17" ht="14.25" x14ac:dyDescent="0.2">
      <c r="A32" s="147" t="s">
        <v>0</v>
      </c>
      <c r="B32" s="148"/>
      <c r="C32" s="14"/>
      <c r="D32" s="15"/>
      <c r="E32" s="64">
        <f>SUM(E30:E31)</f>
        <v>950</v>
      </c>
      <c r="F32" s="15"/>
      <c r="G32" s="64">
        <f>SUM(G30:G31)</f>
        <v>23000</v>
      </c>
      <c r="H32" s="64">
        <f>SUM(H30:H31)</f>
        <v>21290</v>
      </c>
      <c r="I32" s="102"/>
      <c r="J32" s="17">
        <f>SUM(J30:J31)</f>
        <v>4258</v>
      </c>
      <c r="K32" s="16"/>
      <c r="L32" s="16"/>
      <c r="M32" s="17">
        <f>SUM(M30:M31)</f>
        <v>4258</v>
      </c>
      <c r="P32" s="66"/>
    </row>
    <row r="33" spans="1:14" ht="13.5" x14ac:dyDescent="0.25">
      <c r="A33" s="2" t="s">
        <v>17</v>
      </c>
      <c r="B33" s="3"/>
      <c r="C33" s="11"/>
      <c r="D33" s="11"/>
      <c r="E33" s="145" t="str">
        <f>Лист1!B3</f>
        <v>Четыре тысячи двести пятьдесят восемь долларов США, 00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 t="s">
        <v>110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" x14ac:dyDescent="0.25">
      <c r="A37" s="7" t="s">
        <v>28</v>
      </c>
      <c r="B37" s="7"/>
      <c r="D37" s="25" t="s">
        <v>156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BEZ-O-17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21850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1150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90208HBA/901212BA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33" zoomScaleNormal="100" workbookViewId="0">
      <selection activeCell="D47" sqref="D47:E4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90208HBA/901212BA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13.08.2025г.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BEZ-O-17 от  13.08.2025г.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950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21850</v>
      </c>
    </row>
    <row r="20" spans="2:10" ht="13.5" customHeight="1" x14ac:dyDescent="0.25">
      <c r="B20" s="83"/>
      <c r="E20" s="123"/>
      <c r="F20" s="118" t="str">
        <f>+Инвойс!E31</f>
        <v>-</v>
      </c>
      <c r="G20" s="160" t="str">
        <f>+CMR!F31</f>
        <v>Дыни свежие</v>
      </c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Навалом</v>
      </c>
      <c r="G21" s="158" t="str">
        <f>+Инвойс!C31</f>
        <v>0807190001</v>
      </c>
      <c r="H21" s="159"/>
      <c r="I21" s="122" t="s">
        <v>103</v>
      </c>
      <c r="J21" s="120">
        <f>+Инвойс!G31</f>
        <v>1150</v>
      </c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v>950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24" zoomScale="85" zoomScaleNormal="85" workbookViewId="0">
      <selection activeCell="A32" sqref="A32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164</v>
      </c>
      <c r="C1" s="169"/>
      <c r="D1" s="169"/>
      <c r="E1" s="169"/>
      <c r="F1" s="149" t="str">
        <f>+Инвойс!F1</f>
        <v xml:space="preserve"> 13.08.2025г.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90208HBA/901212BA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21850</v>
      </c>
      <c r="H30" s="106">
        <f>+Инвойс!H30</f>
        <v>20140</v>
      </c>
      <c r="I30" s="108">
        <f>+Инвойс!I30</f>
        <v>0.2</v>
      </c>
      <c r="J30" s="13">
        <f>+Инвойс!J30</f>
        <v>4028</v>
      </c>
      <c r="K30" s="12">
        <v>0</v>
      </c>
      <c r="L30" s="12">
        <v>0</v>
      </c>
      <c r="M30" s="13">
        <f>+Инвойс!M30</f>
        <v>4028</v>
      </c>
      <c r="O30" s="100"/>
      <c r="Q30" s="100"/>
    </row>
    <row r="31" spans="1:17" ht="15" x14ac:dyDescent="0.2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1150</v>
      </c>
      <c r="H31" s="106">
        <f>+Инвойс!H31</f>
        <v>1150</v>
      </c>
      <c r="I31" s="108">
        <f>+Инвойс!I31</f>
        <v>0.2</v>
      </c>
      <c r="J31" s="13">
        <f>+Инвойс!J31</f>
        <v>230</v>
      </c>
      <c r="K31" s="12">
        <v>0</v>
      </c>
      <c r="L31" s="12">
        <v>0</v>
      </c>
      <c r="M31" s="13">
        <f>+Инвойс!M31</f>
        <v>230</v>
      </c>
      <c r="O31" s="100"/>
      <c r="Q31" s="100"/>
    </row>
    <row r="32" spans="1:17" ht="14.25" x14ac:dyDescent="0.2">
      <c r="A32" s="147" t="s">
        <v>0</v>
      </c>
      <c r="B32" s="148"/>
      <c r="C32" s="14"/>
      <c r="D32" s="15"/>
      <c r="E32" s="64">
        <f>SUM(E30:E31)</f>
        <v>950</v>
      </c>
      <c r="F32" s="15"/>
      <c r="G32" s="64">
        <f>SUM(G30:G31)</f>
        <v>23000</v>
      </c>
      <c r="H32" s="64">
        <f>SUM(H30:H31)</f>
        <v>21290</v>
      </c>
      <c r="I32" s="102"/>
      <c r="J32" s="17">
        <f>SUM(J30:J31)</f>
        <v>4258</v>
      </c>
      <c r="K32" s="16"/>
      <c r="L32" s="16"/>
      <c r="M32" s="17">
        <f>SUM(M30:M31)</f>
        <v>4258</v>
      </c>
      <c r="P32" s="66"/>
    </row>
    <row r="33" spans="1:14" ht="13.5" x14ac:dyDescent="0.25">
      <c r="A33" s="2" t="s">
        <v>17</v>
      </c>
      <c r="B33" s="3"/>
      <c r="C33" s="11"/>
      <c r="D33" s="11"/>
      <c r="E33" s="145" t="str">
        <f>Лист1!B3</f>
        <v>Четыре тысячи двести пятьдесят восемь долларов США, 00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.75" x14ac:dyDescent="0.25">
      <c r="A37" s="7" t="s">
        <v>157</v>
      </c>
      <c r="B37" s="7"/>
      <c r="D37" s="25" t="s">
        <v>156</v>
      </c>
      <c r="E37" s="24"/>
      <c r="G37" s="129" t="s">
        <v>145</v>
      </c>
      <c r="H37" t="str">
        <f>Инвойс!G5</f>
        <v>ООО ТД «РЕСУРС»</v>
      </c>
      <c r="K37" s="130" t="s">
        <v>146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Инвойс!M32</f>
        <v>4258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45882</v>
      </c>
      <c r="O3" s="175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пятьдесят восемь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13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пятьдесят восемь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пятьдесят восемь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пятьдесят восемь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">
      <c r="A13" s="49"/>
      <c r="D13" s="51"/>
      <c r="E13" s="52">
        <f>TRUNC(E2)</f>
        <v>4258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4258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2025-08-13T05:44:27Z</cp:lastPrinted>
  <dcterms:created xsi:type="dcterms:W3CDTF">1996-10-14T23:33:28Z</dcterms:created>
  <dcterms:modified xsi:type="dcterms:W3CDTF">2025-08-13T05:44:29Z</dcterms:modified>
</cp:coreProperties>
</file>