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AF883FD-4CBF-443A-AD60-1078A8B82F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<sst xmlns="http://schemas.openxmlformats.org/spreadsheetml/2006/main" count="209" uniqueCount="163">
  <si>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</si>
  <si>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</si>
  <si>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</si>
  <si>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</si>
  <si>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</si>
  <si>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</si>
  <si>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</si>
  <si>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</si>
  <si>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</si>
  <si>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</si>
  <si>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</si>
  <si>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</si>
  <si>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</si>
  <si>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</si>
  <si>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</si>
  <si>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</si>
  <si>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</si>
  <si>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</si>
  <si>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</si>
  <si>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</si>
  <si>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</si>
  <si>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</si>
  <si>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</si>
  <si>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</si>
  <si>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</si>
  <si>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</si>
  <si>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</si>
  <si>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</si>
  <si>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</si>
  <si>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</si>
  <si>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</si>
  <si>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</si>
  <si>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</si>
  <si>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</si>
  <si>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</si>
  <si>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</si>
  <si>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</si>
  <si>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</si>
  <si>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</si>
  <si>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</si>
  <si>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</si>
  <si>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</si>
  <si>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</si>
  <si>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</si>
  <si>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</si>
  <si>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</si>
  <si>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</si>
  <si>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</si>
  <si>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</si>
  <si>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</si>
  <si>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</si>
  <si>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</si>
  <si>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</si>
  <si>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</si>
  <si>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</si>
  <si>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</si>
  <si>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</si>
  <si>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</si>
  <si>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</si>
  <si>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</si>
  <si>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</si>
  <si>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</si>
  <si>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</si>
  <si>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</si>
  <si>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</si>
  <si>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</si>
  <si>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</si>
  <si>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</si>
  <si>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</si>
  <si>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</si>
  <si>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</si>
  <si>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</si>
  <si>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</si>
  <si>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</si>
  <si>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</si>
  <si>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</si>
  <si>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</si>
  <si>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</si>
  <si>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</si>
  <si>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</si>
  <si>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</si>
  <si>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</si>
  <si>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</si>
  <si>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</si>
  <si>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</si>
  <si>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</si>
  <si>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</si>
  <si>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</si>
  <si>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</si>
  <si>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</si>
  <si>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</si>
  <si>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</si>
  <si>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</si>
  <si>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</si>
  <si>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</si>
  <si>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</si>
  <si>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</si>
  <si>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</si>
  <si>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</si>
  <si>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</si>
  <si>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</si>
  <si>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</si>
  <si>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</si>
  <si>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</si>
  <si>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</si>
  <si>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</si>
  <si>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</si>
  <si>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</si>
  <si>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</si>
  <si>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</si>
  <si>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</si>
  <si>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</si>
  <si>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</si>
  <si>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</si>
  <si>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</si>
  <si>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</si>
  <si>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</si>
  <si>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</si>
  <si>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</si>
  <si>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</si>
  <si>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</si>
  <si>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</si>
  <si>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</si>
  <si>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</si>
  <si>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</si>
  <si>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</si>
  <si>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</si>
  <si>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</si>
  <si>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</si>
  <si>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</si>
  <si>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</si>
  <si>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</si>
  <si>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</si>
  <si>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</si>
  <si>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</si>
  <si>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</si>
  <si>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</si>
  <si>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</si>
  <si>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</si>
  <si>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</si>
  <si>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</si>
  <si>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</si>
  <si>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</si>
  <si>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</si>
  <si>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</si>
  <si>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</si>
  <si>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</si>
  <si>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</si>
  <si>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</si>
  <si>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</si>
  <si>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</si>
  <si>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</si>
  <si>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</si>
  <si>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</si>
  <si>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</si>
  <si>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</si>
  <si>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</si>
  <si>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</si>
  <si>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</si>
  <si>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04.09.2025г.</t>
  </si>
  <si>
    <t>90073QBA/905538BA</t>
  </si>
  <si>
    <t xml:space="preserve">ИНВОЙС № GWG-O-9 от </t>
  </si>
  <si>
    <t xml:space="preserve">СПЕЦИФИКАЦИЯ № GWG-O-9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</si>
</sst>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161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148</v>
      </c>
      <c r="B5" s="154"/>
      <c r="C5" s="154"/>
      <c r="D5" s="154"/>
      <c r="E5" s="154"/>
      <c r="F5" s="6"/>
      <c r="G5" s="147" t="s">
        <v>130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2" t="s">
        <v>131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2" t="s">
        <v>132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137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148</v>
      </c>
      <c r="B14" s="154"/>
      <c r="C14" s="154"/>
      <c r="D14" s="154"/>
      <c r="E14" s="154"/>
      <c r="F14" s="6"/>
      <c r="G14" s="147" t="s">
        <v>130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2" t="s">
        <v>131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2" t="s">
        <v>132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137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126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146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160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1000</v>
      </c>
      <c r="F30" s="110" t="s">
        <v>27</v>
      </c>
      <c r="G30" s="106">
        <v>22800</v>
      </c>
      <c r="H30" s="106">
        <v>21000</v>
      </c>
      <c r="I30" s="108">
        <v>0.25</v>
      </c>
      <c r="J30" s="13">
        <f t="shared" ref="J30" si="0">H30*I30</f>
        <v>5250</v>
      </c>
      <c r="K30" s="12">
        <v>0</v>
      </c>
      <c r="L30" s="12">
        <v>0</v>
      </c>
      <c r="M30" s="13">
        <f t="shared" ref="M30" si="1">J30</f>
        <v>5250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22800</v>
      </c>
      <c r="H31" s="64">
        <f>SUM(H30:H30)</f>
        <v>21000</v>
      </c>
      <c r="I31" s="102"/>
      <c r="J31" s="17">
        <f>SUM(J30:J30)</f>
        <v>5250</v>
      </c>
      <c r="K31" s="16"/>
      <c r="L31" s="16"/>
      <c r="M31" s="17">
        <f>SUM(M30:M30)</f>
        <v>5250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пятьдесят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GWG-O-9 от  04.09.2025г.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04.09.2025г.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90073QBA/905538BA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G34" sqref="G34:H3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90073QBA/905538BA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GWG-O-9 от  04.09.2025г.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22800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1000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31" zoomScale="85" zoomScaleNormal="85" workbookViewId="0">
      <selection activeCell="C32" sqref="C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2" t="str">
        <f>+Инвойс!F1</f>
        <v xml:space="preserve"> 04.09.2025г.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Джизакская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Зарбдарский район, Ровот МФЙ, ул. Лойихада дом 1/1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Р/с N 2020 8840 8055 4748 4001 USD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в «ТУРОНБАНК» АКБ Головной офис (Ташкент)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МФО: 00446, SWIFT: TUROUZ22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ИНН: 309713324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Джизакская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Зарбдарский район, Ровот МФЙ, ул. Лойихада дом 1/1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Р/с N 2020 8840 8055 4748 4001 USD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в «ТУРОНБАНК» АКБ Головной офис (Ташкент)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МФО: 00446, SWIFT: TUROUZ22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ИНН: 309713324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90073QBA/905538BA</v>
      </c>
      <c r="F26" s="141"/>
      <c r="G26" s="141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4.6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22800</v>
      </c>
      <c r="H30" s="106">
        <f>+Инвойс!H30</f>
        <v>21000</v>
      </c>
      <c r="I30" s="108">
        <f>+Инвойс!I30</f>
        <v>0.25</v>
      </c>
      <c r="J30" s="13">
        <f>+Инвойс!J30</f>
        <v>5250</v>
      </c>
      <c r="K30" s="12">
        <v>0</v>
      </c>
      <c r="L30" s="12">
        <v>0</v>
      </c>
      <c r="M30" s="13">
        <f>+Инвойс!M30</f>
        <v>5250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22800</v>
      </c>
      <c r="H31" s="64">
        <f>SUM(H30:H30)</f>
        <v>21000</v>
      </c>
      <c r="I31" s="102"/>
      <c r="J31" s="17">
        <f>SUM(J30:J30)</f>
        <v>5250</v>
      </c>
      <c r="K31" s="16"/>
      <c r="L31" s="16"/>
      <c r="M31" s="17">
        <f>SUM(M30:M30)</f>
        <v>5250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пятьдесят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12" sqref="E12:F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5250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пятьдесят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45904</v>
      </c>
      <c r="O3" s="178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пятьдесят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4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пятьдесят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пятьдесят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пятьдесят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5250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5250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2025-09-04T05:25:35Z</cp:lastPrinted>
  <dcterms:created xsi:type="dcterms:W3CDTF">1996-10-14T23:33:28Z</dcterms:created>
  <dcterms:modified xsi:type="dcterms:W3CDTF">2025-09-04T05:25:47Z</dcterms:modified>
</cp:coreProperties>
</file>