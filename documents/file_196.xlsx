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F97201-D4D9-4240-BEBA-B035A7DB3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<sst xmlns="http://schemas.openxmlformats.org/spreadsheetml/2006/main" count="201" uniqueCount="163">
  <si>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</si>
  <si>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</si>
  <si>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</si>
  <si>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</si>
  <si>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</si>
  <si>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</si>
  <si>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</si>
  <si>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</si>
  <si>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</si>
  <si>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</si>
  <si>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</si>
  <si>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</si>
  <si>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</si>
  <si>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</si>
  <si>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</si>
  <si>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</si>
  <si>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</si>
  <si>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</si>
  <si>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</si>
  <si>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</si>
  <si>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</si>
  <si>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</si>
  <si>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</si>
  <si>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</si>
  <si>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</si>
  <si>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</si>
  <si>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</si>
  <si>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</si>
  <si>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</si>
  <si>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</si>
  <si>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</si>
  <si>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</si>
  <si>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</si>
  <si>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</si>
  <si>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</si>
  <si>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</si>
  <si>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</si>
  <si>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</si>
  <si>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</si>
  <si>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</si>
  <si>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</si>
  <si>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</si>
  <si>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</si>
  <si>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</si>
  <si>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</si>
  <si>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</si>
  <si>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</si>
  <si>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</si>
  <si>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</si>
  <si>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</si>
  <si>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</si>
  <si>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</si>
  <si>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</si>
  <si>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</si>
  <si>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</si>
  <si>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</si>
  <si>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</si>
  <si>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</si>
  <si>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</si>
  <si>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</si>
  <si>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</si>
  <si>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</si>
  <si>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</si>
  <si>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</si>
  <si>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</si>
  <si>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</si>
  <si>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</si>
  <si>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</si>
  <si>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</si>
  <si>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</si>
  <si>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</si>
  <si>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</si>
  <si>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</si>
  <si>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</si>
  <si>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</si>
  <si>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</si>
  <si>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</si>
  <si>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</si>
  <si>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</si>
  <si>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</si>
  <si>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</si>
  <si>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</si>
  <si>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</si>
  <si>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</si>
  <si>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</si>
  <si>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</si>
  <si>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</si>
  <si>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</si>
  <si>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</si>
  <si>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</si>
  <si>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</si>
  <si>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</si>
  <si>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</si>
  <si>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</si>
  <si>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</si>
  <si>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</si>
  <si>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</si>
  <si>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</si>
  <si>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</si>
  <si>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</si>
  <si>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</si>
  <si>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</si>
  <si>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</si>
  <si>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</si>
  <si>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</si>
  <si>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</si>
  <si>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</si>
  <si>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</si>
  <si>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</si>
  <si>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</si>
  <si>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</si>
  <si>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</si>
  <si>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</si>
  <si>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</si>
  <si>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</si>
  <si>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</si>
  <si>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</si>
  <si>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</si>
  <si>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</si>
  <si>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</si>
  <si>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</si>
  <si>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</si>
  <si>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</si>
  <si>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</si>
  <si>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</si>
  <si>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</si>
  <si>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</si>
  <si>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</si>
  <si>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</si>
  <si>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</si>
  <si>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</si>
  <si>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</si>
  <si>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</si>
  <si>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</si>
  <si>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</si>
  <si>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</si>
  <si>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</si>
  <si>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</si>
  <si>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</si>
  <si>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</si>
  <si>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</si>
  <si>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</si>
  <si>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</si>
  <si>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</si>
  <si>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</si>
  <si>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</si>
  <si>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</si>
  <si>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</si>
  <si>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</si>
  <si>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</si>
  <si>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</si>
  <si>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</si>
  <si>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</si>
  <si>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</si>
  <si>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</si>
  <si>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</si>
  <si>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</si>
  <si>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BEZ-A-77 от </t>
  </si>
  <si>
    <t xml:space="preserve"> 12.08.2025г.</t>
  </si>
  <si>
    <t>DAP - с Амандык , Республика Казахстан</t>
  </si>
  <si>
    <t>70H395ZA/707976AA</t>
  </si>
  <si>
    <t xml:space="preserve">СПЕЦИФИКАЦИЯ № BEZ-A-77 от </t>
  </si>
  <si>
    <t>/г. Владивосток/ г.Чита / г. Пермь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</si>
</sst>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122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960</v>
      </c>
      <c r="F30" s="110" t="s">
        <v>27</v>
      </c>
      <c r="G30" s="106">
        <v>23000</v>
      </c>
      <c r="H30" s="106">
        <v>21272</v>
      </c>
      <c r="I30" s="108">
        <v>0.2</v>
      </c>
      <c r="J30" s="13">
        <f t="shared" ref="J30" si="0">H30*I30</f>
        <v>4254.4000000000005</v>
      </c>
      <c r="K30" s="12">
        <v>0</v>
      </c>
      <c r="L30" s="12">
        <v>0</v>
      </c>
      <c r="M30" s="13">
        <f t="shared" ref="M30" si="1">J30</f>
        <v>4254.4000000000005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4254.4000000000005</v>
      </c>
      <c r="K31" s="16"/>
      <c r="L31" s="16"/>
      <c r="M31" s="17">
        <f>SUM(M30:M30)</f>
        <v>4254.4000000000005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четыре доллара США,40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109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F17" sqref="F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BEZ-A-77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70H395ZA/707976AA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O31" sqref="O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70H395ZA/707976AA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BEZ-A-77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960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R28" sqref="R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70H395ZA/707976AA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</v>
      </c>
      <c r="J30" s="13">
        <f>+Инвойс!J30</f>
        <v>4254.4000000000005</v>
      </c>
      <c r="K30" s="12">
        <v>0</v>
      </c>
      <c r="L30" s="12">
        <v>0</v>
      </c>
      <c r="M30" s="13">
        <f>+Инвойс!M30</f>
        <v>4254.4000000000005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4254.4000000000005</v>
      </c>
      <c r="K31" s="16"/>
      <c r="L31" s="16"/>
      <c r="M31" s="17">
        <f>SUM(M30:M30)</f>
        <v>4254.4000000000005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четыре доллара США,40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4254.4000000000005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четыре доллара США,40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четыре доллара США,40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четыре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четыре доллара США,40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пятьдесят четыре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4254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2025-08-12T10:53:38Z</cp:lastPrinted>
  <dcterms:created xsi:type="dcterms:W3CDTF">1996-10-14T23:33:28Z</dcterms:created>
  <dcterms:modified xsi:type="dcterms:W3CDTF">2025-08-12T10:53:53Z</dcterms:modified>
</cp:coreProperties>
</file>