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<sst xmlns="http://schemas.openxmlformats.org/spreadsheetml/2006/main" count="211" uniqueCount="163">
  <si>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</si>
  <si>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</si>
  <si>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</si>
  <si>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</si>
  <si>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</si>
  <si>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</si>
  <si>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</si>
  <si>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</si>
  <si>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</si>
  <si>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</si>
  <si>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</si>
  <si>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</si>
  <si>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</si>
  <si>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</si>
  <si>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</si>
  <si>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</si>
  <si>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</si>
  <si>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</si>
  <si>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</si>
  <si>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</si>
  <si>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</si>
  <si>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</si>
  <si>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</si>
  <si>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</si>
  <si>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</si>
  <si>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</si>
  <si>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</si>
  <si>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</si>
  <si>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</si>
  <si>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</si>
  <si>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</si>
  <si>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</si>
  <si>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</si>
  <si>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</si>
  <si>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</si>
  <si>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</si>
  <si>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</si>
  <si>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</si>
  <si>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</si>
  <si>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</si>
  <si>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</si>
  <si>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</si>
  <si>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</si>
  <si>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</si>
  <si>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</si>
  <si>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</si>
  <si>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</si>
  <si>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</si>
  <si>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</si>
  <si>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</si>
  <si>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</si>
  <si>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</si>
  <si>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</si>
  <si>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</si>
  <si>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</si>
  <si>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</si>
  <si>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</si>
  <si>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</si>
  <si>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</si>
  <si>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</si>
  <si>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</si>
  <si>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</si>
  <si>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</si>
  <si>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</si>
  <si>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</si>
  <si>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</si>
  <si>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</si>
  <si>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</si>
  <si>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</si>
  <si>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</si>
  <si>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</si>
  <si>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</si>
  <si>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</si>
  <si>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</si>
  <si>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</si>
  <si>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</si>
  <si>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</si>
  <si>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</si>
  <si>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</si>
  <si>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</si>
  <si>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</si>
  <si>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</si>
  <si>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</si>
  <si>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</si>
  <si>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</si>
  <si>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</si>
  <si>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</si>
  <si>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</si>
  <si>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</si>
  <si>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</si>
  <si>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</si>
  <si>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</si>
  <si>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</si>
  <si>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</si>
  <si>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</si>
  <si>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</si>
  <si>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</si>
  <si>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</si>
  <si>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</si>
  <si>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</si>
  <si>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</si>
  <si>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</si>
  <si>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</si>
  <si>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</si>
  <si>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</si>
  <si>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</si>
  <si>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</si>
  <si>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</si>
  <si>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</si>
  <si>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</si>
  <si>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</si>
  <si>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</si>
  <si>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</si>
  <si>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</si>
  <si>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</si>
  <si>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</si>
  <si>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</si>
  <si>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</si>
  <si>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</si>
  <si>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</si>
  <si>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</si>
  <si>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</si>
  <si>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</si>
  <si>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</si>
  <si>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</si>
  <si>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</si>
  <si>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</si>
  <si>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</si>
  <si>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</si>
  <si>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</si>
  <si>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</si>
  <si>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</si>
  <si>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</si>
  <si>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</si>
  <si>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</si>
  <si>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</si>
  <si>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</si>
  <si>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</si>
  <si>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</si>
  <si>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</si>
  <si>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</si>
  <si>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</si>
  <si>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</si>
  <si>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</si>
  <si>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</si>
  <si>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</si>
  <si>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</si>
  <si>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</si>
  <si>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</si>
  <si>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</si>
  <si>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</si>
  <si>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</si>
  <si>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</si>
  <si>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</si>
  <si>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</si>
  <si>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</si>
  <si>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</si>
  <si>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</si>
  <si>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</si>
  <si>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 09.09.2025г.</t>
  </si>
  <si>
    <t>40379JCA/400534CA</t>
  </si>
  <si>
    <t xml:space="preserve">ИНВОЙС № UFG-N-21 от </t>
  </si>
  <si>
    <t xml:space="preserve">СПЕЦИФИКАЦИЯ № UFG-N-21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</si>
</sst>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i/>
      <sz val="13.5"/>
      <name val="Bahnschrift"/>
      <family val="2"/>
      <charset val="204"/>
    </font>
    <font>
      <b/>
      <i/>
      <sz val="14"/>
      <name val="Bahnschrift"/>
      <family val="2"/>
      <charset val="204"/>
    </font>
    <font>
      <b/>
      <i/>
      <sz val="12.3"/>
      <name val="Bahnschrift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49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0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51" fillId="0" borderId="0" xfId="0" applyFont="1" applyAlignment="1">
      <alignment horizontal="left" wrapText="1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wrapText="1"/>
    </xf>
    <xf numFmtId="0" fontId="52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1" fontId="51" fillId="0" borderId="0" xfId="0" applyNumberFormat="1" applyFont="1" applyAlignment="1">
      <alignment horizontal="center" vertical="center"/>
    </xf>
    <xf numFmtId="0" fontId="55" fillId="0" borderId="0" xfId="0" applyFont="1"/>
    <xf numFmtId="11" fontId="54" fillId="0" borderId="0" xfId="0" applyNumberFormat="1" applyFont="1" applyAlignment="1">
      <alignment horizontal="left"/>
    </xf>
    <xf numFmtId="0" fontId="56" fillId="0" borderId="0" xfId="0" applyFont="1"/>
    <xf numFmtId="0" fontId="5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9" fillId="0" borderId="0" xfId="0" applyFont="1" applyAlignment="1">
      <alignment vertical="center"/>
    </xf>
    <xf numFmtId="0" fontId="59" fillId="0" borderId="0" xfId="0" applyFont="1"/>
    <xf numFmtId="0" fontId="6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1" fillId="0" borderId="0" xfId="0" applyFont="1" applyAlignment="1">
      <alignment horizontal="left"/>
    </xf>
    <xf numFmtId="0" fontId="58" fillId="0" borderId="0" xfId="0" applyFont="1"/>
    <xf numFmtId="0" fontId="62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horizontal="right"/>
    </xf>
    <xf numFmtId="49" fontId="55" fillId="0" borderId="0" xfId="0" applyNumberFormat="1" applyFont="1" applyAlignment="1">
      <alignment horizontal="center"/>
    </xf>
    <xf numFmtId="0" fontId="55" fillId="0" borderId="0" xfId="0" applyFont="1" applyAlignment="1">
      <alignment horizontal="center"/>
    </xf>
    <xf numFmtId="0" fontId="63" fillId="0" borderId="0" xfId="0" applyFont="1"/>
    <xf numFmtId="0" fontId="54" fillId="0" borderId="0" xfId="0" applyFont="1" applyAlignment="1">
      <alignment horizontal="center" vertical="top"/>
    </xf>
    <xf numFmtId="1" fontId="64" fillId="0" borderId="0" xfId="0" applyNumberFormat="1" applyFont="1" applyAlignment="1">
      <alignment horizontal="left" vertical="top"/>
    </xf>
    <xf numFmtId="0" fontId="55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5" fillId="0" borderId="1" xfId="0" applyNumberFormat="1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49" fontId="66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1" fillId="0" borderId="0" xfId="0" applyFont="1" applyAlignment="1">
      <alignment vertical="top"/>
    </xf>
    <xf numFmtId="0" fontId="70" fillId="0" borderId="0" xfId="0" applyFont="1"/>
    <xf numFmtId="0" fontId="67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5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4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5" fillId="0" borderId="0" xfId="0" applyFont="1"/>
    <xf numFmtId="0" fontId="76" fillId="0" borderId="0" xfId="0" applyFont="1"/>
    <xf numFmtId="0" fontId="78" fillId="0" borderId="0" xfId="0" applyFont="1"/>
    <xf numFmtId="167" fontId="23" fillId="0" borderId="0" xfId="0" applyNumberFormat="1" applyFont="1"/>
    <xf numFmtId="0" fontId="78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9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1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3" fillId="0" borderId="0" xfId="0" applyFont="1" applyAlignment="1">
      <alignment horizontal="left" vertical="center" wrapText="1"/>
    </xf>
    <xf numFmtId="0" fontId="51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7" fillId="0" borderId="0" xfId="0" applyFont="1" applyAlignment="1">
      <alignment horizontal="left" vertical="center"/>
    </xf>
    <xf numFmtId="11" fontId="58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1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0" fillId="0" borderId="0" xfId="0" applyFont="1" applyAlignment="1">
      <alignment horizontal="left" vertical="top" wrapText="1"/>
    </xf>
    <xf numFmtId="0" fontId="7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 editAs="oneCell">
    <xdr:from>
      <xdr:col>6</xdr:col>
      <xdr:colOff>44824</xdr:colOff>
      <xdr:row>36</xdr:row>
      <xdr:rowOff>57978</xdr:rowOff>
    </xdr:from>
    <xdr:to>
      <xdr:col>10</xdr:col>
      <xdr:colOff>44825</xdr:colOff>
      <xdr:row>49</xdr:row>
      <xdr:rowOff>7244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551CC52-1496-474B-8097-64F9F13DA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9383" y="1908556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504265</xdr:colOff>
      <xdr:row>36</xdr:row>
      <xdr:rowOff>56029</xdr:rowOff>
    </xdr:from>
    <xdr:to>
      <xdr:col>12</xdr:col>
      <xdr:colOff>67236</xdr:colOff>
      <xdr:row>38</xdr:row>
      <xdr:rowOff>164473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5648261-1411-4FD6-AA54-A3E7C46C6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736" y="1908361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6" t="s">
        <v>161</v>
      </c>
      <c r="D1" s="136"/>
      <c r="E1" s="136"/>
      <c r="F1" s="135" t="s">
        <v>159</v>
      </c>
      <c r="G1" s="135"/>
      <c r="H1" s="135"/>
      <c r="I1" s="133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2" t="s">
        <v>147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">
        <v>148</v>
      </c>
      <c r="B5" s="137"/>
      <c r="C5" s="137"/>
      <c r="D5" s="137"/>
      <c r="E5" s="137"/>
      <c r="F5" s="6"/>
      <c r="G5" s="139" t="s">
        <v>135</v>
      </c>
      <c r="H5" s="139"/>
      <c r="I5" s="139"/>
      <c r="J5" s="139"/>
      <c r="K5" s="139"/>
      <c r="L5" s="139"/>
      <c r="M5" s="139"/>
    </row>
    <row r="6" spans="1:15" ht="15" customHeight="1" x14ac:dyDescent="0.25">
      <c r="A6" s="143" t="s">
        <v>143</v>
      </c>
      <c r="B6" s="144"/>
      <c r="C6" s="144"/>
      <c r="D6" s="144"/>
      <c r="E6" s="144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44" t="s">
        <v>149</v>
      </c>
      <c r="B7" s="144"/>
      <c r="C7" s="144"/>
      <c r="D7" s="144"/>
      <c r="E7" s="144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145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0" t="s">
        <v>141</v>
      </c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">
        <v>148</v>
      </c>
      <c r="B14" s="137"/>
      <c r="C14" s="137"/>
      <c r="D14" s="137"/>
      <c r="E14" s="137"/>
      <c r="F14" s="6"/>
      <c r="G14" s="139" t="s">
        <v>135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43" t="s">
        <v>143</v>
      </c>
      <c r="B15" s="144"/>
      <c r="C15" s="144"/>
      <c r="D15" s="144"/>
      <c r="E15" s="144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5" x14ac:dyDescent="0.25">
      <c r="A16" s="144" t="s">
        <v>149</v>
      </c>
      <c r="B16" s="144"/>
      <c r="C16" s="144"/>
      <c r="D16" s="144"/>
      <c r="E16" s="144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145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151</v>
      </c>
      <c r="B21" s="8"/>
      <c r="C21" s="8"/>
      <c r="D21" s="8"/>
      <c r="E21" s="8"/>
      <c r="G21" s="140" t="s">
        <v>141</v>
      </c>
      <c r="H21" s="140"/>
      <c r="I21" s="140"/>
      <c r="J21" s="140"/>
      <c r="K21" s="140"/>
      <c r="L21" s="140"/>
      <c r="M21" s="140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5" t="s">
        <v>117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75" x14ac:dyDescent="0.25">
      <c r="A24" s="20" t="s">
        <v>22</v>
      </c>
      <c r="C24" s="18" t="s">
        <v>157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">
        <v>160</v>
      </c>
      <c r="F26" s="157"/>
      <c r="G26" s="15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980</v>
      </c>
      <c r="F30" s="115" t="s">
        <v>27</v>
      </c>
      <c r="G30" s="106">
        <v>23000</v>
      </c>
      <c r="H30" s="106">
        <v>21236</v>
      </c>
      <c r="I30" s="108">
        <v>0.25</v>
      </c>
      <c r="J30" s="13">
        <f t="shared" ref="J30" si="0">H30*I30</f>
        <v>5309</v>
      </c>
      <c r="K30" s="12">
        <v>0</v>
      </c>
      <c r="L30" s="12">
        <v>0</v>
      </c>
      <c r="M30" s="13">
        <f t="shared" ref="M30" si="1">J30</f>
        <v>5309</v>
      </c>
      <c r="O30" s="134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5309</v>
      </c>
      <c r="K31" s="16"/>
      <c r="L31" s="16"/>
      <c r="M31" s="17">
        <f>SUM(M30:M30)</f>
        <v>5309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триста девять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5" x14ac:dyDescent="0.25">
      <c r="A36" s="7" t="s">
        <v>28</v>
      </c>
      <c r="B36" s="7"/>
      <c r="D36" s="25" t="s">
        <v>152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UFG-N-21 от  09.09.2025г.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"Уралкомплект" 10412130 - т/п Оренбургский
460027, Оренбургская обл., г. Оренбург, ул. Донгузская, д. 62А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1" t="str">
        <f>+C22</f>
        <v xml:space="preserve"> 09.09.2025г.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40379JCA/400534CA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40379JCA/400534CA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09.09.2025г.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UFG-N-21 от  09.09.2025г.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980</v>
      </c>
      <c r="G18" s="168" t="str">
        <f>+CMR!F30</f>
        <v>Дыни свежие</v>
      </c>
      <c r="H18" s="168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2" t="str">
        <f>+Инвойс!C30</f>
        <v>0807190001</v>
      </c>
      <c r="H19" s="163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8"/>
      <c r="H20" s="168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2"/>
      <c r="H21" s="163"/>
      <c r="I21" s="121"/>
      <c r="J21" s="119"/>
    </row>
    <row r="22" spans="2:10" ht="12.75" customHeight="1" x14ac:dyDescent="0.25">
      <c r="B22" s="83"/>
      <c r="E22" s="122"/>
      <c r="F22" s="117"/>
      <c r="G22" s="168"/>
      <c r="H22" s="168"/>
      <c r="I22" s="118"/>
      <c r="J22" s="119"/>
    </row>
    <row r="23" spans="2:10" ht="14.25" customHeight="1" x14ac:dyDescent="0.25">
      <c r="B23" s="83"/>
      <c r="E23" s="122"/>
      <c r="F23" s="120"/>
      <c r="G23" s="162"/>
      <c r="H23" s="163"/>
      <c r="I23" s="121"/>
      <c r="J23" s="119"/>
    </row>
    <row r="24" spans="2:10" ht="12.75" customHeight="1" x14ac:dyDescent="0.25">
      <c r="B24" s="87"/>
      <c r="E24" s="122"/>
      <c r="F24" s="117"/>
      <c r="G24" s="168"/>
      <c r="H24" s="168"/>
      <c r="I24" s="118"/>
      <c r="J24" s="119"/>
    </row>
    <row r="25" spans="2:10" ht="12.75" customHeight="1" x14ac:dyDescent="0.25">
      <c r="B25" s="87"/>
      <c r="E25" s="122"/>
      <c r="F25" s="120"/>
      <c r="G25" s="162"/>
      <c r="H25" s="163"/>
      <c r="I25" s="121"/>
      <c r="J25" s="119"/>
    </row>
    <row r="26" spans="2:10" ht="12" customHeight="1" x14ac:dyDescent="0.25">
      <c r="B26" s="87"/>
      <c r="E26" s="122"/>
      <c r="F26" s="117"/>
      <c r="G26" s="168"/>
      <c r="H26" s="168"/>
      <c r="I26" s="118"/>
      <c r="J26" s="119"/>
    </row>
    <row r="27" spans="2:10" ht="14.25" customHeight="1" x14ac:dyDescent="0.25">
      <c r="B27" s="87"/>
      <c r="E27" s="122"/>
      <c r="F27" s="120"/>
      <c r="G27" s="162"/>
      <c r="H27" s="163"/>
      <c r="I27" s="121"/>
      <c r="J27" s="119"/>
    </row>
    <row r="28" spans="2:10" ht="12.75" customHeight="1" x14ac:dyDescent="0.25">
      <c r="B28" s="87"/>
      <c r="E28" s="122"/>
      <c r="F28" s="117"/>
      <c r="G28" s="168"/>
      <c r="H28" s="168"/>
      <c r="I28" s="118"/>
      <c r="J28" s="119"/>
    </row>
    <row r="29" spans="2:10" ht="12.75" customHeight="1" x14ac:dyDescent="0.25">
      <c r="B29" s="87"/>
      <c r="E29" s="122"/>
      <c r="F29" s="120"/>
      <c r="G29" s="162"/>
      <c r="H29" s="163"/>
      <c r="I29" s="121"/>
      <c r="J29" s="119"/>
    </row>
    <row r="30" spans="2:10" ht="12.75" customHeight="1" x14ac:dyDescent="0.25">
      <c r="B30" s="87"/>
      <c r="E30" s="122"/>
      <c r="F30" s="117"/>
      <c r="G30" s="168"/>
      <c r="H30" s="168"/>
      <c r="I30" s="118"/>
      <c r="J30" s="119"/>
    </row>
    <row r="31" spans="2:10" ht="13.5" customHeight="1" x14ac:dyDescent="0.25">
      <c r="B31" s="87"/>
      <c r="E31" s="122"/>
      <c r="F31" s="120"/>
      <c r="G31" s="162"/>
      <c r="H31" s="163"/>
      <c r="I31" s="121"/>
      <c r="J31" s="119"/>
    </row>
    <row r="32" spans="2:10" ht="13.5" customHeight="1" x14ac:dyDescent="0.25">
      <c r="B32" s="87"/>
      <c r="E32" s="122"/>
      <c r="F32" s="117"/>
      <c r="G32" s="168"/>
      <c r="H32" s="168"/>
      <c r="I32" s="118"/>
      <c r="J32" s="119"/>
    </row>
    <row r="33" spans="2:10" ht="13.5" customHeight="1" x14ac:dyDescent="0.25">
      <c r="B33" s="87"/>
      <c r="E33" s="122"/>
      <c r="F33" s="120"/>
      <c r="G33" s="162"/>
      <c r="H33" s="163"/>
      <c r="I33" s="121"/>
      <c r="J33" s="119"/>
    </row>
    <row r="34" spans="2:10" ht="13.5" customHeight="1" x14ac:dyDescent="0.25">
      <c r="B34" s="87"/>
      <c r="E34" s="122"/>
      <c r="F34" s="117"/>
      <c r="G34" s="168"/>
      <c r="H34" s="168"/>
      <c r="I34" s="118"/>
      <c r="J34" s="119"/>
    </row>
    <row r="35" spans="2:10" ht="12.75" customHeight="1" x14ac:dyDescent="0.25">
      <c r="B35" s="87"/>
      <c r="E35" s="122"/>
      <c r="F35" s="120"/>
      <c r="G35" s="162"/>
      <c r="H35" s="163"/>
      <c r="I35" s="121"/>
      <c r="J35" s="119"/>
    </row>
    <row r="36" spans="2:10" x14ac:dyDescent="0.25">
      <c r="B36" s="87"/>
      <c r="E36" s="122"/>
      <c r="F36" s="117"/>
      <c r="G36" s="168"/>
      <c r="H36" s="168"/>
      <c r="I36" s="118"/>
      <c r="J36" s="119"/>
    </row>
    <row r="37" spans="2:10" ht="13.5" customHeight="1" x14ac:dyDescent="0.25">
      <c r="B37" s="87"/>
      <c r="E37" s="122"/>
      <c r="F37" s="120"/>
      <c r="G37" s="162"/>
      <c r="H37" s="163"/>
      <c r="I37" s="121"/>
      <c r="J37" s="119"/>
    </row>
    <row r="38" spans="2:10" x14ac:dyDescent="0.25">
      <c r="B38" s="87"/>
      <c r="E38" s="122"/>
      <c r="F38" s="117"/>
      <c r="G38" s="168"/>
      <c r="H38" s="168"/>
      <c r="I38" s="118"/>
      <c r="J38" s="119"/>
    </row>
    <row r="39" spans="2:10" ht="13.5" customHeight="1" x14ac:dyDescent="0.25">
      <c r="B39" s="87"/>
      <c r="E39" s="122"/>
      <c r="F39" s="120"/>
      <c r="G39" s="162"/>
      <c r="H39" s="163"/>
      <c r="I39" s="121"/>
      <c r="J39" s="119"/>
    </row>
    <row r="40" spans="2:10" ht="14.25" hidden="1" customHeight="1" x14ac:dyDescent="0.25">
      <c r="B40" s="87"/>
      <c r="E40" s="122"/>
      <c r="F40" s="117"/>
      <c r="G40" s="168"/>
      <c r="H40" s="168"/>
      <c r="I40" s="118"/>
      <c r="J40" s="119"/>
    </row>
    <row r="41" spans="2:10" ht="14.25" hidden="1" customHeight="1" x14ac:dyDescent="0.25">
      <c r="B41" s="87"/>
      <c r="E41" s="122"/>
      <c r="F41" s="120"/>
      <c r="G41" s="162"/>
      <c r="H41" s="163"/>
      <c r="I41" s="121"/>
      <c r="J41" s="119"/>
    </row>
    <row r="42" spans="2:10" hidden="1" x14ac:dyDescent="0.25">
      <c r="B42" s="87"/>
      <c r="E42" s="122"/>
      <c r="F42" s="117"/>
      <c r="G42" s="168"/>
      <c r="H42" s="168"/>
      <c r="I42" s="118"/>
      <c r="J42" s="119"/>
    </row>
    <row r="43" spans="2:10" x14ac:dyDescent="0.25">
      <c r="B43" s="87"/>
      <c r="E43" s="122"/>
      <c r="F43" s="120"/>
      <c r="G43" s="162"/>
      <c r="H43" s="163"/>
      <c r="I43" s="121"/>
      <c r="J43" s="119"/>
    </row>
    <row r="44" spans="2:10" ht="9" customHeight="1" x14ac:dyDescent="0.25">
      <c r="B44" s="87"/>
      <c r="E44" s="95"/>
      <c r="F44" s="92"/>
      <c r="G44" s="170"/>
      <c r="H44" s="170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1">
        <f>+F18+F20+F22+F24+F26+F28+F30+F32+F34+F36+F38+F40+F42</f>
        <v>980</v>
      </c>
      <c r="E47" s="144"/>
    </row>
    <row r="48" spans="2:10" ht="17.25" customHeight="1" x14ac:dyDescent="0.25">
      <c r="B48" s="169" t="s">
        <v>105</v>
      </c>
      <c r="C48" s="169"/>
      <c r="D48" s="169"/>
      <c r="E48" s="169"/>
    </row>
    <row r="49" spans="2:5" ht="21.75" customHeight="1" x14ac:dyDescent="0.25">
      <c r="B49" s="169"/>
      <c r="C49" s="169"/>
      <c r="D49" s="169"/>
      <c r="E49" s="169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5" t="s">
        <v>162</v>
      </c>
      <c r="C1" s="175"/>
      <c r="D1" s="175"/>
      <c r="E1" s="175"/>
      <c r="F1" s="135" t="str">
        <f>+Инвойс!F1</f>
        <v xml:space="preserve"> 09.09.2025г.</v>
      </c>
      <c r="G1" s="135"/>
      <c r="H1" s="135"/>
      <c r="I1" s="133"/>
      <c r="J1" s="19"/>
      <c r="K1" s="19"/>
      <c r="L1" s="19"/>
      <c r="M1" s="19"/>
    </row>
    <row r="2" spans="1:15" ht="18.75" x14ac:dyDescent="0.3">
      <c r="A2" s="19" t="s">
        <v>30</v>
      </c>
      <c r="B2" s="133"/>
      <c r="C2" s="142" t="str">
        <f>+Инвойс!C2</f>
        <v>к контракту № GR-UF-01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">
      <c r="A5" s="137" t="str">
        <f>+Инвойс!A5</f>
        <v>OOO UCHQIZIL FRUITS EXPORT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5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2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37" t="str">
        <f>+Инвойс!A14</f>
        <v>OOO UCHQIZIL FRUITS EXPORT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 x14ac:dyDescent="0.25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6" t="str">
        <f>+Инвойс!E26</f>
        <v>40379JCA/400534CA</v>
      </c>
      <c r="F26" s="157"/>
      <c r="G26" s="157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0" t="s">
        <v>9</v>
      </c>
      <c r="K28" s="153" t="s">
        <v>10</v>
      </c>
      <c r="L28" s="154"/>
      <c r="M28" s="149" t="s">
        <v>11</v>
      </c>
    </row>
    <row r="29" spans="1:17" ht="32.25" x14ac:dyDescent="0.2">
      <c r="A29" s="150"/>
      <c r="B29" s="150"/>
      <c r="C29" s="150"/>
      <c r="D29" s="150"/>
      <c r="E29" s="150"/>
      <c r="F29" s="150"/>
      <c r="G29" s="110" t="s">
        <v>12</v>
      </c>
      <c r="H29" s="110" t="s">
        <v>13</v>
      </c>
      <c r="I29" s="150"/>
      <c r="J29" s="111" t="s">
        <v>14</v>
      </c>
      <c r="K29" s="10" t="s">
        <v>15</v>
      </c>
      <c r="L29" s="10" t="s">
        <v>16</v>
      </c>
      <c r="M29" s="150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23000</v>
      </c>
      <c r="H30" s="106">
        <f>+Инвойс!H30</f>
        <v>21236</v>
      </c>
      <c r="I30" s="108">
        <f>+Инвойс!I30</f>
        <v>0.25</v>
      </c>
      <c r="J30" s="13">
        <f>+Инвойс!J30</f>
        <v>5309</v>
      </c>
      <c r="K30" s="12">
        <v>0</v>
      </c>
      <c r="L30" s="12">
        <v>0</v>
      </c>
      <c r="M30" s="13">
        <f>+Инвойс!M30</f>
        <v>5309</v>
      </c>
      <c r="O30" s="100"/>
      <c r="Q30" s="100"/>
    </row>
    <row r="31" spans="1:17" ht="14.25" x14ac:dyDescent="0.2">
      <c r="A31" s="151" t="s">
        <v>0</v>
      </c>
      <c r="B31" s="152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21236</v>
      </c>
      <c r="I31" s="102"/>
      <c r="J31" s="17">
        <f>SUM(J30:J30)</f>
        <v>5309</v>
      </c>
      <c r="K31" s="16"/>
      <c r="L31" s="16"/>
      <c r="M31" s="17">
        <f>SUM(M30:M30)</f>
        <v>5309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триста девять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75" x14ac:dyDescent="0.25">
      <c r="A36" s="130" t="s">
        <v>153</v>
      </c>
      <c r="B36" s="130"/>
      <c r="D36" s="18" t="str">
        <f>+Инвойс!D36</f>
        <v>ЭШТЕМИРОВ Х.Х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127</v>
      </c>
    </row>
    <row r="5" spans="1:10" ht="89.25" x14ac:dyDescent="0.2">
      <c r="A5" s="125" t="s">
        <v>155</v>
      </c>
    </row>
    <row r="6" spans="1:10" x14ac:dyDescent="0.2">
      <c r="E6" s="18" t="s">
        <v>156</v>
      </c>
      <c r="J6" s="25" t="s">
        <v>130</v>
      </c>
    </row>
    <row r="7" spans="1:10" ht="51" x14ac:dyDescent="0.2">
      <c r="A7" s="125" t="s">
        <v>117</v>
      </c>
    </row>
    <row r="8" spans="1:10" x14ac:dyDescent="0.2">
      <c r="E8" s="18" t="s">
        <v>157</v>
      </c>
      <c r="J8" s="25" t="s">
        <v>131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157</v>
      </c>
      <c r="J10" s="25" t="s">
        <v>132</v>
      </c>
    </row>
    <row r="11" spans="1:10" ht="51" x14ac:dyDescent="0.2">
      <c r="A11" s="125" t="s">
        <v>154</v>
      </c>
    </row>
    <row r="12" spans="1:10" x14ac:dyDescent="0.2">
      <c r="E12" s="18" t="s">
        <v>158</v>
      </c>
      <c r="J12" s="25" t="s">
        <v>133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75" x14ac:dyDescent="0.25">
      <c r="E2" s="27">
        <f>Инвойс!M31</f>
        <v>5309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девять долларов США, 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45909</v>
      </c>
      <c r="O3" s="179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девять долларов США, 00 центов. (в т.ч. НДС - 357,79)</v>
      </c>
      <c r="H4" s="32"/>
      <c r="I4" s="32"/>
      <c r="J4" s="32"/>
      <c r="K4" s="180" t="str">
        <f ca="1">CONCATENATE(" «  ",P3,"  »  ",Q3,"  ",R3," г.")</f>
        <v xml:space="preserve"> «  9  »  сентября  2025 г.</v>
      </c>
      <c r="L4" s="180"/>
      <c r="M4" s="180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девять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девять долларов США, 00 центов. (в т.ч. НДС - 357,79)</v>
      </c>
      <c r="C6"/>
      <c r="D6"/>
      <c r="E6"/>
      <c r="H6" s="39"/>
    </row>
    <row r="7" spans="1:19" x14ac:dyDescent="0.2">
      <c r="D7" s="33"/>
      <c r="H7" s="181" t="s">
        <v>38</v>
      </c>
      <c r="I7" s="181"/>
      <c r="J7" s="181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1"/>
      <c r="I8" s="181"/>
      <c r="J8" s="181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1"/>
      <c r="I9" s="181"/>
      <c r="J9" s="181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1"/>
      <c r="I10" s="181"/>
      <c r="J10" s="181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девять долларов США, </v>
      </c>
      <c r="D11" s="47"/>
      <c r="E11" s="48"/>
      <c r="H11" s="181"/>
      <c r="I11" s="181"/>
      <c r="J11" s="181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45909</v>
      </c>
    </row>
    <row r="13" spans="1:19" s="43" customFormat="1" x14ac:dyDescent="0.2">
      <c r="A13" s="49"/>
      <c r="D13" s="51"/>
      <c r="E13" s="52">
        <f>TRUNC(E2)</f>
        <v>5309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5309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309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7" t="s">
        <v>85</v>
      </c>
      <c r="B100" s="177"/>
      <c r="C100" s="177"/>
      <c r="D100" s="177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2025-09-09T17:04:35Z</cp:lastPrinted>
  <dcterms:created xsi:type="dcterms:W3CDTF">1996-10-14T23:33:28Z</dcterms:created>
  <dcterms:modified xsi:type="dcterms:W3CDTF">2025-09-09T17:04:36Z</dcterms:modified>
</cp:coreProperties>
</file>