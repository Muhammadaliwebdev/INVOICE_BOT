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37F311C-4A1F-429E-8E51-210DF223E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<sst xmlns="http://schemas.openxmlformats.org/spreadsheetml/2006/main" count="217" uniqueCount="166">
  <si>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</si>
  <si>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</si>
  <si>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</si>
  <si>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</si>
  <si>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</si>
  <si>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</si>
  <si>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</si>
  <si>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</si>
  <si>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</si>
  <si>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</si>
  <si>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</si>
  <si>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</si>
  <si>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</si>
  <si>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</si>
  <si>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</si>
  <si>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</si>
  <si>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</si>
  <si>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</si>
  <si>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</si>
  <si>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</si>
  <si>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</si>
  <si>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</si>
  <si>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</si>
  <si>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</si>
  <si>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</si>
  <si>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</si>
  <si>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</si>
  <si>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</si>
  <si>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</si>
  <si>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</si>
  <si>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</si>
  <si>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</si>
  <si>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</si>
  <si>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</si>
  <si>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</si>
  <si>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</si>
  <si>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</si>
  <si>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</si>
  <si>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</si>
  <si>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</si>
  <si>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</si>
  <si>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</si>
  <si>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</si>
  <si>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</si>
  <si>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</si>
  <si>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</si>
  <si>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</si>
  <si>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</si>
  <si>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</si>
  <si>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</si>
  <si>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</si>
  <si>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</si>
  <si>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</si>
  <si>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</si>
  <si>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</si>
  <si>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</si>
  <si>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</si>
  <si>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</si>
  <si>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</si>
  <si>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</si>
  <si>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</si>
  <si>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</si>
  <si>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</si>
  <si>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</si>
  <si>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</si>
  <si>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</si>
  <si>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</si>
  <si>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</si>
  <si>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</si>
  <si>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</si>
  <si>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</si>
  <si>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</si>
  <si>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</si>
  <si>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</si>
  <si>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</si>
  <si>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</si>
  <si>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</si>
  <si>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</si>
  <si>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</si>
  <si>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</si>
  <si>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</si>
  <si>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</si>
  <si>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</si>
  <si>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</si>
  <si>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</si>
  <si>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</si>
  <si>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</si>
  <si>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</si>
  <si>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</si>
  <si>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</si>
  <si>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</si>
  <si>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</si>
  <si>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</si>
  <si>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</si>
  <si>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</si>
  <si>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</si>
  <si>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</si>
  <si>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</si>
  <si>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</si>
  <si>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</si>
  <si>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</si>
  <si>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</si>
  <si>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</si>
  <si>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</si>
  <si>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</si>
  <si>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</si>
  <si>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</si>
  <si>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</si>
  <si>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</si>
  <si>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</si>
  <si>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</si>
  <si>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</si>
  <si>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</si>
  <si>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</si>
  <si>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</si>
  <si>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</si>
  <si>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</si>
  <si>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</si>
  <si>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</si>
  <si>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</si>
  <si>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</si>
  <si>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</si>
  <si>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</si>
  <si>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</si>
  <si>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</si>
  <si>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</si>
  <si>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</si>
  <si>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</si>
  <si>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</si>
  <si>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</si>
  <si>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</si>
  <si>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</si>
  <si>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</si>
  <si>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</si>
  <si>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</si>
  <si>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</si>
  <si>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</si>
  <si>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</si>
  <si>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</si>
  <si>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</si>
  <si>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</si>
  <si>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</si>
  <si>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</si>
  <si>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</si>
  <si>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</si>
  <si>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</si>
  <si>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</si>
  <si>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</si>
  <si>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</si>
  <si>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</si>
  <si>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</si>
  <si>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</si>
  <si>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</si>
  <si>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</si>
  <si>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</si>
  <si>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</si>
  <si>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</si>
  <si>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</si>
  <si>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</si>
  <si>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</si>
  <si>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UFG-M-51 от </t>
  </si>
  <si>
    <t xml:space="preserve"> 01.09.2025г.</t>
  </si>
  <si>
    <t>01W845SB/013207BA</t>
  </si>
  <si>
    <t>навалом</t>
  </si>
  <si>
    <t>-</t>
  </si>
  <si>
    <t xml:space="preserve">СПЕЦИФИКАЦИЯ № UFG-M-51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</si>
</sst>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37</xdr:row>
      <xdr:rowOff>89647</xdr:rowOff>
    </xdr:from>
    <xdr:to>
      <xdr:col>4</xdr:col>
      <xdr:colOff>212668</xdr:colOff>
      <xdr:row>49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37</xdr:row>
      <xdr:rowOff>56029</xdr:rowOff>
    </xdr:from>
    <xdr:to>
      <xdr:col>3</xdr:col>
      <xdr:colOff>459195</xdr:colOff>
      <xdr:row>48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37</xdr:row>
      <xdr:rowOff>67235</xdr:rowOff>
    </xdr:from>
    <xdr:to>
      <xdr:col>9</xdr:col>
      <xdr:colOff>421901</xdr:colOff>
      <xdr:row>48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160</v>
      </c>
      <c r="D1" s="154"/>
      <c r="E1" s="154"/>
      <c r="F1" s="153" t="s">
        <v>161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152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153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148</v>
      </c>
      <c r="B6" s="142"/>
      <c r="C6" s="142"/>
      <c r="D6" s="142"/>
      <c r="E6" s="142"/>
      <c r="F6" s="7"/>
      <c r="G6" s="141" t="s">
        <v>141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154</v>
      </c>
      <c r="B7" s="142"/>
      <c r="C7" s="142"/>
      <c r="D7" s="142"/>
      <c r="E7" s="142"/>
      <c r="F7" s="63"/>
      <c r="G7" s="141" t="s">
        <v>142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44" t="s">
        <v>146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153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148</v>
      </c>
      <c r="B15" s="142"/>
      <c r="C15" s="142"/>
      <c r="D15" s="142"/>
      <c r="E15" s="142"/>
      <c r="F15" s="7"/>
      <c r="G15" s="141" t="s">
        <v>141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154</v>
      </c>
      <c r="B16" s="142"/>
      <c r="C16" s="142"/>
      <c r="D16" s="142"/>
      <c r="E16" s="142"/>
      <c r="F16" s="63"/>
      <c r="G16" s="141" t="s">
        <v>142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44" t="s">
        <v>146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122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136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162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884</v>
      </c>
      <c r="F30" s="110" t="s">
        <v>27</v>
      </c>
      <c r="G30" s="106">
        <v>20300</v>
      </c>
      <c r="H30" s="106">
        <v>18709</v>
      </c>
      <c r="I30" s="108">
        <v>0.25</v>
      </c>
      <c r="J30" s="13">
        <f t="shared" ref="J30:J31" si="0">H30*I30</f>
        <v>4677.25</v>
      </c>
      <c r="K30" s="12">
        <v>0</v>
      </c>
      <c r="L30" s="12">
        <v>0</v>
      </c>
      <c r="M30" s="13">
        <f t="shared" ref="M30:M31" si="1">J30</f>
        <v>4677.25</v>
      </c>
      <c r="O30" s="100"/>
      <c r="Q30" s="100"/>
    </row>
    <row r="31" spans="1:17" ht="13.8" x14ac:dyDescent="0.25">
      <c r="A31" s="127">
        <v>2</v>
      </c>
      <c r="B31" s="101" t="s">
        <v>126</v>
      </c>
      <c r="C31" s="107" t="s">
        <v>127</v>
      </c>
      <c r="D31" s="109" t="s">
        <v>163</v>
      </c>
      <c r="E31" s="101" t="s">
        <v>164</v>
      </c>
      <c r="F31" s="116" t="s">
        <v>27</v>
      </c>
      <c r="G31" s="106">
        <v>1710</v>
      </c>
      <c r="H31" s="106">
        <v>1710</v>
      </c>
      <c r="I31" s="108">
        <v>0.25</v>
      </c>
      <c r="J31" s="13">
        <f t="shared" si="0"/>
        <v>427.5</v>
      </c>
      <c r="K31" s="12">
        <v>0</v>
      </c>
      <c r="L31" s="12">
        <v>0</v>
      </c>
      <c r="M31" s="13">
        <f t="shared" si="1"/>
        <v>427.5</v>
      </c>
      <c r="O31" s="100"/>
      <c r="Q31" s="100"/>
    </row>
    <row r="32" spans="1:17" ht="13.8" x14ac:dyDescent="0.25">
      <c r="A32" s="151" t="s">
        <v>0</v>
      </c>
      <c r="B32" s="152"/>
      <c r="C32" s="14"/>
      <c r="D32" s="15"/>
      <c r="E32" s="64">
        <f>SUM(E30:E31)</f>
        <v>884</v>
      </c>
      <c r="F32" s="15"/>
      <c r="G32" s="64">
        <f>SUM(G30:G31)</f>
        <v>22010</v>
      </c>
      <c r="H32" s="64">
        <f>SUM(H30:H31)</f>
        <v>20419</v>
      </c>
      <c r="I32" s="102"/>
      <c r="J32" s="17">
        <f>SUM(J30:J31)</f>
        <v>5104.75</v>
      </c>
      <c r="K32" s="16"/>
      <c r="L32" s="16"/>
      <c r="M32" s="17">
        <f>SUM(M30:M31)</f>
        <v>5104.75</v>
      </c>
      <c r="P32" s="66"/>
    </row>
    <row r="33" spans="1:14" ht="13.8" x14ac:dyDescent="0.3">
      <c r="A33" s="2" t="s">
        <v>17</v>
      </c>
      <c r="B33" s="3"/>
      <c r="C33" s="11"/>
      <c r="D33" s="11"/>
      <c r="E33" s="149" t="str">
        <f>Лист1!B3</f>
        <v>Пять тысяч сто четыре доллара США,75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5">
      <c r="A35" s="145" t="s">
        <v>109</v>
      </c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ht="13.8" x14ac:dyDescent="0.25">
      <c r="A37" s="7" t="s">
        <v>28</v>
      </c>
      <c r="B37" s="7"/>
      <c r="D37" s="25" t="s">
        <v>157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I39" sqref="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UFG-M-51 от  01.09.2025г.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884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20300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1710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"КонсалтТаможСервис" 10309200 - т/п Прикубанский 350072, Краснодарский край, г. Краснодар, ул. Тополиная, д. 4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01.09.2025г.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01W845SB/013207BA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G29" sqref="G29:H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01W845SB/013207BA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01.09.2025г.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UFG-M-51 от  01.09.2025г.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884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20300</v>
      </c>
    </row>
    <row r="20" spans="2:10" ht="13.5" customHeight="1" x14ac:dyDescent="0.3">
      <c r="B20" s="83"/>
      <c r="E20" s="123"/>
      <c r="F20" s="118" t="str">
        <f>+Инвойс!E31</f>
        <v>-</v>
      </c>
      <c r="G20" s="163" t="str">
        <f>+CMR!F31</f>
        <v>Дыни свежие</v>
      </c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навалом</v>
      </c>
      <c r="G21" s="161" t="str">
        <f>+Инвойс!C31</f>
        <v>0807190001</v>
      </c>
      <c r="H21" s="162"/>
      <c r="I21" s="122" t="s">
        <v>103</v>
      </c>
      <c r="J21" s="120">
        <f>+Инвойс!G31</f>
        <v>1710</v>
      </c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v>884</v>
      </c>
      <c r="E47" s="142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20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165</v>
      </c>
      <c r="C1" s="171"/>
      <c r="D1" s="171"/>
      <c r="E1" s="171"/>
      <c r="F1" s="153" t="str">
        <f>+Инвойс!F1</f>
        <v xml:space="preserve"> 01.09.2025г.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GR-UF-01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OOO UCHQIZIL FRUITS EXPORT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74" t="str">
        <f>+Инвойс!A6</f>
        <v>РЕСПУБЛИКА УЗБЕКИСТАН. СУРХАНДАРЬИНСКАЯ ОБЛАСТЬ,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ТЕРМИЗСКИЙ РАЙОН,ЯНГИХАЯТ МФЙ, УЛИЦА БОГИ ШАМОЛ, 20-А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в АКБ“KAPITAL BANK”  МФО: 01158  Swift: KACHUZ22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Доллар США: 20208840207293094001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Корреспондирующий банк (RUB): АКБ "Азия Инвест Банк" (АО) :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SWIFT:ASIJRUMM / БИК 044525234,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OOO UCHQIZIL FRUITS EXPORT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74" t="str">
        <f>+Инвойс!A15</f>
        <v>РЕСПУБЛИКА УЗБЕКИСТАН. СУРХАНДАРЬИНСКАЯ ОБЛАСТЬ,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ТЕРМИЗСКИЙ РАЙОН,ЯНГИХАЯТ МФЙ, УЛИЦА БОГИ ШАМОЛ, 20-А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в АКБ“KAPITAL BANK”  МФО: 01158  Swift: KACHUZ22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Доллар США: 20208840207293094001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Корреспондирующий банк (RUB): АКБ "Азия Инвест Банк" (АО) :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SWIFT:ASIJRUMM / БИК 044525234,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01W845SB/013207BA</v>
      </c>
      <c r="F26" s="140"/>
      <c r="G26" s="140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6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884</v>
      </c>
      <c r="F30" s="116" t="str">
        <f>+Инвойс!F30</f>
        <v>кг</v>
      </c>
      <c r="G30" s="106">
        <f>+Инвойс!G30</f>
        <v>20300</v>
      </c>
      <c r="H30" s="106">
        <f>+Инвойс!H30</f>
        <v>18709</v>
      </c>
      <c r="I30" s="108">
        <f>+Инвойс!I30</f>
        <v>0.25</v>
      </c>
      <c r="J30" s="13">
        <f>+Инвойс!J30</f>
        <v>4677.25</v>
      </c>
      <c r="K30" s="12">
        <v>0</v>
      </c>
      <c r="L30" s="12">
        <v>0</v>
      </c>
      <c r="M30" s="13">
        <f>+Инвойс!M30</f>
        <v>4677.25</v>
      </c>
      <c r="O30" s="100"/>
      <c r="Q30" s="100"/>
    </row>
    <row r="31" spans="1:17" ht="13.8" x14ac:dyDescent="0.25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1710</v>
      </c>
      <c r="H31" s="106">
        <f>+Инвойс!H31</f>
        <v>1710</v>
      </c>
      <c r="I31" s="108">
        <f>+Инвойс!I31</f>
        <v>0.25</v>
      </c>
      <c r="J31" s="13">
        <f>+Инвойс!J31</f>
        <v>427.5</v>
      </c>
      <c r="K31" s="12">
        <v>0</v>
      </c>
      <c r="L31" s="12">
        <v>0</v>
      </c>
      <c r="M31" s="13">
        <f>+Инвойс!M31</f>
        <v>427.5</v>
      </c>
      <c r="O31" s="100"/>
      <c r="Q31" s="100"/>
    </row>
    <row r="32" spans="1:17" ht="13.8" x14ac:dyDescent="0.25">
      <c r="A32" s="151" t="s">
        <v>0</v>
      </c>
      <c r="B32" s="152"/>
      <c r="C32" s="14"/>
      <c r="D32" s="15"/>
      <c r="E32" s="64">
        <f>SUM(E30:E31)</f>
        <v>884</v>
      </c>
      <c r="F32" s="15"/>
      <c r="G32" s="64">
        <f>SUM(G30:G31)</f>
        <v>22010</v>
      </c>
      <c r="H32" s="64">
        <f>SUM(H30:H31)</f>
        <v>20419</v>
      </c>
      <c r="I32" s="102"/>
      <c r="J32" s="17">
        <f>SUM(J30:J31)</f>
        <v>5104.75</v>
      </c>
      <c r="K32" s="16"/>
      <c r="L32" s="16"/>
      <c r="M32" s="17">
        <f>SUM(M30:M31)</f>
        <v>5104.75</v>
      </c>
      <c r="P32" s="66"/>
    </row>
    <row r="33" spans="1:14" ht="13.8" x14ac:dyDescent="0.3">
      <c r="A33" s="2" t="s">
        <v>17</v>
      </c>
      <c r="B33" s="3"/>
      <c r="C33" s="11"/>
      <c r="D33" s="11"/>
      <c r="E33" s="149" t="str">
        <f>Лист1!B3</f>
        <v>Пять тысяч сто четыре доллара США,75 центов.</v>
      </c>
      <c r="F33" s="150"/>
      <c r="G33" s="150"/>
      <c r="H33" s="150"/>
      <c r="I33" s="150"/>
      <c r="J33" s="150"/>
      <c r="K33" s="150"/>
      <c r="L33" s="150"/>
      <c r="M33" s="150"/>
    </row>
    <row r="34" spans="1:14" ht="20.2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</row>
    <row r="35" spans="1:14" ht="25.5" customHeight="1" x14ac:dyDescent="0.25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26"/>
    </row>
    <row r="37" spans="1:14" s="18" customFormat="1" ht="15.6" x14ac:dyDescent="0.3">
      <c r="A37" s="131" t="s">
        <v>158</v>
      </c>
      <c r="B37" s="131"/>
      <c r="D37" s="18" t="str">
        <f>+Инвойс!D37</f>
        <v>ЭШТЕМИРОВ Х.Х</v>
      </c>
      <c r="E37" s="132"/>
      <c r="G37" s="129" t="s">
        <v>130</v>
      </c>
      <c r="H37" s="18" t="str">
        <f>Инвойс!G5</f>
        <v>ООО «ГРИН ВОРЛД»</v>
      </c>
      <c r="K37" s="133" t="s">
        <v>147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8" zoomScale="85" zoomScaleNormal="85" workbookViewId="0">
      <selection activeCell="A25" sqref="A25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Инвойс!M32</f>
        <v>5104.75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четыре доллара США,75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45901</v>
      </c>
      <c r="O3" s="178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сто четыре доллара США,75 центов. (в т.ч. НДС - 357,79)</v>
      </c>
      <c r="H4" s="32"/>
      <c r="I4" s="32"/>
      <c r="J4" s="32"/>
      <c r="K4" s="179" t="str">
        <f ca="1">CONCATENATE(" «  ",P3,"  »  ",Q3,"  ",R3," г.")</f>
        <v xml:space="preserve"> «  1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четыре доллара США,75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четыре доллара США,75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сто четыре доллара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75 центов.</v>
      </c>
      <c r="D12" s="47"/>
      <c r="E12" s="48"/>
      <c r="M12" s="50">
        <f ca="1">TODAY()</f>
        <v>45901</v>
      </c>
    </row>
    <row r="13" spans="1:19" s="43" customFormat="1" x14ac:dyDescent="0.25">
      <c r="A13" s="49"/>
      <c r="D13" s="51"/>
      <c r="E13" s="52">
        <f>TRUNC(E2)</f>
        <v>5104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5104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104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5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2025-09-01T15:43:54Z</cp:lastPrinted>
  <dcterms:created xsi:type="dcterms:W3CDTF">1996-10-14T23:33:28Z</dcterms:created>
  <dcterms:modified xsi:type="dcterms:W3CDTF">2025-09-01T15:44:14Z</dcterms:modified>
</cp:coreProperties>
</file>