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8D6FD82-80A0-4AFF-906C-6C049F8BB0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<sst xmlns="http://schemas.openxmlformats.org/spreadsheetml/2006/main" count="211" uniqueCount="164">
  <si>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</si>
  <si>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</si>
  <si>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</si>
  <si>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</si>
  <si>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</si>
  <si>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</si>
  <si>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</si>
  <si>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</si>
  <si>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</si>
  <si>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</si>
  <si>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</si>
  <si>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</si>
  <si>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</si>
  <si>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</si>
  <si>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</si>
  <si>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</si>
  <si>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</si>
  <si>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</si>
  <si>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</si>
  <si>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</si>
  <si>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</si>
  <si>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</si>
  <si>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</si>
  <si>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</si>
  <si>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</si>
  <si>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</si>
  <si>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</si>
  <si>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</si>
  <si>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</si>
  <si>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</si>
  <si>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</si>
  <si>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</si>
  <si>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</si>
  <si>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</si>
  <si>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</si>
  <si>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</si>
  <si>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</si>
  <si>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</si>
  <si>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</si>
  <si>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</si>
  <si>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</si>
  <si>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</si>
  <si>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</si>
  <si>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</si>
  <si>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</si>
  <si>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</si>
  <si>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</si>
  <si>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</si>
  <si>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</si>
  <si>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</si>
  <si>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</si>
  <si>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</si>
  <si>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</si>
  <si>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</si>
  <si>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</si>
  <si>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</si>
  <si>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</si>
  <si>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</si>
  <si>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</si>
  <si>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</si>
  <si>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</si>
  <si>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</si>
  <si>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</si>
  <si>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</si>
  <si>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</si>
  <si>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</si>
  <si>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</si>
  <si>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</si>
  <si>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</si>
  <si>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</si>
  <si>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</si>
  <si>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</si>
  <si>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</si>
  <si>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</si>
  <si>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</si>
  <si>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</si>
  <si>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</si>
  <si>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</si>
  <si>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</si>
  <si>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</si>
  <si>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</si>
  <si>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</si>
  <si>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</si>
  <si>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</si>
  <si>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</si>
  <si>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</si>
  <si>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</si>
  <si>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</si>
  <si>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</si>
  <si>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</si>
  <si>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</si>
  <si>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</si>
  <si>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</si>
  <si>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</si>
  <si>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</si>
  <si>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</si>
  <si>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</si>
  <si>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</si>
  <si>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</si>
  <si>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</si>
  <si>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</si>
  <si>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</si>
  <si>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</si>
  <si>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</si>
  <si>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</si>
  <si>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</si>
  <si>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</si>
  <si>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</si>
  <si>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</si>
  <si>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</si>
  <si>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</si>
  <si>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</si>
  <si>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</si>
  <si>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</si>
  <si>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</si>
  <si>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</si>
  <si>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</si>
  <si>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</si>
  <si>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</si>
  <si>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</si>
  <si>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</si>
  <si>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</si>
  <si>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</si>
  <si>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</si>
  <si>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</si>
  <si>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</si>
  <si>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</si>
  <si>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</si>
  <si>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</si>
  <si>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</si>
  <si>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</si>
  <si>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</si>
  <si>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</si>
  <si>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</si>
  <si>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</si>
  <si>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</si>
  <si>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</si>
  <si>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</si>
  <si>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</si>
  <si>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</si>
  <si>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</si>
  <si>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</si>
  <si>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</si>
  <si>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</si>
  <si>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</si>
  <si>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</si>
  <si>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</si>
  <si>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</si>
  <si>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</si>
  <si>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</si>
  <si>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</si>
  <si>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</si>
  <si>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</si>
  <si>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</si>
  <si>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</si>
  <si>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</si>
  <si>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</si>
  <si>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</si>
  <si>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</si>
  <si>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</si>
  <si>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EXG-F-7 от </t>
  </si>
  <si>
    <t xml:space="preserve"> 27.08.2025г.</t>
  </si>
  <si>
    <t>40976TBA/400590BA</t>
  </si>
  <si>
    <t xml:space="preserve">СПЕЦИФИКАЦИЯ № EXG-F-7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</si>
</sst>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149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150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151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149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150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151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128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138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980</v>
      </c>
      <c r="F30" s="110" t="s">
        <v>27</v>
      </c>
      <c r="G30" s="106">
        <v>23200</v>
      </c>
      <c r="H30" s="106">
        <v>21435</v>
      </c>
      <c r="I30" s="108">
        <v>0.25</v>
      </c>
      <c r="J30" s="13">
        <f t="shared" ref="J30" si="0">H30*I30</f>
        <v>5358.75</v>
      </c>
      <c r="K30" s="12">
        <v>0</v>
      </c>
      <c r="L30" s="12">
        <v>0</v>
      </c>
      <c r="M30" s="13">
        <f t="shared" ref="M30" si="1">J30</f>
        <v>5358.75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23200</v>
      </c>
      <c r="H31" s="64">
        <f>SUM(H30:H30)</f>
        <v>21435</v>
      </c>
      <c r="I31" s="102"/>
      <c r="J31" s="17">
        <f>SUM(J30:J30)</f>
        <v>5358.75</v>
      </c>
      <c r="K31" s="16"/>
      <c r="L31" s="16"/>
      <c r="M31" s="17">
        <f>SUM(M30:M30)</f>
        <v>5358.75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триста пятьдесят восемь долларов США, 75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EXG-F-7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23200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40976TBA/400590BA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40976TBA/400590BA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EXG-F-7 от  27.08.2025г.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980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23200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980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4" t="str">
        <f>+Инвойс!F1</f>
        <v xml:space="preserve"> 27.08.2025г.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40976TBA/400590BA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23200</v>
      </c>
      <c r="H30" s="106">
        <f>+Инвойс!H30</f>
        <v>21435</v>
      </c>
      <c r="I30" s="108">
        <f>+Инвойс!I30</f>
        <v>0.25</v>
      </c>
      <c r="J30" s="13">
        <f>+Инвойс!J30</f>
        <v>5358.75</v>
      </c>
      <c r="K30" s="12">
        <v>0</v>
      </c>
      <c r="L30" s="12">
        <v>0</v>
      </c>
      <c r="M30" s="13">
        <f>+Инвойс!M30</f>
        <v>5358.75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23200</v>
      </c>
      <c r="H31" s="64">
        <f>SUM(H30:H30)</f>
        <v>21435</v>
      </c>
      <c r="I31" s="102"/>
      <c r="J31" s="17">
        <f>SUM(J30:J30)</f>
        <v>5358.75</v>
      </c>
      <c r="K31" s="16"/>
      <c r="L31" s="16"/>
      <c r="M31" s="17">
        <f>SUM(M30:M30)</f>
        <v>5358.75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Пять тысяч триста пятьдесят восемь долларов США, 75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АБДИЛАКИМОВ А.А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5358.75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пятьдесят восемь долларов США, 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45896</v>
      </c>
      <c r="O3" s="177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пятьдесят восемь долларов США, 75 центов. (в т.ч. НДС - 357,79)</v>
      </c>
      <c r="H4" s="32"/>
      <c r="I4" s="32"/>
      <c r="J4" s="32"/>
      <c r="K4" s="178" t="str">
        <f ca="1">CONCATENATE(" «  ",P3,"  »  ",Q3,"  ",R3," г.")</f>
        <v xml:space="preserve"> «  27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пятьдесят восемь долларов США, 75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пятьдесят восемь долларов США, 75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пятьдесят восемь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5358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5358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2025-08-27T06:55:31Z</cp:lastPrinted>
  <dcterms:created xsi:type="dcterms:W3CDTF">1996-10-14T23:33:28Z</dcterms:created>
  <dcterms:modified xsi:type="dcterms:W3CDTF">2025-08-27T06:55:37Z</dcterms:modified>
</cp:coreProperties>
</file>