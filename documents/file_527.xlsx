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<sst xmlns="http://schemas.openxmlformats.org/spreadsheetml/2006/main" count="199" uniqueCount="161">
  <si>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</si>
  <si>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</si>
  <si>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</si>
  <si>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</si>
  <si>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</si>
  <si>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</si>
  <si>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</si>
  <si>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</si>
  <si>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</si>
  <si>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</si>
  <si>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</si>
  <si>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</si>
  <si>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</si>
  <si>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</si>
  <si>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</si>
  <si>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</si>
  <si>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</si>
  <si>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</si>
  <si>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</si>
  <si>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</si>
  <si>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</si>
  <si>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</si>
  <si>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</si>
  <si>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</si>
  <si>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</si>
  <si>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</si>
  <si>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</si>
  <si>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</si>
  <si>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</si>
  <si>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</si>
  <si>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</si>
  <si>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</si>
  <si>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</si>
  <si>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</si>
  <si>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</si>
  <si>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</si>
  <si>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</si>
  <si>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</si>
  <si>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</si>
  <si>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</si>
  <si>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</si>
  <si>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</si>
  <si>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</si>
  <si>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</si>
  <si>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</si>
  <si>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</si>
  <si>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</si>
  <si>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</si>
  <si>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</si>
  <si>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</si>
  <si>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</si>
  <si>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</si>
  <si>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</si>
  <si>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</si>
  <si>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</si>
  <si>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</si>
  <si>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</si>
  <si>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</si>
  <si>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</si>
  <si>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</si>
  <si>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</si>
  <si>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</si>
  <si>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</si>
  <si>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</si>
  <si>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</si>
  <si>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</si>
  <si>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</si>
  <si>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</si>
  <si>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</si>
  <si>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</si>
  <si>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</si>
  <si>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</si>
  <si>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</si>
  <si>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</si>
  <si>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</si>
  <si>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</si>
  <si>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</si>
  <si>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</si>
  <si>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</si>
  <si>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</si>
  <si>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</si>
  <si>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</si>
  <si>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</si>
  <si>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</si>
  <si>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</si>
  <si>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</si>
  <si>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</si>
  <si>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</si>
  <si>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</si>
  <si>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</si>
  <si>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</si>
  <si>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</si>
  <si>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</si>
  <si>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</si>
  <si>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</si>
  <si>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</si>
  <si>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</si>
  <si>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</si>
  <si>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</si>
  <si>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</si>
  <si>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</si>
  <si>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</si>
  <si>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</si>
  <si>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</si>
  <si>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</si>
  <si>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</si>
  <si>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</si>
  <si>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</si>
  <si>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</si>
  <si>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</si>
  <si>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</si>
  <si>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</si>
  <si>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</si>
  <si>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</si>
  <si>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</si>
  <si>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</si>
  <si>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</si>
  <si>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</si>
  <si>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</si>
  <si>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</si>
  <si>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</si>
  <si>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</si>
  <si>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</si>
  <si>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</si>
  <si>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</si>
  <si>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</si>
  <si>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</si>
  <si>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</si>
  <si>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</si>
  <si>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</si>
  <si>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</si>
  <si>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</si>
  <si>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</si>
  <si>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</si>
  <si>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</si>
  <si>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</si>
  <si>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</si>
  <si>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</si>
  <si>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</si>
  <si>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</si>
  <si>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</si>
  <si>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</si>
  <si>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</si>
  <si>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</si>
  <si>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</si>
  <si>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</si>
  <si>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</si>
  <si>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</si>
  <si>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</si>
  <si>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</si>
  <si>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</si>
  <si>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</si>
  <si>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</si>
  <si>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</si>
  <si>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</si>
  <si>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</si>
  <si>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 10.09.2025г.</t>
  </si>
  <si>
    <t>г.Москва, Санкт-Петербург, Самара, Свердловск, Брянск, Пермь, Омск, Казань, Ростов-на-дону, Саратов, Махачкала,
 Воронеж, Новосибирск, Волгоград, Краснодар, Тула, Архангельск, Мурманск, Владивосток, Хабаровск, Чита, Иркутск, Челябинск, Якутск, Екатеринбург, Астрахань, Оренбург, Краснодар, Сыктывкар, Сургут, Красноярск, Братск, Петропавловск .Крым Симферополь/ Российская федерация</t>
  </si>
  <si>
    <t xml:space="preserve">ИНВОЙС № EXZ-F-17 от </t>
  </si>
  <si>
    <t>30V030PA/308829AA</t>
  </si>
  <si>
    <t xml:space="preserve">СПЕЦИФИКАЦИЯ № EXZ-F-17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</si>
</sst>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sz val="7.5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0" fontId="79" fillId="0" borderId="0" xfId="0" applyFont="1" applyAlignment="1">
      <alignment horizontal="left" vertical="top" wrapText="1"/>
    </xf>
    <xf numFmtId="0" fontId="79" fillId="0" borderId="0" xfId="0" applyFont="1" applyAlignment="1">
      <alignment horizontal="left" vertical="top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4" t="s">
        <v>158</v>
      </c>
      <c r="D1" s="154"/>
      <c r="E1" s="154"/>
      <c r="F1" s="153" t="s">
        <v>156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">
        <v>137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">
        <v>126</v>
      </c>
      <c r="B5" s="155"/>
      <c r="C5" s="155"/>
      <c r="D5" s="155"/>
      <c r="E5" s="155"/>
      <c r="F5" s="6"/>
      <c r="G5" s="148" t="s">
        <v>138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127</v>
      </c>
      <c r="B6" s="142"/>
      <c r="C6" s="142"/>
      <c r="D6" s="142"/>
      <c r="E6" s="142"/>
      <c r="F6" s="7"/>
      <c r="G6" s="141" t="s">
        <v>139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2" t="s">
        <v>128</v>
      </c>
      <c r="B7" s="142"/>
      <c r="C7" s="142"/>
      <c r="D7" s="142"/>
      <c r="E7" s="142"/>
      <c r="F7" s="63"/>
      <c r="G7" s="141" t="s">
        <v>140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129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130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131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132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133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">
        <v>126</v>
      </c>
      <c r="B14" s="155"/>
      <c r="C14" s="155"/>
      <c r="D14" s="155"/>
      <c r="E14" s="155"/>
      <c r="F14" s="6"/>
      <c r="G14" s="148" t="s">
        <v>145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">
        <v>127</v>
      </c>
      <c r="B15" s="142"/>
      <c r="C15" s="142"/>
      <c r="D15" s="142"/>
      <c r="E15" s="142"/>
      <c r="F15" s="7"/>
      <c r="G15" s="141" t="s">
        <v>146</v>
      </c>
      <c r="H15" s="142"/>
      <c r="I15" s="142"/>
      <c r="J15" s="142"/>
      <c r="K15" s="142"/>
      <c r="L15" s="142"/>
      <c r="M15" s="142"/>
    </row>
    <row r="16" spans="1:15" ht="15" x14ac:dyDescent="0.25">
      <c r="A16" s="142" t="s">
        <v>128</v>
      </c>
      <c r="B16" s="142"/>
      <c r="C16" s="142"/>
      <c r="D16" s="142"/>
      <c r="E16" s="142"/>
      <c r="F16" s="63"/>
      <c r="G16" s="141" t="s">
        <v>147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129</v>
      </c>
      <c r="B17" s="8"/>
      <c r="C17" s="8"/>
      <c r="D17" s="8"/>
      <c r="E17" s="8"/>
      <c r="F17" s="63"/>
      <c r="G17" s="7" t="s">
        <v>148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130</v>
      </c>
      <c r="B18" s="8"/>
      <c r="C18" s="8"/>
      <c r="D18" s="8"/>
      <c r="E18" s="8"/>
      <c r="F18" s="7"/>
      <c r="G18" s="8" t="s">
        <v>149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131</v>
      </c>
      <c r="B19" s="125"/>
      <c r="C19" s="125"/>
      <c r="D19" s="125"/>
      <c r="E19" s="125"/>
      <c r="F19" s="7"/>
      <c r="G19" s="7" t="s">
        <v>150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132</v>
      </c>
      <c r="B20" s="8"/>
      <c r="C20" s="8"/>
      <c r="D20" s="8"/>
      <c r="E20" s="8"/>
      <c r="F20" s="7"/>
      <c r="G20" s="7" t="s">
        <v>151</v>
      </c>
      <c r="H20" s="23"/>
      <c r="I20" s="23"/>
      <c r="J20" s="23"/>
    </row>
    <row r="21" spans="1:17" ht="15" x14ac:dyDescent="0.25">
      <c r="A21" s="99" t="s">
        <v>133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124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155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159</v>
      </c>
      <c r="F26" s="140"/>
      <c r="G26" s="140"/>
      <c r="J26" s="21"/>
    </row>
    <row r="27" spans="1:17" ht="34.5" customHeight="1" x14ac:dyDescent="0.25">
      <c r="A27" s="67" t="s">
        <v>108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122</v>
      </c>
      <c r="C30" s="107" t="s">
        <v>123</v>
      </c>
      <c r="D30" s="109" t="s">
        <v>109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двести сорок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107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134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152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61" t="s">
        <v>157</v>
      </c>
      <c r="C13" s="162"/>
      <c r="D13" s="162"/>
      <c r="E13" s="162"/>
      <c r="F13" s="162"/>
      <c r="G13" s="162"/>
      <c r="H13" s="162"/>
      <c r="I13" s="162"/>
      <c r="J13" s="113"/>
      <c r="K13" s="113"/>
    </row>
    <row r="14" spans="1:11" ht="11.25" customHeight="1" x14ac:dyDescent="0.2">
      <c r="B14" s="162"/>
      <c r="C14" s="162"/>
      <c r="D14" s="162"/>
      <c r="E14" s="162"/>
      <c r="F14" s="162"/>
      <c r="G14" s="162"/>
      <c r="H14" s="162"/>
      <c r="I14" s="162"/>
    </row>
    <row r="15" spans="1:11" ht="7.5" hidden="1" customHeight="1" x14ac:dyDescent="0.2">
      <c r="B15" s="162"/>
      <c r="C15" s="162"/>
      <c r="D15" s="162"/>
      <c r="E15" s="162"/>
      <c r="F15" s="162"/>
      <c r="G15" s="162"/>
      <c r="H15" s="162"/>
      <c r="I15" s="162"/>
    </row>
    <row r="16" spans="1:11" ht="21.75" customHeight="1" x14ac:dyDescent="0.2">
      <c r="B16" s="162"/>
      <c r="C16" s="162"/>
      <c r="D16" s="162"/>
      <c r="E16" s="162"/>
      <c r="F16" s="162"/>
      <c r="G16" s="162"/>
      <c r="H16" s="162"/>
      <c r="I16" s="162"/>
    </row>
    <row r="17" spans="1:9" ht="25.5" customHeight="1" x14ac:dyDescent="0.2"/>
    <row r="18" spans="1:9" ht="13.5" customHeight="1" x14ac:dyDescent="0.2">
      <c r="A18" s="70" t="s">
        <v>91</v>
      </c>
      <c r="B18" s="70" t="s">
        <v>110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92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EXZ-F-17 от  10.09.2025г.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105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93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111</v>
      </c>
      <c r="D49" s="160" t="str">
        <f>+C22</f>
        <v xml:space="preserve"> 10.09.2025г.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94</v>
      </c>
      <c r="C57" s="80" t="str">
        <f>+Инвойс!E26</f>
        <v>30V030PA/308829AA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5">
    <mergeCell ref="B24:D24"/>
    <mergeCell ref="B25:D25"/>
    <mergeCell ref="B45:D46"/>
    <mergeCell ref="D49:F49"/>
    <mergeCell ref="B13:I16"/>
  </mergeCells>
  <pageMargins left="0.43307086614173229" right="0.19685039370078741" top="0.39370078740157483" bottom="0.19685039370078741" header="0.39370078740157483" footer="0.51181102362204722"/>
  <pageSetup paperSize="9" orientation="portrait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70" t="s">
        <v>95</v>
      </c>
      <c r="C2" s="17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96</v>
      </c>
      <c r="F7" s="84"/>
      <c r="G7" s="85" t="s">
        <v>97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98</v>
      </c>
    </row>
    <row r="14" spans="2:11" ht="21" customHeight="1" x14ac:dyDescent="0.3">
      <c r="B14" s="171" t="str">
        <f>+Инвойс!E26</f>
        <v>30V030PA/308829AA</v>
      </c>
      <c r="C14" s="171"/>
      <c r="D14" s="171"/>
      <c r="E14" s="171"/>
      <c r="F14" s="171"/>
      <c r="G14" s="171"/>
      <c r="H14" s="172" t="s">
        <v>106</v>
      </c>
      <c r="I14" s="172"/>
      <c r="J14" s="88" t="str">
        <f>+Инвойс!F1</f>
        <v xml:space="preserve"> 10.09.2025г.</v>
      </c>
      <c r="K14" s="89"/>
    </row>
    <row r="15" spans="2:11" ht="21" x14ac:dyDescent="0.35">
      <c r="B15" s="82" t="s">
        <v>99</v>
      </c>
      <c r="C15" s="90"/>
      <c r="D15" s="90"/>
      <c r="E15" s="90"/>
      <c r="F15" s="90"/>
      <c r="G15" s="89" t="s">
        <v>100</v>
      </c>
      <c r="H15" s="173" t="str">
        <f>+CMR!B24</f>
        <v>ИНВОЙС № EXZ-F-17 от  10.09.2025г.</v>
      </c>
      <c r="I15" s="173"/>
      <c r="J15" s="173"/>
      <c r="K15" s="89"/>
    </row>
    <row r="16" spans="2:11" ht="15.75" x14ac:dyDescent="0.25">
      <c r="B16" s="83"/>
    </row>
    <row r="17" spans="2:10" ht="23.25" customHeight="1" x14ac:dyDescent="0.25">
      <c r="B17" s="83" t="s">
        <v>101</v>
      </c>
    </row>
    <row r="18" spans="2:10" ht="13.5" customHeight="1" x14ac:dyDescent="0.25">
      <c r="B18" s="91"/>
      <c r="E18" s="117"/>
      <c r="F18" s="118">
        <f>+Инвойс!E30</f>
        <v>1000</v>
      </c>
      <c r="G18" s="165" t="str">
        <f>+CMR!F30</f>
        <v>Дыни свежие</v>
      </c>
      <c r="H18" s="165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3" t="str">
        <f>+Инвойс!C30</f>
        <v>0807190001</v>
      </c>
      <c r="H19" s="164"/>
      <c r="I19" s="122" t="s">
        <v>102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5"/>
      <c r="H20" s="165"/>
      <c r="I20" s="119"/>
      <c r="J20" s="120"/>
    </row>
    <row r="21" spans="2:10" ht="13.5" customHeight="1" x14ac:dyDescent="0.25">
      <c r="B21" s="83" t="s">
        <v>103</v>
      </c>
      <c r="E21" s="123"/>
      <c r="F21" s="121"/>
      <c r="G21" s="163"/>
      <c r="H21" s="164"/>
      <c r="I21" s="122"/>
      <c r="J21" s="120"/>
    </row>
    <row r="22" spans="2:10" ht="12.75" customHeight="1" x14ac:dyDescent="0.25">
      <c r="B22" s="83"/>
      <c r="E22" s="123"/>
      <c r="F22" s="118"/>
      <c r="G22" s="165"/>
      <c r="H22" s="165"/>
      <c r="I22" s="119"/>
      <c r="J22" s="120"/>
    </row>
    <row r="23" spans="2:10" ht="14.25" customHeight="1" x14ac:dyDescent="0.25">
      <c r="B23" s="83"/>
      <c r="E23" s="123"/>
      <c r="F23" s="121"/>
      <c r="G23" s="163"/>
      <c r="H23" s="164"/>
      <c r="I23" s="122"/>
      <c r="J23" s="120"/>
    </row>
    <row r="24" spans="2:10" ht="12.75" customHeight="1" x14ac:dyDescent="0.25">
      <c r="B24" s="87"/>
      <c r="E24" s="123"/>
      <c r="F24" s="118"/>
      <c r="G24" s="165"/>
      <c r="H24" s="165"/>
      <c r="I24" s="119"/>
      <c r="J24" s="120"/>
    </row>
    <row r="25" spans="2:10" ht="12.75" customHeight="1" x14ac:dyDescent="0.25">
      <c r="B25" s="87"/>
      <c r="E25" s="123"/>
      <c r="F25" s="121"/>
      <c r="G25" s="163"/>
      <c r="H25" s="164"/>
      <c r="I25" s="122"/>
      <c r="J25" s="120"/>
    </row>
    <row r="26" spans="2:10" ht="12" customHeight="1" x14ac:dyDescent="0.25">
      <c r="B26" s="87"/>
      <c r="E26" s="123"/>
      <c r="F26" s="118"/>
      <c r="G26" s="165"/>
      <c r="H26" s="165"/>
      <c r="I26" s="119"/>
      <c r="J26" s="120"/>
    </row>
    <row r="27" spans="2:10" ht="14.25" customHeight="1" x14ac:dyDescent="0.25">
      <c r="B27" s="87"/>
      <c r="E27" s="123"/>
      <c r="F27" s="121"/>
      <c r="G27" s="163"/>
      <c r="H27" s="164"/>
      <c r="I27" s="122"/>
      <c r="J27" s="120"/>
    </row>
    <row r="28" spans="2:10" ht="12.75" customHeight="1" x14ac:dyDescent="0.25">
      <c r="B28" s="87"/>
      <c r="E28" s="123"/>
      <c r="F28" s="118"/>
      <c r="G28" s="165"/>
      <c r="H28" s="165"/>
      <c r="I28" s="119"/>
      <c r="J28" s="120"/>
    </row>
    <row r="29" spans="2:10" ht="12.75" customHeight="1" x14ac:dyDescent="0.25">
      <c r="B29" s="87"/>
      <c r="E29" s="123"/>
      <c r="F29" s="121"/>
      <c r="G29" s="163"/>
      <c r="H29" s="164"/>
      <c r="I29" s="122"/>
      <c r="J29" s="120"/>
    </row>
    <row r="30" spans="2:10" ht="12.75" customHeight="1" x14ac:dyDescent="0.25">
      <c r="B30" s="87"/>
      <c r="E30" s="123"/>
      <c r="F30" s="118"/>
      <c r="G30" s="165"/>
      <c r="H30" s="165"/>
      <c r="I30" s="119"/>
      <c r="J30" s="120"/>
    </row>
    <row r="31" spans="2:10" ht="13.5" customHeight="1" x14ac:dyDescent="0.25">
      <c r="B31" s="87"/>
      <c r="E31" s="123"/>
      <c r="F31" s="121"/>
      <c r="G31" s="163"/>
      <c r="H31" s="164"/>
      <c r="I31" s="122"/>
      <c r="J31" s="120"/>
    </row>
    <row r="32" spans="2:10" ht="13.5" customHeight="1" x14ac:dyDescent="0.25">
      <c r="B32" s="87"/>
      <c r="E32" s="123"/>
      <c r="F32" s="118"/>
      <c r="G32" s="165"/>
      <c r="H32" s="165"/>
      <c r="I32" s="119"/>
      <c r="J32" s="120"/>
    </row>
    <row r="33" spans="2:10" ht="13.5" customHeight="1" x14ac:dyDescent="0.25">
      <c r="B33" s="87"/>
      <c r="E33" s="123"/>
      <c r="F33" s="121"/>
      <c r="G33" s="163"/>
      <c r="H33" s="164"/>
      <c r="I33" s="122"/>
      <c r="J33" s="120"/>
    </row>
    <row r="34" spans="2:10" ht="13.5" customHeight="1" x14ac:dyDescent="0.25">
      <c r="B34" s="87"/>
      <c r="E34" s="123"/>
      <c r="F34" s="118"/>
      <c r="G34" s="165"/>
      <c r="H34" s="165"/>
      <c r="I34" s="119"/>
      <c r="J34" s="120"/>
    </row>
    <row r="35" spans="2:10" ht="12.75" customHeight="1" x14ac:dyDescent="0.25">
      <c r="B35" s="87"/>
      <c r="E35" s="123"/>
      <c r="F35" s="121"/>
      <c r="G35" s="163"/>
      <c r="H35" s="164"/>
      <c r="I35" s="122"/>
      <c r="J35" s="120"/>
    </row>
    <row r="36" spans="2:10" x14ac:dyDescent="0.25">
      <c r="B36" s="87"/>
      <c r="E36" s="123"/>
      <c r="F36" s="118"/>
      <c r="G36" s="165"/>
      <c r="H36" s="165"/>
      <c r="I36" s="119"/>
      <c r="J36" s="120"/>
    </row>
    <row r="37" spans="2:10" ht="13.5" customHeight="1" x14ac:dyDescent="0.25">
      <c r="B37" s="87"/>
      <c r="E37" s="123"/>
      <c r="F37" s="121"/>
      <c r="G37" s="163"/>
      <c r="H37" s="164"/>
      <c r="I37" s="122"/>
      <c r="J37" s="120"/>
    </row>
    <row r="38" spans="2:10" x14ac:dyDescent="0.25">
      <c r="B38" s="87"/>
      <c r="E38" s="123"/>
      <c r="F38" s="118"/>
      <c r="G38" s="165"/>
      <c r="H38" s="165"/>
      <c r="I38" s="119"/>
      <c r="J38" s="120"/>
    </row>
    <row r="39" spans="2:10" ht="13.5" customHeight="1" x14ac:dyDescent="0.25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25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25">
      <c r="B41" s="87"/>
      <c r="E41" s="123"/>
      <c r="F41" s="121"/>
      <c r="G41" s="163"/>
      <c r="H41" s="164"/>
      <c r="I41" s="122"/>
      <c r="J41" s="120"/>
    </row>
    <row r="42" spans="2:10" hidden="1" x14ac:dyDescent="0.25">
      <c r="B42" s="87"/>
      <c r="E42" s="123"/>
      <c r="F42" s="118"/>
      <c r="G42" s="165"/>
      <c r="H42" s="165"/>
      <c r="I42" s="119"/>
      <c r="J42" s="120"/>
    </row>
    <row r="43" spans="2:10" x14ac:dyDescent="0.25">
      <c r="B43" s="87"/>
      <c r="E43" s="123"/>
      <c r="F43" s="121"/>
      <c r="G43" s="163"/>
      <c r="H43" s="164"/>
      <c r="I43" s="122"/>
      <c r="J43" s="120"/>
    </row>
    <row r="44" spans="2:10" ht="9" customHeight="1" x14ac:dyDescent="0.25">
      <c r="B44" s="87"/>
      <c r="E44" s="95"/>
      <c r="F44" s="92"/>
      <c r="G44" s="167"/>
      <c r="H44" s="167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8">
        <f>+F18+F20+F22+F24+F26+F28+F30+F32+F34+F36+F38+F40+F42</f>
        <v>1000</v>
      </c>
      <c r="E47" s="169"/>
    </row>
    <row r="48" spans="2:10" ht="17.25" customHeight="1" x14ac:dyDescent="0.25">
      <c r="B48" s="166" t="s">
        <v>104</v>
      </c>
      <c r="C48" s="166"/>
      <c r="D48" s="166"/>
      <c r="E48" s="166"/>
    </row>
    <row r="49" spans="2:5" ht="21.75" customHeight="1" x14ac:dyDescent="0.25">
      <c r="B49" s="166"/>
      <c r="C49" s="166"/>
      <c r="D49" s="166"/>
      <c r="E49" s="166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4" t="s">
        <v>160</v>
      </c>
      <c r="C1" s="174"/>
      <c r="D1" s="174"/>
      <c r="E1" s="174"/>
      <c r="F1" s="153" t="str">
        <f>+Инвойс!F1</f>
        <v xml:space="preserve"> 10.09.2025г.</v>
      </c>
      <c r="G1" s="153"/>
      <c r="H1" s="15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5" t="str">
        <f>+Инвойс!G6</f>
        <v xml:space="preserve">107497, Россия, г. Москва, вн.тер.г. муниципальный </v>
      </c>
      <c r="H6" s="175"/>
      <c r="I6" s="175"/>
      <c r="J6" s="175"/>
      <c r="K6" s="175"/>
      <c r="L6" s="175"/>
      <c r="M6" s="175"/>
      <c r="N6" s="4"/>
    </row>
    <row r="7" spans="1:15" ht="15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5" t="str">
        <f>+Инвойс!G7</f>
        <v xml:space="preserve">округ Гольяново, 2-й Иртышский пр-в, д. 4Б, стр. 3 </v>
      </c>
      <c r="H7" s="175"/>
      <c r="I7" s="175"/>
      <c r="J7" s="175"/>
      <c r="K7" s="175"/>
      <c r="L7" s="175"/>
      <c r="M7" s="175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5" t="str">
        <f>+Инвойс!G8</f>
        <v>ИНН/ КПП 9718239835  / 771801001</v>
      </c>
      <c r="H8" s="175"/>
      <c r="I8" s="175"/>
      <c r="J8" s="175"/>
      <c r="K8" s="175"/>
      <c r="L8" s="175"/>
      <c r="M8" s="175"/>
    </row>
    <row r="9" spans="1:15" ht="15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5" t="str">
        <f>+Инвойс!G9</f>
        <v xml:space="preserve">Валютный счет доллары  40702840100000005715 </v>
      </c>
      <c r="H9" s="175"/>
      <c r="I9" s="175"/>
      <c r="J9" s="175"/>
      <c r="K9" s="175"/>
      <c r="L9" s="175"/>
      <c r="M9" s="175"/>
      <c r="O9" s="7"/>
    </row>
    <row r="10" spans="1:15" ht="15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5" t="str">
        <f>+Инвойс!G10</f>
        <v>КБ "Максима"(ООО), г. Москва РФ</v>
      </c>
      <c r="H10" s="175"/>
      <c r="I10" s="175"/>
      <c r="J10" s="175"/>
      <c r="K10" s="175"/>
      <c r="L10" s="175"/>
      <c r="M10" s="175"/>
    </row>
    <row r="11" spans="1:15" ht="15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5" t="str">
        <f>+Инвойс!G11</f>
        <v>(SWIFT code: MAXMRUM1XXX)</v>
      </c>
      <c r="H11" s="175"/>
      <c r="I11" s="175"/>
      <c r="J11" s="175"/>
      <c r="K11" s="175"/>
      <c r="L11" s="175"/>
      <c r="M11" s="175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2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5" t="str">
        <f>+Инвойс!G15</f>
        <v>108811, г. Москва, вн.тер.г. муниципальный округ</v>
      </c>
      <c r="H15" s="175"/>
      <c r="I15" s="175"/>
      <c r="J15" s="175"/>
      <c r="K15" s="175"/>
      <c r="L15" s="175"/>
      <c r="M15" s="175"/>
    </row>
    <row r="16" spans="1:15" ht="15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5" t="str">
        <f>+Инвойс!G16</f>
        <v>Солнцево, Киевское шоссе, 23-й км, д.8, стр.1</v>
      </c>
      <c r="H16" s="175"/>
      <c r="I16" s="175"/>
      <c r="J16" s="175"/>
      <c r="K16" s="175"/>
      <c r="L16" s="175"/>
      <c r="M16" s="175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5" t="str">
        <f>+Инвойс!G17</f>
        <v xml:space="preserve">р/с USD 40702810501400013450 </v>
      </c>
      <c r="H17" s="175"/>
      <c r="I17" s="175"/>
      <c r="J17" s="175"/>
      <c r="K17" s="175"/>
      <c r="L17" s="175"/>
      <c r="M17" s="175"/>
    </row>
    <row r="18" spans="1:17" ht="15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5" t="str">
        <f>+Инвойс!G18</f>
        <v>Банк: Филиал АО «АЛЬФА-БАНК»</v>
      </c>
      <c r="H18" s="175"/>
      <c r="I18" s="175"/>
      <c r="J18" s="175"/>
      <c r="K18" s="175"/>
      <c r="L18" s="175"/>
      <c r="M18" s="175"/>
    </row>
    <row r="19" spans="1:17" ht="15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5" t="str">
        <f>+Инвойс!G19</f>
        <v>к/с:  30101810200000000593</v>
      </c>
      <c r="H19" s="175"/>
      <c r="I19" s="175"/>
      <c r="J19" s="175"/>
      <c r="K19" s="175"/>
      <c r="L19" s="175"/>
      <c r="M19" s="175"/>
    </row>
    <row r="20" spans="1:17" ht="15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5" t="str">
        <f>+Инвойс!G20</f>
        <v>ИНН/КПП 5004025693/775101001 ОГРН 1135004001802</v>
      </c>
      <c r="H20" s="175"/>
      <c r="I20" s="175"/>
      <c r="J20" s="175"/>
      <c r="K20" s="175"/>
      <c r="L20" s="175"/>
      <c r="M20" s="175"/>
    </row>
    <row r="21" spans="1:17" ht="15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25">
      <c r="A22" s="1" t="s">
        <v>120</v>
      </c>
      <c r="C22" s="65"/>
      <c r="F22" s="1"/>
    </row>
    <row r="23" spans="1:17" ht="26.25" hidden="1" customHeight="1" x14ac:dyDescent="0.2">
      <c r="A23" s="69" t="s">
        <v>87</v>
      </c>
      <c r="B23" s="68"/>
      <c r="C23" s="176" t="s">
        <v>112</v>
      </c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30V030PA/308829AA</v>
      </c>
      <c r="F26" s="140"/>
      <c r="G26" s="140"/>
      <c r="J26" s="21"/>
    </row>
    <row r="27" spans="1:17" ht="34.5" customHeight="1" x14ac:dyDescent="0.25">
      <c r="A27" s="67" t="s">
        <v>121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9" t="str">
        <f>Лист1!B3</f>
        <v>Четыре тысячи двести сорок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1" t="s">
        <v>135</v>
      </c>
      <c r="B36" s="131"/>
      <c r="D36" s="18" t="str">
        <f>+Инвойс!D36</f>
        <v>АБДИЛАКИМОВ А.А</v>
      </c>
      <c r="E36" s="132"/>
      <c r="G36" s="129" t="s">
        <v>125</v>
      </c>
      <c r="H36" s="18" t="str">
        <f>Инвойс!G5</f>
        <v>ООО «Аспект»</v>
      </c>
      <c r="K36" s="133" t="s">
        <v>153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113</v>
      </c>
    </row>
    <row r="3" spans="1:10" ht="51" x14ac:dyDescent="0.2">
      <c r="A3" s="130" t="s">
        <v>124</v>
      </c>
    </row>
    <row r="5" spans="1:10" ht="89.25" x14ac:dyDescent="0.2">
      <c r="A5" s="126" t="s">
        <v>136</v>
      </c>
    </row>
    <row r="6" spans="1:10" x14ac:dyDescent="0.2">
      <c r="E6" s="18"/>
      <c r="J6" s="25"/>
    </row>
    <row r="7" spans="1:10" ht="51" x14ac:dyDescent="0.2">
      <c r="A7" s="126" t="s">
        <v>114</v>
      </c>
    </row>
    <row r="8" spans="1:10" x14ac:dyDescent="0.2">
      <c r="E8" s="18"/>
      <c r="J8" s="25"/>
    </row>
    <row r="9" spans="1:10" ht="51" x14ac:dyDescent="0.2">
      <c r="A9" s="126" t="s">
        <v>115</v>
      </c>
    </row>
    <row r="10" spans="1:10" x14ac:dyDescent="0.2">
      <c r="A10" s="126"/>
      <c r="E10" s="18"/>
      <c r="J10" s="25"/>
    </row>
    <row r="11" spans="1:10" ht="51" x14ac:dyDescent="0.2">
      <c r="A11" s="126" t="s">
        <v>154</v>
      </c>
    </row>
    <row r="12" spans="1:10" x14ac:dyDescent="0.2">
      <c r="E12" s="18"/>
      <c r="J12" s="25"/>
    </row>
    <row r="13" spans="1:10" ht="51" x14ac:dyDescent="0.2">
      <c r="A13" s="126" t="s">
        <v>116</v>
      </c>
    </row>
    <row r="15" spans="1:10" ht="38.25" x14ac:dyDescent="0.2">
      <c r="A15" s="126" t="s">
        <v>117</v>
      </c>
    </row>
    <row r="17" spans="1:1" ht="38.25" x14ac:dyDescent="0.2">
      <c r="A17" s="126" t="s">
        <v>118</v>
      </c>
    </row>
    <row r="19" spans="1:1" ht="38.25" x14ac:dyDescent="0.2">
      <c r="A19" s="128" t="s">
        <v>119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75" x14ac:dyDescent="0.25">
      <c r="E2" s="27">
        <f>Инвойс!M31</f>
        <v>4240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45910</v>
      </c>
      <c r="O3" s="180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81" t="str">
        <f ca="1">CONCATENATE(" «  ",P3,"  »  ",Q3,"  ",R3," г.")</f>
        <v xml:space="preserve"> «  10  »  сентября  2025 г.</v>
      </c>
      <c r="L4" s="181"/>
      <c r="M4" s="181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82" t="s">
        <v>38</v>
      </c>
      <c r="I7" s="182"/>
      <c r="J7" s="18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82"/>
      <c r="I8" s="182"/>
      <c r="J8" s="18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82"/>
      <c r="I9" s="182"/>
      <c r="J9" s="18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82"/>
      <c r="I10" s="182"/>
      <c r="J10" s="18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82"/>
      <c r="I11" s="182"/>
      <c r="J11" s="182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8" t="s">
        <v>85</v>
      </c>
      <c r="B100" s="178"/>
      <c r="C100" s="178"/>
      <c r="D100" s="17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2025-09-10T14:10:37Z</cp:lastPrinted>
  <dcterms:created xsi:type="dcterms:W3CDTF">1996-10-14T23:33:28Z</dcterms:created>
  <dcterms:modified xsi:type="dcterms:W3CDTF">2025-09-10T14:10:38Z</dcterms:modified>
</cp:coreProperties>
</file>