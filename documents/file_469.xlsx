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0B80B0-39AB-4101-B27F-04CD8ED50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<sst xmlns="http://schemas.openxmlformats.org/spreadsheetml/2006/main" count="202" uniqueCount="164">
  <si>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</si>
  <si>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</si>
  <si>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</si>
  <si>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</si>
  <si>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</si>
  <si>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</si>
  <si>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</si>
  <si>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</si>
  <si>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</si>
  <si>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</si>
  <si>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</si>
  <si>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</si>
  <si>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</si>
  <si>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</si>
  <si>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</si>
  <si>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</si>
  <si>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</si>
  <si>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</si>
  <si>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</si>
  <si>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</si>
  <si>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</si>
  <si>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</si>
  <si>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</si>
  <si>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</si>
  <si>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</si>
  <si>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</si>
  <si>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</si>
  <si>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</si>
  <si>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</si>
  <si>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</si>
  <si>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</si>
  <si>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</si>
  <si>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</si>
  <si>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</si>
  <si>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</si>
  <si>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</si>
  <si>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</si>
  <si>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</si>
  <si>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</si>
  <si>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</si>
  <si>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</si>
  <si>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</si>
  <si>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</si>
  <si>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</si>
  <si>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</si>
  <si>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</si>
  <si>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</si>
  <si>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</si>
  <si>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</si>
  <si>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</si>
  <si>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</si>
  <si>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</si>
  <si>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</si>
  <si>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</si>
  <si>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</si>
  <si>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</si>
  <si>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</si>
  <si>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</si>
  <si>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</si>
  <si>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</si>
  <si>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</si>
  <si>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</si>
  <si>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</si>
  <si>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</si>
  <si>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</si>
  <si>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</si>
  <si>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</si>
  <si>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</si>
  <si>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</si>
  <si>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</si>
  <si>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</si>
  <si>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</si>
  <si>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</si>
  <si>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</si>
  <si>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</si>
  <si>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</si>
  <si>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</si>
  <si>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</si>
  <si>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</si>
  <si>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</si>
  <si>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</si>
  <si>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</si>
  <si>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</si>
  <si>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</si>
  <si>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</si>
  <si>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</si>
  <si>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</si>
  <si>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</si>
  <si>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</si>
  <si>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</si>
  <si>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</si>
  <si>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</si>
  <si>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</si>
  <si>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</si>
  <si>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</si>
  <si>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</si>
  <si>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</si>
  <si>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</si>
  <si>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</si>
  <si>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</si>
  <si>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</si>
  <si>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</si>
  <si>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</si>
  <si>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</si>
  <si>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</si>
  <si>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</si>
  <si>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</si>
  <si>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</si>
  <si>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</si>
  <si>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</si>
  <si>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</si>
  <si>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</si>
  <si>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</si>
  <si>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</si>
  <si>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</si>
  <si>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</si>
  <si>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</si>
  <si>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</si>
  <si>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</si>
  <si>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</si>
  <si>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</si>
  <si>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</si>
  <si>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</si>
  <si>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</si>
  <si>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</si>
  <si>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</si>
  <si>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</si>
  <si>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</si>
  <si>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</si>
  <si>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</si>
  <si>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</si>
  <si>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</si>
  <si>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</si>
  <si>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</si>
  <si>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</si>
  <si>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</si>
  <si>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</si>
  <si>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</si>
  <si>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</si>
  <si>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</si>
  <si>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</si>
  <si>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</si>
  <si>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</si>
  <si>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</si>
  <si>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</si>
  <si>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</si>
  <si>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</si>
  <si>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</si>
  <si>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</si>
  <si>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</si>
  <si>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</si>
  <si>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</si>
  <si>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</si>
  <si>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</si>
  <si>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</si>
  <si>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</si>
  <si>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</si>
  <si>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</si>
  <si>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</si>
  <si>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</si>
  <si>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EXZ-F-2 от </t>
  </si>
  <si>
    <t xml:space="preserve"> 07.09.2025г.</t>
  </si>
  <si>
    <t>10484RBA/103169BA</t>
  </si>
  <si>
    <t xml:space="preserve">СПЕЦИФИКАЦИЯ № EXZ-F-2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</si>
</sst>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900</v>
      </c>
      <c r="F30" s="110" t="s">
        <v>27</v>
      </c>
      <c r="G30" s="106">
        <v>22888</v>
      </c>
      <c r="H30" s="106">
        <v>21268</v>
      </c>
      <c r="I30" s="108">
        <v>0.2</v>
      </c>
      <c r="J30" s="13">
        <f t="shared" ref="J30" si="0">H30*I30</f>
        <v>4253.6000000000004</v>
      </c>
      <c r="K30" s="12">
        <v>0</v>
      </c>
      <c r="L30" s="12">
        <v>0</v>
      </c>
      <c r="M30" s="13">
        <f t="shared" ref="M30" si="1">J30</f>
        <v>4253.6000000000004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22888</v>
      </c>
      <c r="H31" s="64">
        <f>SUM(H30:H30)</f>
        <v>21268</v>
      </c>
      <c r="I31" s="102"/>
      <c r="J31" s="17">
        <f>SUM(J30:J30)</f>
        <v>4253.6000000000004</v>
      </c>
      <c r="K31" s="16"/>
      <c r="L31" s="16"/>
      <c r="M31" s="17">
        <f>SUM(M30:M30)</f>
        <v>4253.6000000000004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двести пятьдесят три доллара США,60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40" sqref="J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EXZ-F-2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22888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10484RBA/103169BA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26" sqref="G26:H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10484RBA/103169BA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EXZ-F-2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22888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900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10484RBA/103169BA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22888</v>
      </c>
      <c r="H30" s="106">
        <f>+Инвойс!H30</f>
        <v>21268</v>
      </c>
      <c r="I30" s="108">
        <f>+Инвойс!I30</f>
        <v>0.2</v>
      </c>
      <c r="J30" s="13">
        <f>+Инвойс!J30</f>
        <v>4253.6000000000004</v>
      </c>
      <c r="K30" s="12">
        <v>0</v>
      </c>
      <c r="L30" s="12">
        <v>0</v>
      </c>
      <c r="M30" s="13">
        <f>+Инвойс!M30</f>
        <v>4253.6000000000004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22888</v>
      </c>
      <c r="H31" s="64">
        <f>SUM(H30:H30)</f>
        <v>21268</v>
      </c>
      <c r="I31" s="102"/>
      <c r="J31" s="17">
        <f>SUM(J30:J30)</f>
        <v>4253.6000000000004</v>
      </c>
      <c r="K31" s="16"/>
      <c r="L31" s="16"/>
      <c r="M31" s="17">
        <f>SUM(M30:M30)</f>
        <v>4253.6000000000004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двести пятьдесят три доллара США,60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158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4253.6000000000004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пятьдесят три доллара США,60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45907</v>
      </c>
      <c r="O3" s="177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двести пятьдесят три доллара США,60 центов. (в т.ч. НДС - 357,79)</v>
      </c>
      <c r="H4" s="32"/>
      <c r="I4" s="32"/>
      <c r="J4" s="32"/>
      <c r="K4" s="178" t="str">
        <f ca="1">CONCATENATE(" «  ",P3,"  »  ",Q3,"  ",R3," г.")</f>
        <v xml:space="preserve"> «  7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пятьдесят три доллара США,60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пятьдесят три доллара США,60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пятьдесят три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60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4253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4253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2025-09-07T11:27:53Z</cp:lastPrinted>
  <dcterms:created xsi:type="dcterms:W3CDTF">1996-10-14T23:33:28Z</dcterms:created>
  <dcterms:modified xsi:type="dcterms:W3CDTF">2025-09-07T11:28:15Z</dcterms:modified>
</cp:coreProperties>
</file>