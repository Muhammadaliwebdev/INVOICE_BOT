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FFF3C38-D985-4E48-B5B3-E65D1CFFE0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<sst xmlns="http://schemas.openxmlformats.org/spreadsheetml/2006/main" count="217" uniqueCount="166">
  <si>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</si>
  <si>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</si>
  <si>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</si>
  <si>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</si>
  <si>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</si>
  <si>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</si>
  <si>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</si>
  <si>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</si>
  <si>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</si>
  <si>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</si>
  <si>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</si>
  <si>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</si>
  <si>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</si>
  <si>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</si>
  <si>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</si>
  <si>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</si>
  <si>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</si>
  <si>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</si>
  <si>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</si>
  <si>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</si>
  <si>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</si>
  <si>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</si>
  <si>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</si>
  <si>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</si>
  <si>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</si>
  <si>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</si>
  <si>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</si>
  <si>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</si>
  <si>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</si>
  <si>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</si>
  <si>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</si>
  <si>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</si>
  <si>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</si>
  <si>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</si>
  <si>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</si>
  <si>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</si>
  <si>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</si>
  <si>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</si>
  <si>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</si>
  <si>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</si>
  <si>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</si>
  <si>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</si>
  <si>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</si>
  <si>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</si>
  <si>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</si>
  <si>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</si>
  <si>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</si>
  <si>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</si>
  <si>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</si>
  <si>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</si>
  <si>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</si>
  <si>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</si>
  <si>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</si>
  <si>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</si>
  <si>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</si>
  <si>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</si>
  <si>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</si>
  <si>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</si>
  <si>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</si>
  <si>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</si>
  <si>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</si>
  <si>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</si>
  <si>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</si>
  <si>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</si>
  <si>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</si>
  <si>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</si>
  <si>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</si>
  <si>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</si>
  <si>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</si>
  <si>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</si>
  <si>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</si>
  <si>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</si>
  <si>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</si>
  <si>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</si>
  <si>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</si>
  <si>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</si>
  <si>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</si>
  <si>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</si>
  <si>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</si>
  <si>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</si>
  <si>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</si>
  <si>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</si>
  <si>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</si>
  <si>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</si>
  <si>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</si>
  <si>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</si>
  <si>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</si>
  <si>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</si>
  <si>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</si>
  <si>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</si>
  <si>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</si>
  <si>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</si>
  <si>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</si>
  <si>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</si>
  <si>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</si>
  <si>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</si>
  <si>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</si>
  <si>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</si>
  <si>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</si>
  <si>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</si>
  <si>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</si>
  <si>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</si>
  <si>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</si>
  <si>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</si>
  <si>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</si>
  <si>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</si>
  <si>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</si>
  <si>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</si>
  <si>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</si>
  <si>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</si>
  <si>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</si>
  <si>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</si>
  <si>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</si>
  <si>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</si>
  <si>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</si>
  <si>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</si>
  <si>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</si>
  <si>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</si>
  <si>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</si>
  <si>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</si>
  <si>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</si>
  <si>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</si>
  <si>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</si>
  <si>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</si>
  <si>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</si>
  <si>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</si>
  <si>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</si>
  <si>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</si>
  <si>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</si>
  <si>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</si>
  <si>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</si>
  <si>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</si>
  <si>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</si>
  <si>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</si>
  <si>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</si>
  <si>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</si>
  <si>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</si>
  <si>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</si>
  <si>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</si>
  <si>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</si>
  <si>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</si>
  <si>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</si>
  <si>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</si>
  <si>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</si>
  <si>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</si>
  <si>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</si>
  <si>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</si>
  <si>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</si>
  <si>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</si>
  <si>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</si>
  <si>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</si>
  <si>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</si>
  <si>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</si>
  <si>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</si>
  <si>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</si>
  <si>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</si>
  <si>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</si>
  <si>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</si>
  <si>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</si>
  <si>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Ениссйская, 87А код поста 10504080   ООО "ГРИН ВОРЛД" 
RU/0237/2 от 27.12.2024</t>
  </si>
  <si>
    <t xml:space="preserve">ИНВОЙС № EXG-F-8 от </t>
  </si>
  <si>
    <t xml:space="preserve"> 27.08.2025г.</t>
  </si>
  <si>
    <t>40J734QB/401600CA</t>
  </si>
  <si>
    <t>-</t>
  </si>
  <si>
    <t>Навалом</t>
  </si>
  <si>
    <t xml:space="preserve">СПЕЦИФИКАЦИЯ № EXG-F-8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</si>
</sst>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37</xdr:row>
      <xdr:rowOff>123262</xdr:rowOff>
    </xdr:from>
    <xdr:to>
      <xdr:col>3</xdr:col>
      <xdr:colOff>439882</xdr:colOff>
      <xdr:row>51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37</xdr:row>
      <xdr:rowOff>78440</xdr:rowOff>
    </xdr:from>
    <xdr:to>
      <xdr:col>5</xdr:col>
      <xdr:colOff>179852</xdr:colOff>
      <xdr:row>40</xdr:row>
      <xdr:rowOff>181534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38</xdr:row>
      <xdr:rowOff>11205</xdr:rowOff>
    </xdr:from>
    <xdr:to>
      <xdr:col>2</xdr:col>
      <xdr:colOff>427079</xdr:colOff>
      <xdr:row>51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37</xdr:row>
      <xdr:rowOff>156882</xdr:rowOff>
    </xdr:from>
    <xdr:to>
      <xdr:col>4</xdr:col>
      <xdr:colOff>112618</xdr:colOff>
      <xdr:row>41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37</xdr:row>
      <xdr:rowOff>44824</xdr:rowOff>
    </xdr:from>
    <xdr:to>
      <xdr:col>9</xdr:col>
      <xdr:colOff>578784</xdr:colOff>
      <xdr:row>48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24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">
        <v>148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">
        <v>149</v>
      </c>
      <c r="B5" s="136"/>
      <c r="C5" s="136"/>
      <c r="D5" s="136"/>
      <c r="E5" s="136"/>
      <c r="F5" s="6"/>
      <c r="G5" s="138" t="s">
        <v>140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150</v>
      </c>
      <c r="B6" s="143"/>
      <c r="C6" s="143"/>
      <c r="D6" s="143"/>
      <c r="E6" s="143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5" x14ac:dyDescent="0.25">
      <c r="A7" s="143" t="s">
        <v>151</v>
      </c>
      <c r="B7" s="143"/>
      <c r="C7" s="143"/>
      <c r="D7" s="143"/>
      <c r="E7" s="143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5" x14ac:dyDescent="0.25">
      <c r="A9" s="8" t="s">
        <v>153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5" t="s">
        <v>154</v>
      </c>
      <c r="B10" s="125"/>
      <c r="C10" s="125"/>
      <c r="D10" s="125"/>
      <c r="E10" s="125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155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156</v>
      </c>
      <c r="B12" s="8"/>
      <c r="C12" s="8"/>
      <c r="D12" s="8"/>
      <c r="E12" s="8"/>
      <c r="F12" s="7"/>
      <c r="G12" s="139" t="s">
        <v>146</v>
      </c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">
        <v>149</v>
      </c>
      <c r="B14" s="136"/>
      <c r="C14" s="136"/>
      <c r="D14" s="136"/>
      <c r="E14" s="136"/>
      <c r="F14" s="6"/>
      <c r="G14" s="138" t="s">
        <v>140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">
        <v>150</v>
      </c>
      <c r="B15" s="143"/>
      <c r="C15" s="143"/>
      <c r="D15" s="143"/>
      <c r="E15" s="143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5" x14ac:dyDescent="0.25">
      <c r="A16" s="143" t="s">
        <v>151</v>
      </c>
      <c r="B16" s="143"/>
      <c r="C16" s="143"/>
      <c r="D16" s="143"/>
      <c r="E16" s="143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153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5" x14ac:dyDescent="0.25">
      <c r="A19" s="125" t="s">
        <v>154</v>
      </c>
      <c r="B19" s="125"/>
      <c r="C19" s="125"/>
      <c r="D19" s="125"/>
      <c r="E19" s="125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155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5" x14ac:dyDescent="0.25">
      <c r="A21" s="99" t="s">
        <v>156</v>
      </c>
      <c r="B21" s="8"/>
      <c r="C21" s="8"/>
      <c r="D21" s="8"/>
      <c r="E21" s="8"/>
      <c r="G21" s="139" t="s">
        <v>146</v>
      </c>
      <c r="H21" s="139"/>
      <c r="I21" s="139"/>
      <c r="J21" s="139"/>
      <c r="K21" s="139"/>
      <c r="L21" s="139"/>
      <c r="M21" s="139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81" t="s">
        <v>117</v>
      </c>
      <c r="D23" s="181"/>
      <c r="E23" s="181"/>
      <c r="F23" s="181"/>
      <c r="G23" s="181"/>
      <c r="H23" s="181"/>
      <c r="I23" s="181"/>
      <c r="J23" s="181"/>
      <c r="K23" s="181"/>
      <c r="L23" s="181"/>
      <c r="M23" s="181"/>
    </row>
    <row r="24" spans="1:17" ht="15.75" x14ac:dyDescent="0.25">
      <c r="A24" s="20" t="s">
        <v>22</v>
      </c>
      <c r="C24" s="18" t="s">
        <v>138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30" x14ac:dyDescent="0.2">
      <c r="A30" s="127">
        <v>1</v>
      </c>
      <c r="B30" s="101" t="s">
        <v>126</v>
      </c>
      <c r="C30" s="107" t="s">
        <v>127</v>
      </c>
      <c r="D30" s="109" t="s">
        <v>112</v>
      </c>
      <c r="E30" s="101">
        <v>990</v>
      </c>
      <c r="F30" s="110" t="s">
        <v>27</v>
      </c>
      <c r="G30" s="106">
        <v>22122</v>
      </c>
      <c r="H30" s="106">
        <v>20340</v>
      </c>
      <c r="I30" s="108">
        <v>0.25</v>
      </c>
      <c r="J30" s="13">
        <f t="shared" ref="J30:J31" si="0">H30*I30</f>
        <v>5085</v>
      </c>
      <c r="K30" s="12">
        <v>0</v>
      </c>
      <c r="L30" s="12">
        <v>0</v>
      </c>
      <c r="M30" s="13">
        <f t="shared" ref="M30:M31" si="1">J30</f>
        <v>5085</v>
      </c>
      <c r="O30" s="100"/>
      <c r="Q30" s="100"/>
    </row>
    <row r="31" spans="1:17" ht="15" x14ac:dyDescent="0.2">
      <c r="A31" s="127">
        <v>2</v>
      </c>
      <c r="B31" s="101" t="s">
        <v>126</v>
      </c>
      <c r="C31" s="107" t="s">
        <v>127</v>
      </c>
      <c r="D31" s="109" t="s">
        <v>164</v>
      </c>
      <c r="E31" s="101" t="s">
        <v>163</v>
      </c>
      <c r="F31" s="116" t="s">
        <v>27</v>
      </c>
      <c r="G31" s="106">
        <v>1000</v>
      </c>
      <c r="H31" s="106">
        <v>1000</v>
      </c>
      <c r="I31" s="108">
        <v>0.25</v>
      </c>
      <c r="J31" s="13">
        <f t="shared" si="0"/>
        <v>250</v>
      </c>
      <c r="K31" s="12">
        <v>0</v>
      </c>
      <c r="L31" s="12">
        <v>0</v>
      </c>
      <c r="M31" s="13">
        <f t="shared" si="1"/>
        <v>250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990</v>
      </c>
      <c r="F32" s="15"/>
      <c r="G32" s="64">
        <f>SUM(G30:G31)</f>
        <v>23122</v>
      </c>
      <c r="H32" s="64">
        <f>SUM(H30:H31)</f>
        <v>21340</v>
      </c>
      <c r="I32" s="102"/>
      <c r="J32" s="17">
        <f>SUM(J30:J31)</f>
        <v>5335</v>
      </c>
      <c r="K32" s="16"/>
      <c r="L32" s="16"/>
      <c r="M32" s="17">
        <f>SUM(M30:M31)</f>
        <v>5335</v>
      </c>
      <c r="P32" s="66"/>
    </row>
    <row r="33" spans="1:14" ht="13.5" x14ac:dyDescent="0.25">
      <c r="A33" s="2" t="s">
        <v>17</v>
      </c>
      <c r="B33" s="3"/>
      <c r="C33" s="11"/>
      <c r="D33" s="11"/>
      <c r="E33" s="146" t="str">
        <f>Лист1!B3</f>
        <v>Пять тысяч триста тридцать пять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 t="s">
        <v>109</v>
      </c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ht="15" x14ac:dyDescent="0.25">
      <c r="A37" s="7" t="s">
        <v>28</v>
      </c>
      <c r="B37" s="7"/>
      <c r="D37" s="25" t="s">
        <v>157</v>
      </c>
      <c r="E37" s="24"/>
    </row>
    <row r="38" spans="1:14" ht="15" x14ac:dyDescent="0.25">
      <c r="A38" s="7"/>
      <c r="B38" s="9"/>
    </row>
    <row r="39" spans="1:14" ht="15" x14ac:dyDescent="0.25">
      <c r="A39" s="7" t="s">
        <v>18</v>
      </c>
      <c r="B39" s="9"/>
    </row>
    <row r="40" spans="1:14" ht="15" x14ac:dyDescent="0.25">
      <c r="A40" s="7"/>
      <c r="B40" s="9"/>
    </row>
    <row r="41" spans="1:14" ht="15" x14ac:dyDescent="0.25">
      <c r="A41" s="7" t="s">
        <v>29</v>
      </c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9" zoomScale="115" zoomScaleNormal="115" workbookViewId="0">
      <selection activeCell="B32" sqref="B32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27.08.2025г.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EXG-F-8 от  27.08.2025г.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990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22122</v>
      </c>
    </row>
    <row r="31" spans="1:9" ht="9" customHeight="1" x14ac:dyDescent="0.2">
      <c r="A31" s="74"/>
      <c r="B31" s="103">
        <f>+Инвойс!A31</f>
        <v>2</v>
      </c>
      <c r="C31" s="103" t="str">
        <f>+Инвойс!E31</f>
        <v>-</v>
      </c>
      <c r="D31" s="103" t="str">
        <f>+Инвойс!D31</f>
        <v>Навалом</v>
      </c>
      <c r="E31" s="103"/>
      <c r="F31" s="103" t="str">
        <f>+Инвойс!B31</f>
        <v>Дыни свежие</v>
      </c>
      <c r="G31" s="104" t="str">
        <f>+Инвойс!C31</f>
        <v>0807190001</v>
      </c>
      <c r="H31" s="103"/>
      <c r="I31" s="105">
        <f>+Инвойс!G31</f>
        <v>1000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27.08.2025г.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40J734QB/401600CA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23" zoomScaleNormal="100" workbookViewId="0">
      <selection activeCell="B48" sqref="B48:E49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3" t="s">
        <v>96</v>
      </c>
      <c r="C2" s="163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4" t="str">
        <f>+Инвойс!E26</f>
        <v>40J734QB/401600CA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27.08.2025г.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EXG-F-8 от  27.08.2025г.</v>
      </c>
      <c r="I15" s="166"/>
      <c r="J15" s="166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7"/>
      <c r="F18" s="118">
        <f>+Инвойс!E30</f>
        <v>990</v>
      </c>
      <c r="G18" s="167" t="str">
        <f>+CMR!F30</f>
        <v>Дыни свежие</v>
      </c>
      <c r="H18" s="167"/>
      <c r="I18" s="119"/>
      <c r="J18" s="120"/>
    </row>
    <row r="19" spans="2:10" ht="11.25" customHeight="1" x14ac:dyDescent="0.25">
      <c r="B19" s="91"/>
      <c r="E19" s="117"/>
      <c r="F19" s="121" t="str">
        <f>+Инвойс!D30</f>
        <v>Карт.Коробок</v>
      </c>
      <c r="G19" s="161" t="str">
        <f>+Инвойс!C30</f>
        <v>0807190001</v>
      </c>
      <c r="H19" s="162"/>
      <c r="I19" s="122" t="s">
        <v>103</v>
      </c>
      <c r="J19" s="120">
        <f>+Инвойс!G30</f>
        <v>22122</v>
      </c>
    </row>
    <row r="20" spans="2:10" ht="13.5" customHeight="1" x14ac:dyDescent="0.25">
      <c r="B20" s="83"/>
      <c r="E20" s="123"/>
      <c r="F20" s="118" t="str">
        <f>+Инвойс!E31</f>
        <v>-</v>
      </c>
      <c r="G20" s="167" t="str">
        <f>+CMR!F31</f>
        <v>Дыни свежие</v>
      </c>
      <c r="H20" s="167"/>
      <c r="I20" s="119"/>
      <c r="J20" s="120"/>
    </row>
    <row r="21" spans="2:10" ht="13.5" customHeight="1" x14ac:dyDescent="0.25">
      <c r="B21" s="83" t="s">
        <v>104</v>
      </c>
      <c r="E21" s="123"/>
      <c r="F21" s="121" t="str">
        <f>+Инвойс!D31</f>
        <v>Навалом</v>
      </c>
      <c r="G21" s="161" t="str">
        <f>+Инвойс!C31</f>
        <v>0807190001</v>
      </c>
      <c r="H21" s="162"/>
      <c r="I21" s="122" t="s">
        <v>103</v>
      </c>
      <c r="J21" s="120">
        <f>+Инвойс!G31</f>
        <v>1000</v>
      </c>
    </row>
    <row r="22" spans="2:10" ht="12.75" customHeight="1" x14ac:dyDescent="0.25">
      <c r="B22" s="83"/>
      <c r="E22" s="123"/>
      <c r="F22" s="118"/>
      <c r="G22" s="167"/>
      <c r="H22" s="167"/>
      <c r="I22" s="119"/>
      <c r="J22" s="120"/>
    </row>
    <row r="23" spans="2:10" ht="14.25" customHeight="1" x14ac:dyDescent="0.25">
      <c r="B23" s="83"/>
      <c r="E23" s="123"/>
      <c r="F23" s="121"/>
      <c r="G23" s="161"/>
      <c r="H23" s="162"/>
      <c r="I23" s="122"/>
      <c r="J23" s="120"/>
    </row>
    <row r="24" spans="2:10" ht="12.75" customHeight="1" x14ac:dyDescent="0.25">
      <c r="B24" s="87"/>
      <c r="E24" s="123"/>
      <c r="F24" s="118"/>
      <c r="G24" s="167"/>
      <c r="H24" s="167"/>
      <c r="I24" s="119"/>
      <c r="J24" s="120"/>
    </row>
    <row r="25" spans="2:10" ht="12.75" customHeight="1" x14ac:dyDescent="0.25">
      <c r="B25" s="87"/>
      <c r="E25" s="123"/>
      <c r="F25" s="121"/>
      <c r="G25" s="161"/>
      <c r="H25" s="162"/>
      <c r="I25" s="122"/>
      <c r="J25" s="120"/>
    </row>
    <row r="26" spans="2:10" ht="12" customHeight="1" x14ac:dyDescent="0.25">
      <c r="B26" s="87"/>
      <c r="E26" s="123"/>
      <c r="F26" s="118"/>
      <c r="G26" s="167"/>
      <c r="H26" s="167"/>
      <c r="I26" s="119"/>
      <c r="J26" s="120"/>
    </row>
    <row r="27" spans="2:10" ht="14.25" customHeight="1" x14ac:dyDescent="0.25">
      <c r="B27" s="87"/>
      <c r="E27" s="123"/>
      <c r="F27" s="121"/>
      <c r="G27" s="161"/>
      <c r="H27" s="162"/>
      <c r="I27" s="122"/>
      <c r="J27" s="120"/>
    </row>
    <row r="28" spans="2:10" ht="12.75" customHeight="1" x14ac:dyDescent="0.25">
      <c r="B28" s="87"/>
      <c r="E28" s="123"/>
      <c r="F28" s="118"/>
      <c r="G28" s="167"/>
      <c r="H28" s="167"/>
      <c r="I28" s="119"/>
      <c r="J28" s="120"/>
    </row>
    <row r="29" spans="2:10" ht="12.75" customHeight="1" x14ac:dyDescent="0.25">
      <c r="B29" s="87"/>
      <c r="E29" s="123"/>
      <c r="F29" s="121"/>
      <c r="G29" s="161"/>
      <c r="H29" s="162"/>
      <c r="I29" s="122"/>
      <c r="J29" s="120"/>
    </row>
    <row r="30" spans="2:10" ht="12.75" customHeight="1" x14ac:dyDescent="0.25">
      <c r="B30" s="87"/>
      <c r="E30" s="123"/>
      <c r="F30" s="118"/>
      <c r="G30" s="167"/>
      <c r="H30" s="167"/>
      <c r="I30" s="119"/>
      <c r="J30" s="120"/>
    </row>
    <row r="31" spans="2:10" ht="13.5" customHeight="1" x14ac:dyDescent="0.25">
      <c r="B31" s="87"/>
      <c r="E31" s="123"/>
      <c r="F31" s="121"/>
      <c r="G31" s="161"/>
      <c r="H31" s="162"/>
      <c r="I31" s="122"/>
      <c r="J31" s="120"/>
    </row>
    <row r="32" spans="2:10" ht="13.5" customHeight="1" x14ac:dyDescent="0.25">
      <c r="B32" s="87"/>
      <c r="E32" s="123"/>
      <c r="F32" s="118"/>
      <c r="G32" s="167"/>
      <c r="H32" s="167"/>
      <c r="I32" s="119"/>
      <c r="J32" s="120"/>
    </row>
    <row r="33" spans="2:10" ht="13.5" customHeight="1" x14ac:dyDescent="0.25">
      <c r="B33" s="87"/>
      <c r="E33" s="123"/>
      <c r="F33" s="121"/>
      <c r="G33" s="161"/>
      <c r="H33" s="162"/>
      <c r="I33" s="122"/>
      <c r="J33" s="120"/>
    </row>
    <row r="34" spans="2:10" ht="13.5" customHeight="1" x14ac:dyDescent="0.25">
      <c r="B34" s="87"/>
      <c r="E34" s="123"/>
      <c r="F34" s="118"/>
      <c r="G34" s="167"/>
      <c r="H34" s="167"/>
      <c r="I34" s="119"/>
      <c r="J34" s="120"/>
    </row>
    <row r="35" spans="2:10" ht="12.75" customHeight="1" x14ac:dyDescent="0.25">
      <c r="B35" s="87"/>
      <c r="E35" s="123"/>
      <c r="F35" s="121"/>
      <c r="G35" s="161"/>
      <c r="H35" s="162"/>
      <c r="I35" s="122"/>
      <c r="J35" s="120"/>
    </row>
    <row r="36" spans="2:10" x14ac:dyDescent="0.25">
      <c r="B36" s="87"/>
      <c r="E36" s="123"/>
      <c r="F36" s="118"/>
      <c r="G36" s="167"/>
      <c r="H36" s="167"/>
      <c r="I36" s="119"/>
      <c r="J36" s="120"/>
    </row>
    <row r="37" spans="2:10" ht="13.5" customHeight="1" x14ac:dyDescent="0.25">
      <c r="B37" s="87"/>
      <c r="E37" s="123"/>
      <c r="F37" s="121"/>
      <c r="G37" s="161"/>
      <c r="H37" s="162"/>
      <c r="I37" s="122"/>
      <c r="J37" s="120"/>
    </row>
    <row r="38" spans="2:10" x14ac:dyDescent="0.25">
      <c r="B38" s="87"/>
      <c r="E38" s="123"/>
      <c r="F38" s="118"/>
      <c r="G38" s="167"/>
      <c r="H38" s="167"/>
      <c r="I38" s="119"/>
      <c r="J38" s="120"/>
    </row>
    <row r="39" spans="2:10" ht="13.5" customHeight="1" x14ac:dyDescent="0.25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25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25">
      <c r="B41" s="87"/>
      <c r="E41" s="123"/>
      <c r="F41" s="121"/>
      <c r="G41" s="161"/>
      <c r="H41" s="162"/>
      <c r="I41" s="122"/>
      <c r="J41" s="120"/>
    </row>
    <row r="42" spans="2:10" hidden="1" x14ac:dyDescent="0.25">
      <c r="B42" s="87"/>
      <c r="E42" s="123"/>
      <c r="F42" s="118"/>
      <c r="G42" s="167"/>
      <c r="H42" s="167"/>
      <c r="I42" s="119"/>
      <c r="J42" s="120"/>
    </row>
    <row r="43" spans="2:10" x14ac:dyDescent="0.25">
      <c r="B43" s="87"/>
      <c r="E43" s="123"/>
      <c r="F43" s="121"/>
      <c r="G43" s="161"/>
      <c r="H43" s="162"/>
      <c r="I43" s="122"/>
      <c r="J43" s="120"/>
    </row>
    <row r="44" spans="2:10" ht="9" customHeight="1" x14ac:dyDescent="0.25">
      <c r="B44" s="87"/>
      <c r="E44" s="95"/>
      <c r="F44" s="92"/>
      <c r="G44" s="169"/>
      <c r="H44" s="169"/>
      <c r="I44" s="94"/>
      <c r="J44" s="124"/>
    </row>
    <row r="45" spans="2:10" ht="15" customHeight="1" x14ac:dyDescent="0.25">
      <c r="B45" s="87"/>
      <c r="E45" s="95"/>
      <c r="F45" s="92"/>
      <c r="G45" s="93"/>
      <c r="H45" s="94"/>
      <c r="I45" s="122"/>
      <c r="J45" s="120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70">
        <v>990</v>
      </c>
      <c r="E47" s="171"/>
    </row>
    <row r="48" spans="2:10" ht="17.25" customHeight="1" x14ac:dyDescent="0.25">
      <c r="B48" s="168" t="s">
        <v>105</v>
      </c>
      <c r="C48" s="168"/>
      <c r="D48" s="168"/>
      <c r="E48" s="168"/>
    </row>
    <row r="49" spans="2:5" ht="21.75" customHeight="1" x14ac:dyDescent="0.25">
      <c r="B49" s="168"/>
      <c r="C49" s="168"/>
      <c r="D49" s="168"/>
      <c r="E49" s="168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3"/>
  <sheetViews>
    <sheetView topLeftCell="A24" zoomScale="85" zoomScaleNormal="85" workbookViewId="0">
      <selection activeCell="A32" sqref="A32:XFD63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165</v>
      </c>
      <c r="C1" s="173"/>
      <c r="D1" s="173"/>
      <c r="E1" s="173"/>
      <c r="F1" s="134" t="str">
        <f>+Инвойс!F1</f>
        <v xml:space="preserve"> 27.08.2025г.</v>
      </c>
      <c r="G1" s="134"/>
      <c r="H1" s="134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5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5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5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5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5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2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5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5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5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5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5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25">
      <c r="A22" s="1" t="s">
        <v>124</v>
      </c>
      <c r="C22" s="65"/>
      <c r="F22" s="1"/>
    </row>
    <row r="23" spans="1:17" ht="26.25" hidden="1" customHeight="1" x14ac:dyDescent="0.2">
      <c r="A23" s="69" t="s">
        <v>87</v>
      </c>
      <c r="B23" s="68"/>
      <c r="C23" s="154" t="s">
        <v>115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75" x14ac:dyDescent="0.25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5" t="str">
        <f>+Инвойс!E26</f>
        <v>40J734QB/401600CA</v>
      </c>
      <c r="F26" s="156"/>
      <c r="G26" s="156"/>
      <c r="J26" s="21"/>
    </row>
    <row r="27" spans="1:17" ht="34.5" customHeight="1" x14ac:dyDescent="0.25">
      <c r="A27" s="67" t="s">
        <v>125</v>
      </c>
      <c r="C27" s="18"/>
      <c r="E27" s="22"/>
      <c r="F27" s="22"/>
      <c r="G27" s="22"/>
      <c r="J27" s="21"/>
    </row>
    <row r="28" spans="1:17" ht="24" customHeight="1" x14ac:dyDescent="0.2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2.25" x14ac:dyDescent="0.2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5.5" x14ac:dyDescent="0.2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990</v>
      </c>
      <c r="F30" s="116" t="str">
        <f>+Инвойс!F30</f>
        <v>кг</v>
      </c>
      <c r="G30" s="106">
        <f>+Инвойс!G30</f>
        <v>22122</v>
      </c>
      <c r="H30" s="106">
        <f>+Инвойс!H30</f>
        <v>20340</v>
      </c>
      <c r="I30" s="108">
        <f>+Инвойс!I30</f>
        <v>0.25</v>
      </c>
      <c r="J30" s="13">
        <f>+Инвойс!J30</f>
        <v>5085</v>
      </c>
      <c r="K30" s="12">
        <v>0</v>
      </c>
      <c r="L30" s="12">
        <v>0</v>
      </c>
      <c r="M30" s="13">
        <f>+Инвойс!M30</f>
        <v>5085</v>
      </c>
      <c r="O30" s="100"/>
      <c r="Q30" s="100"/>
    </row>
    <row r="31" spans="1:17" ht="15" x14ac:dyDescent="0.2">
      <c r="A31" s="127">
        <f>+Инвойс!A31</f>
        <v>2</v>
      </c>
      <c r="B31" s="101" t="str">
        <f>+Инвойс!B31</f>
        <v>Дыни свежие</v>
      </c>
      <c r="C31" s="107" t="str">
        <f>+Инвойс!C31</f>
        <v>0807190001</v>
      </c>
      <c r="D31" s="115" t="str">
        <f>+Инвойс!D31</f>
        <v>Навалом</v>
      </c>
      <c r="E31" s="101" t="str">
        <f>+Инвойс!E31</f>
        <v>-</v>
      </c>
      <c r="F31" s="116" t="str">
        <f>+Инвойс!F31</f>
        <v>кг</v>
      </c>
      <c r="G31" s="106">
        <f>+Инвойс!G31</f>
        <v>1000</v>
      </c>
      <c r="H31" s="106">
        <f>+Инвойс!H31</f>
        <v>1000</v>
      </c>
      <c r="I31" s="108">
        <f>+Инвойс!I31</f>
        <v>0.25</v>
      </c>
      <c r="J31" s="13">
        <f>+Инвойс!J31</f>
        <v>250</v>
      </c>
      <c r="K31" s="12">
        <v>0</v>
      </c>
      <c r="L31" s="12">
        <v>0</v>
      </c>
      <c r="M31" s="13">
        <f>+Инвойс!M31</f>
        <v>250</v>
      </c>
      <c r="O31" s="100"/>
      <c r="Q31" s="100"/>
    </row>
    <row r="32" spans="1:17" ht="14.25" x14ac:dyDescent="0.2">
      <c r="A32" s="150" t="s">
        <v>0</v>
      </c>
      <c r="B32" s="151"/>
      <c r="C32" s="14"/>
      <c r="D32" s="15"/>
      <c r="E32" s="64">
        <f>SUM(E30:E31)</f>
        <v>990</v>
      </c>
      <c r="F32" s="15"/>
      <c r="G32" s="64">
        <f>SUM(G30:G31)</f>
        <v>23122</v>
      </c>
      <c r="H32" s="64">
        <f>SUM(H30:H31)</f>
        <v>21340</v>
      </c>
      <c r="I32" s="102"/>
      <c r="J32" s="17">
        <f>SUM(J30:J31)</f>
        <v>5335</v>
      </c>
      <c r="K32" s="16"/>
      <c r="L32" s="16"/>
      <c r="M32" s="17">
        <f>SUM(M30:M31)</f>
        <v>5335</v>
      </c>
      <c r="P32" s="66"/>
    </row>
    <row r="33" spans="1:14" ht="13.5" x14ac:dyDescent="0.25">
      <c r="A33" s="2" t="s">
        <v>17</v>
      </c>
      <c r="B33" s="3"/>
      <c r="C33" s="11"/>
      <c r="D33" s="11"/>
      <c r="E33" s="146" t="str">
        <f>Лист1!B3</f>
        <v>Пять тысяч триста тридцать пять долларов США, 00 центов.</v>
      </c>
      <c r="F33" s="147"/>
      <c r="G33" s="147"/>
      <c r="H33" s="147"/>
      <c r="I33" s="147"/>
      <c r="J33" s="147"/>
      <c r="K33" s="147"/>
      <c r="L33" s="147"/>
      <c r="M33" s="147"/>
    </row>
    <row r="34" spans="1:14" ht="20.25" customHeight="1" x14ac:dyDescent="0.2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</row>
    <row r="35" spans="1:14" ht="25.5" customHeight="1" x14ac:dyDescent="0.2">
      <c r="A35" s="144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26"/>
    </row>
    <row r="37" spans="1:14" s="18" customFormat="1" ht="15.75" x14ac:dyDescent="0.25">
      <c r="A37" s="131" t="s">
        <v>158</v>
      </c>
      <c r="B37" s="131"/>
      <c r="D37" s="18" t="str">
        <f>+Инвойс!D37</f>
        <v>АБДИЛАКИМОВ А.А</v>
      </c>
      <c r="E37" s="132"/>
      <c r="G37" s="129" t="s">
        <v>130</v>
      </c>
      <c r="H37" s="18" t="str">
        <f>Инвойс!G5</f>
        <v>ООО «ГРИН ВОРЛД»</v>
      </c>
      <c r="K37" s="133" t="s">
        <v>147</v>
      </c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7"/>
      <c r="B41" s="9"/>
    </row>
    <row r="42" spans="1:14" ht="15" x14ac:dyDescent="0.25">
      <c r="A42" s="8"/>
      <c r="B42" s="9"/>
    </row>
    <row r="43" spans="1:14" x14ac:dyDescent="0.2">
      <c r="A43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3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6" t="s">
        <v>116</v>
      </c>
    </row>
    <row r="3" spans="1:10" ht="51" x14ac:dyDescent="0.2">
      <c r="A3" s="130" t="s">
        <v>128</v>
      </c>
    </row>
    <row r="5" spans="1:10" ht="38.25" x14ac:dyDescent="0.2">
      <c r="A5" s="126" t="s">
        <v>117</v>
      </c>
    </row>
    <row r="6" spans="1:10" x14ac:dyDescent="0.2">
      <c r="E6" s="18" t="s">
        <v>129</v>
      </c>
      <c r="J6" s="25" t="s">
        <v>132</v>
      </c>
    </row>
    <row r="7" spans="1:10" ht="51" x14ac:dyDescent="0.2">
      <c r="A7" s="126" t="s">
        <v>118</v>
      </c>
    </row>
    <row r="8" spans="1:10" x14ac:dyDescent="0.2">
      <c r="E8" s="18" t="s">
        <v>138</v>
      </c>
      <c r="J8" s="25" t="s">
        <v>133</v>
      </c>
    </row>
    <row r="9" spans="1:10" ht="51" x14ac:dyDescent="0.2">
      <c r="A9" s="126" t="s">
        <v>119</v>
      </c>
    </row>
    <row r="10" spans="1:10" x14ac:dyDescent="0.2">
      <c r="A10" s="126"/>
      <c r="E10" s="18" t="s">
        <v>134</v>
      </c>
      <c r="J10" s="25" t="s">
        <v>135</v>
      </c>
    </row>
    <row r="11" spans="1:10" ht="51" x14ac:dyDescent="0.2">
      <c r="A11" s="126" t="s">
        <v>159</v>
      </c>
    </row>
    <row r="12" spans="1:10" x14ac:dyDescent="0.2">
      <c r="E12" s="18" t="s">
        <v>136</v>
      </c>
      <c r="J12" s="25" t="s">
        <v>137</v>
      </c>
    </row>
    <row r="13" spans="1:10" ht="51" x14ac:dyDescent="0.2">
      <c r="A13" s="126" t="s">
        <v>120</v>
      </c>
    </row>
    <row r="15" spans="1:10" ht="38.25" x14ac:dyDescent="0.2">
      <c r="A15" s="126" t="s">
        <v>121</v>
      </c>
    </row>
    <row r="17" spans="1:1" ht="38.25" x14ac:dyDescent="0.2">
      <c r="A17" s="126" t="s">
        <v>122</v>
      </c>
    </row>
    <row r="19" spans="1:1" ht="38.25" x14ac:dyDescent="0.2">
      <c r="A19" s="128" t="s">
        <v>123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Инвойс!M32</f>
        <v>5335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триста тридцать пять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45896</v>
      </c>
      <c r="O3" s="177"/>
      <c r="P3">
        <f ca="1">DAY(N3)</f>
        <v>27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">
      <c r="A4" s="29" t="s">
        <v>35</v>
      </c>
      <c r="B4" s="36" t="str">
        <f>SUBSTITUTE(B6,F9,F10,1)</f>
        <v>Пять тысяч триста тридцать пять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27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триста тридцать пять долларов США, 00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триста тридцать пять долларов США, 00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триста тридцать пять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00 центов.</v>
      </c>
      <c r="D12" s="47"/>
      <c r="E12" s="48"/>
      <c r="M12" s="50">
        <f ca="1">TODAY()</f>
        <v>45896</v>
      </c>
    </row>
    <row r="13" spans="1:19" s="43" customFormat="1" x14ac:dyDescent="0.2">
      <c r="A13" s="49"/>
      <c r="D13" s="51"/>
      <c r="E13" s="52">
        <f>TRUNC(E2)</f>
        <v>5335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">
      <c r="A28" s="54">
        <f>TRUNC(A29/10)</f>
        <v>533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5335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335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2025-08-27T06:59:19Z</cp:lastPrinted>
  <dcterms:created xsi:type="dcterms:W3CDTF">1996-10-14T23:33:28Z</dcterms:created>
  <dcterms:modified xsi:type="dcterms:W3CDTF">2025-08-27T06:59:25Z</dcterms:modified>
</cp:coreProperties>
</file>