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C0CF929-A5E2-4F8D-99C7-548BE32033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<sst xmlns="http://schemas.openxmlformats.org/spreadsheetml/2006/main" count="209" uniqueCount="163">
  <si>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</si>
  <si>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</si>
  <si>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</si>
  <si>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</si>
  <si>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</si>
  <si>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</si>
  <si>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</si>
  <si>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</si>
  <si>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</si>
  <si>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</si>
  <si>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</si>
  <si>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</si>
  <si>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</si>
  <si>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</si>
  <si>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</si>
  <si>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</si>
  <si>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</si>
  <si>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</si>
  <si>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</si>
  <si>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</si>
  <si>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</si>
  <si>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</si>
  <si>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</si>
  <si>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</si>
  <si>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</si>
  <si>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</si>
  <si>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</si>
  <si>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</si>
  <si>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</si>
  <si>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</si>
  <si>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</si>
  <si>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</si>
  <si>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</si>
  <si>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</si>
  <si>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</si>
  <si>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</si>
  <si>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</si>
  <si>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</si>
  <si>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</si>
  <si>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</si>
  <si>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</si>
  <si>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</si>
  <si>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</si>
  <si>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</si>
  <si>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</si>
  <si>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</si>
  <si>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</si>
  <si>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</si>
  <si>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</si>
  <si>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</si>
  <si>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</si>
  <si>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</si>
  <si>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</si>
  <si>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</si>
  <si>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</si>
  <si>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</si>
  <si>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</si>
  <si>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</si>
  <si>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</si>
  <si>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</si>
  <si>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</si>
  <si>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</si>
  <si>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</si>
  <si>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</si>
  <si>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</si>
  <si>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</si>
  <si>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</si>
  <si>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</si>
  <si>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</si>
  <si>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</si>
  <si>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</si>
  <si>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</si>
  <si>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</si>
  <si>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</si>
  <si>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</si>
  <si>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</si>
  <si>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</si>
  <si>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</si>
  <si>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</si>
  <si>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</si>
  <si>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</si>
  <si>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</si>
  <si>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</si>
  <si>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</si>
  <si>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</si>
  <si>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</si>
  <si>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</si>
  <si>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</si>
  <si>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</si>
  <si>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</si>
  <si>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</si>
  <si>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</si>
  <si>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</si>
  <si>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</si>
  <si>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</si>
  <si>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</si>
  <si>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</si>
  <si>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</si>
  <si>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</si>
  <si>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</si>
  <si>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</si>
  <si>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</si>
  <si>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</si>
  <si>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</si>
  <si>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</si>
  <si>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</si>
  <si>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</si>
  <si>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</si>
  <si>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</si>
  <si>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</si>
  <si>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</si>
  <si>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</si>
  <si>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</si>
  <si>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</si>
  <si>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</si>
  <si>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</si>
  <si>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</si>
  <si>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</si>
  <si>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</si>
  <si>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</si>
  <si>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</si>
  <si>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</si>
  <si>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</si>
  <si>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</si>
  <si>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</si>
  <si>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</si>
  <si>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</si>
  <si>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</si>
  <si>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</si>
  <si>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</si>
  <si>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</si>
  <si>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</si>
  <si>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</si>
  <si>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</si>
  <si>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</si>
  <si>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</si>
  <si>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</si>
  <si>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</si>
  <si>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</si>
  <si>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</si>
  <si>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</si>
  <si>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</si>
  <si>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</si>
  <si>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</si>
  <si>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</si>
  <si>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</si>
  <si>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</si>
  <si>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</si>
  <si>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</si>
  <si>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</si>
  <si>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</si>
  <si>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</si>
  <si>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</si>
  <si>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</si>
  <si>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</si>
  <si>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</si>
  <si>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</si>
  <si>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</si>
  <si>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</si>
  <si>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PLG-A-14 от </t>
  </si>
  <si>
    <t xml:space="preserve"> 27.08.2025г.</t>
  </si>
  <si>
    <t>50467TBA/506206BA</t>
  </si>
  <si>
    <t xml:space="preserve">СПЕЦИФИКАЦИЯ № PLG-A-14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</si>
</sst>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149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150</v>
      </c>
      <c r="B5" s="155"/>
      <c r="C5" s="155"/>
      <c r="D5" s="155"/>
      <c r="E5" s="155"/>
      <c r="F5" s="6"/>
      <c r="G5" s="148" t="s">
        <v>140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151</v>
      </c>
      <c r="B6" s="142"/>
      <c r="C6" s="142"/>
      <c r="D6" s="142"/>
      <c r="E6" s="142"/>
      <c r="F6" s="7"/>
      <c r="G6" s="141" t="s">
        <v>141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152</v>
      </c>
      <c r="B7" s="142"/>
      <c r="C7" s="142"/>
      <c r="D7" s="142"/>
      <c r="E7" s="142"/>
      <c r="F7" s="63"/>
      <c r="G7" s="141" t="s">
        <v>142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155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146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150</v>
      </c>
      <c r="B14" s="155"/>
      <c r="C14" s="155"/>
      <c r="D14" s="155"/>
      <c r="E14" s="155"/>
      <c r="F14" s="6"/>
      <c r="G14" s="148" t="s">
        <v>140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151</v>
      </c>
      <c r="B15" s="142"/>
      <c r="C15" s="142"/>
      <c r="D15" s="142"/>
      <c r="E15" s="142"/>
      <c r="F15" s="7"/>
      <c r="G15" s="141" t="s">
        <v>141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152</v>
      </c>
      <c r="B16" s="142"/>
      <c r="C16" s="142"/>
      <c r="D16" s="142"/>
      <c r="E16" s="142"/>
      <c r="F16" s="63"/>
      <c r="G16" s="141" t="s">
        <v>142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155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4" t="s">
        <v>146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128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1000</v>
      </c>
      <c r="F30" s="110" t="s">
        <v>27</v>
      </c>
      <c r="G30" s="106">
        <v>23000</v>
      </c>
      <c r="H30" s="106">
        <v>21200</v>
      </c>
      <c r="I30" s="108">
        <v>0.25</v>
      </c>
      <c r="J30" s="13">
        <f t="shared" ref="J30" si="0">H30*I30</f>
        <v>5300</v>
      </c>
      <c r="K30" s="12">
        <v>0</v>
      </c>
      <c r="L30" s="12">
        <v>0</v>
      </c>
      <c r="M30" s="13">
        <f t="shared" ref="M30" si="1">J30</f>
        <v>5300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5300</v>
      </c>
      <c r="K31" s="16"/>
      <c r="L31" s="16"/>
      <c r="M31" s="17">
        <f>SUM(M30:M30)</f>
        <v>5300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G39" sqref="G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PLG-A-14 от  27.08.2025г.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27.08.2025г.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50467TBA/506206BA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34" sqref="G34:H3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50467TBA/506206BA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27.08.2025г.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PLG-A-14 от  27.08.2025г.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1000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53" t="str">
        <f>+Инвойс!F1</f>
        <v xml:space="preserve"> 27.08.2025г.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GR-POL-01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ООО «POLARIUM»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>Республика Узбекистан. Ташкентская область, Бекабадский район,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махалля Зафар, Гулистан МФЙ, улица Мустакиллик, дом 1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 «TURON BANK» МФО 00446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в/с: 20208840907287520001 (доллар США)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SWIFT: TURONUZ22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ИНН: 312302455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ООО «POLARIUM»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>Республика Узбекистан. Ташкентская область, Бекабадский район,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махалля Зафар, Гулистан МФЙ, улица Мустакиллик, дом 1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 «TURON BANK» МФО 00446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в/с: 20208840907287520001 (доллар США)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SWIFT: TURONUZ22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ИНН: 312302455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50467TBA/506206BA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.6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23000</v>
      </c>
      <c r="H30" s="106">
        <f>+Инвойс!H30</f>
        <v>21200</v>
      </c>
      <c r="I30" s="108">
        <f>+Инвойс!I30</f>
        <v>0.25</v>
      </c>
      <c r="J30" s="13">
        <f>+Инвойс!J30</f>
        <v>5300</v>
      </c>
      <c r="K30" s="12">
        <v>0</v>
      </c>
      <c r="L30" s="12">
        <v>0</v>
      </c>
      <c r="M30" s="13">
        <f>+Инвойс!M30</f>
        <v>5300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5300</v>
      </c>
      <c r="K31" s="16"/>
      <c r="L31" s="16"/>
      <c r="M31" s="17">
        <f>SUM(M30:M30)</f>
        <v>5300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Юнусов Х.Р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148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5300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45896</v>
      </c>
      <c r="O3" s="178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триста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27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45896</v>
      </c>
    </row>
    <row r="13" spans="1:19" s="43" customFormat="1" x14ac:dyDescent="0.25">
      <c r="A13" s="49"/>
      <c r="D13" s="51"/>
      <c r="E13" s="52">
        <f>TRUNC(E2)</f>
        <v>5300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5300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300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2025-08-27T09:05:35Z</cp:lastPrinted>
  <dcterms:created xsi:type="dcterms:W3CDTF">1996-10-14T23:33:28Z</dcterms:created>
  <dcterms:modified xsi:type="dcterms:W3CDTF">2025-08-27T09:05:54Z</dcterms:modified>
</cp:coreProperties>
</file>