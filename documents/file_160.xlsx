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/>
</workbook>
</file>

<file path=xl/calcChain.xml><?xml version="1.0" encoding="utf-8"?>
<calcChain xmlns="http://schemas.openxmlformats.org/spreadsheetml/2006/main">
  <c r="C2" i="7" l="1"/>
  <c r="F1" i="7" l="1"/>
  <c r="A36" i="7"/>
  <c r="A14" i="7"/>
  <c r="D36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C30" i="7"/>
  <c r="I30" i="7"/>
  <c r="H30" i="7"/>
  <c r="G30" i="7"/>
  <c r="E30" i="7"/>
  <c r="D30" i="7"/>
  <c r="B30" i="7"/>
  <c r="A30" i="7"/>
  <c r="E26" i="7"/>
  <c r="C24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<sst xmlns="http://schemas.openxmlformats.org/spreadsheetml/2006/main" count="201" uniqueCount="163">
  <si>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</si>
  <si>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</si>
  <si>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</si>
  <si>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</si>
  <si>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</si>
  <si>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</si>
  <si>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</si>
  <si>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</si>
  <si>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</si>
  <si>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</si>
  <si>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</si>
  <si>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</si>
  <si>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</si>
  <si>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</si>
  <si>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</si>
  <si>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</si>
  <si>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</si>
  <si>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</si>
  <si>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</si>
  <si>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</si>
  <si>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</si>
  <si>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</si>
  <si>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</si>
  <si>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</si>
  <si>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</si>
  <si>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</si>
  <si>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</si>
  <si>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</si>
  <si>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</si>
  <si>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</si>
  <si>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</si>
  <si>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</si>
  <si>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</si>
  <si>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</si>
  <si>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</si>
  <si>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</si>
  <si>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</si>
  <si>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</si>
  <si>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</si>
  <si>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</si>
  <si>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</si>
  <si>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</si>
  <si>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</si>
  <si>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</si>
  <si>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</si>
  <si>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</si>
  <si>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</si>
  <si>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</si>
  <si>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</si>
  <si>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</si>
  <si>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</si>
  <si>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</si>
  <si>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</si>
  <si>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</si>
  <si>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</si>
  <si>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</si>
  <si>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</si>
  <si>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</si>
  <si>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</si>
  <si>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</si>
  <si>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</si>
  <si>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</si>
  <si>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</si>
  <si>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</si>
  <si>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</si>
  <si>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</si>
  <si>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</si>
  <si>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</si>
  <si>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</si>
  <si>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</si>
  <si>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</si>
  <si>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</si>
  <si>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</si>
  <si>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</si>
  <si>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</si>
  <si>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</si>
  <si>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</si>
  <si>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</si>
  <si>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</si>
  <si>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</si>
  <si>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</si>
  <si>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</si>
  <si>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</si>
  <si>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</si>
  <si>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</si>
  <si>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</si>
  <si>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</si>
  <si>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</si>
  <si>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</si>
  <si>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</si>
  <si>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</si>
  <si>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</si>
  <si>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</si>
  <si>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</si>
  <si>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</si>
  <si>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</si>
  <si>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</si>
  <si>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</si>
  <si>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</si>
  <si>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</si>
  <si>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</si>
  <si>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</si>
  <si>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</si>
  <si>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</si>
  <si>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</si>
  <si>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</si>
  <si>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</si>
  <si>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</si>
  <si>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</si>
  <si>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</si>
  <si>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</si>
  <si>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</si>
  <si>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</si>
  <si>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</si>
  <si>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</si>
  <si>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</si>
  <si>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</si>
  <si>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 xml:space="preserve">Корр.счет: 30101810445250000234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</si>
  <si>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</si>
  <si>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</si>
  <si>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</si>
  <si>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</si>
  <si>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</si>
  <si>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</si>
  <si>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</si>
  <si>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</si>
  <si>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</si>
  <si>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</si>
  <si>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>Дыни свежие</t>
  </si>
  <si>
    <t>0807190001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</si>
  <si>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</si>
  <si>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</si>
  <si>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</si>
  <si>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</si>
  <si>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</si>
  <si>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</si>
  <si>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</si>
  <si>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</si>
  <si>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>(SWIFT code: ASIJRUMM)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</si>
  <si>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</si>
  <si>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</si>
  <si>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</si>
  <si>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</si>
  <si>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</si>
  <si>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</si>
  <si>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</si>
  <si>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</si>
  <si>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</si>
  <si>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</si>
  <si>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</si>
  <si>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</si>
  <si>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</si>
  <si>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</si>
  <si>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</si>
  <si>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</si>
  <si>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</si>
  <si>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</si>
  <si>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</si>
  <si>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 xml:space="preserve">ИНВОЙС № BEZ-N-29 от </t>
  </si>
  <si>
    <t xml:space="preserve"> 11.08.2025г.</t>
  </si>
  <si>
    <t>DAP - с Акжигит , Республика Казахстан</t>
  </si>
  <si>
    <t>01278GKA/303619AA</t>
  </si>
  <si>
    <t xml:space="preserve">СПЕЦИФИКАЦИЯ № BEZ-N-29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</si>
</sst>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35</xdr:row>
      <xdr:rowOff>189869</xdr:rowOff>
    </xdr:from>
    <xdr:to>
      <xdr:col>12</xdr:col>
      <xdr:colOff>636912</xdr:colOff>
      <xdr:row>51</xdr:row>
      <xdr:rowOff>124213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37</xdr:row>
      <xdr:rowOff>78441</xdr:rowOff>
    </xdr:from>
    <xdr:to>
      <xdr:col>7</xdr:col>
      <xdr:colOff>443417</xdr:colOff>
      <xdr:row>42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33617</xdr:colOff>
      <xdr:row>37</xdr:row>
      <xdr:rowOff>11205</xdr:rowOff>
    </xdr:from>
    <xdr:to>
      <xdr:col>2</xdr:col>
      <xdr:colOff>607359</xdr:colOff>
      <xdr:row>48</xdr:row>
      <xdr:rowOff>100851</xdr:rowOff>
    </xdr:to>
    <xdr:pic>
      <xdr:nvPicPr>
        <xdr:cNvPr id="8" name="Рисунок 2">
          <a:extLst>
            <a:ext uri="{FF2B5EF4-FFF2-40B4-BE49-F238E27FC236}">
              <a16:creationId xmlns:a16="http://schemas.microsoft.com/office/drawing/2014/main" id="{A4B6196D-CD31-4F25-B697-AB67F471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14993470"/>
          <a:ext cx="2646830" cy="1949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158</v>
      </c>
      <c r="D1" s="149"/>
      <c r="E1" s="149"/>
      <c r="F1" s="148" t="s">
        <v>159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149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">
        <v>150</v>
      </c>
      <c r="B5" s="150"/>
      <c r="C5" s="150"/>
      <c r="D5" s="150"/>
      <c r="E5" s="150"/>
      <c r="F5" s="6"/>
      <c r="G5" s="143" t="s">
        <v>133</v>
      </c>
      <c r="H5" s="143"/>
      <c r="I5" s="143"/>
      <c r="J5" s="143"/>
      <c r="K5" s="143"/>
      <c r="L5" s="143"/>
      <c r="M5" s="143"/>
    </row>
    <row r="6" spans="1:15" ht="15" x14ac:dyDescent="0.25">
      <c r="A6" s="125" t="s">
        <v>151</v>
      </c>
      <c r="B6" s="125"/>
      <c r="C6" s="125"/>
      <c r="D6" s="125"/>
      <c r="E6" s="125"/>
      <c r="F6" s="7"/>
      <c r="G6" s="138" t="s">
        <v>134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152</v>
      </c>
      <c r="B7" s="125"/>
      <c r="C7" s="125"/>
      <c r="D7" s="125"/>
      <c r="E7" s="125"/>
      <c r="F7" s="63"/>
      <c r="G7" s="138" t="s">
        <v>135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155</v>
      </c>
      <c r="B10" s="125"/>
      <c r="C10" s="125"/>
      <c r="D10" s="125"/>
      <c r="E10" s="125"/>
      <c r="F10" s="7"/>
      <c r="G10" s="7" t="s">
        <v>117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">
        <v>150</v>
      </c>
      <c r="B14" s="150"/>
      <c r="C14" s="150"/>
      <c r="D14" s="150"/>
      <c r="E14" s="150"/>
      <c r="F14" s="6"/>
      <c r="G14" s="143" t="s">
        <v>139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25" t="s">
        <v>151</v>
      </c>
      <c r="B15" s="125"/>
      <c r="C15" s="125"/>
      <c r="D15" s="125"/>
      <c r="E15" s="125"/>
      <c r="F15" s="7"/>
      <c r="G15" s="138" t="s">
        <v>140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152</v>
      </c>
      <c r="B16" s="125"/>
      <c r="C16" s="125"/>
      <c r="D16" s="125"/>
      <c r="E16" s="125"/>
      <c r="F16" s="63"/>
      <c r="G16" s="138" t="s">
        <v>141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8" t="s">
        <v>143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155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5" t="s">
        <v>148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112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1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1" t="s">
        <v>12</v>
      </c>
      <c r="H29" s="111" t="s">
        <v>13</v>
      </c>
      <c r="I29" s="132"/>
      <c r="J29" s="112" t="s">
        <v>14</v>
      </c>
      <c r="K29" s="10" t="s">
        <v>15</v>
      </c>
      <c r="L29" s="10" t="s">
        <v>16</v>
      </c>
      <c r="M29" s="132"/>
    </row>
    <row r="30" spans="1:17" ht="30" x14ac:dyDescent="0.2">
      <c r="A30" s="127">
        <v>1</v>
      </c>
      <c r="B30" s="101" t="s">
        <v>128</v>
      </c>
      <c r="C30" s="107" t="s">
        <v>129</v>
      </c>
      <c r="D30" s="109" t="s">
        <v>114</v>
      </c>
      <c r="E30" s="101">
        <v>920</v>
      </c>
      <c r="F30" s="110" t="s">
        <v>27</v>
      </c>
      <c r="G30" s="106">
        <v>23000</v>
      </c>
      <c r="H30" s="106">
        <v>21344</v>
      </c>
      <c r="I30" s="108">
        <v>0.2</v>
      </c>
      <c r="J30" s="13">
        <f t="shared" ref="J30" si="0">H30*I30</f>
        <v>4268.8</v>
      </c>
      <c r="K30" s="12">
        <v>0</v>
      </c>
      <c r="L30" s="12">
        <v>0</v>
      </c>
      <c r="M30" s="13">
        <f t="shared" ref="M30" si="1">J30</f>
        <v>4268.8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шестьдесят восемь долларов США, 80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111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8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110</v>
      </c>
    </row>
    <row r="15" spans="1:11" ht="7.5" hidden="1" customHeight="1" x14ac:dyDescent="0.2"/>
    <row r="16" spans="1:11" ht="12" customHeight="1" x14ac:dyDescent="0.2">
      <c r="B16" s="70" t="s">
        <v>107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BEZ-N-29 от  11.08.2025г.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108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6" t="str">
        <f>+C22</f>
        <v xml:space="preserve"> 11.08.2025г.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01278GKA/303619AA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2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01278GKA/303619AA</v>
      </c>
      <c r="C14" s="165"/>
      <c r="D14" s="165"/>
      <c r="E14" s="165"/>
      <c r="F14" s="165"/>
      <c r="G14" s="165"/>
      <c r="H14" s="166" t="s">
        <v>109</v>
      </c>
      <c r="I14" s="166"/>
      <c r="J14" s="88" t="str">
        <f>+Инвойс!F1</f>
        <v xml:space="preserve"> 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BEZ-N-29 от  11.08.2025г.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59" t="str">
        <f>+CMR!F30</f>
        <v>Дыни свежие</v>
      </c>
      <c r="H18" s="159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7" t="str">
        <f>+Инвойс!C30</f>
        <v>0807190001</v>
      </c>
      <c r="H19" s="158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59"/>
      <c r="H20" s="159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7"/>
      <c r="H21" s="158"/>
      <c r="I21" s="122"/>
      <c r="J21" s="120"/>
    </row>
    <row r="22" spans="2:10" ht="12.75" customHeight="1" x14ac:dyDescent="0.25">
      <c r="B22" s="83"/>
      <c r="E22" s="123"/>
      <c r="F22" s="118"/>
      <c r="G22" s="159"/>
      <c r="H22" s="159"/>
      <c r="I22" s="119"/>
      <c r="J22" s="120"/>
    </row>
    <row r="23" spans="2:10" ht="14.25" customHeight="1" x14ac:dyDescent="0.25">
      <c r="B23" s="83"/>
      <c r="E23" s="123"/>
      <c r="F23" s="121"/>
      <c r="G23" s="157"/>
      <c r="H23" s="158"/>
      <c r="I23" s="122"/>
      <c r="J23" s="120"/>
    </row>
    <row r="24" spans="2:10" ht="12.75" customHeight="1" x14ac:dyDescent="0.25">
      <c r="B24" s="87"/>
      <c r="E24" s="123"/>
      <c r="F24" s="118"/>
      <c r="G24" s="159"/>
      <c r="H24" s="159"/>
      <c r="I24" s="119"/>
      <c r="J24" s="120"/>
    </row>
    <row r="25" spans="2:10" ht="12.75" customHeight="1" x14ac:dyDescent="0.25">
      <c r="B25" s="87"/>
      <c r="E25" s="123"/>
      <c r="F25" s="121"/>
      <c r="G25" s="157"/>
      <c r="H25" s="158"/>
      <c r="I25" s="122"/>
      <c r="J25" s="120"/>
    </row>
    <row r="26" spans="2:10" ht="12" customHeight="1" x14ac:dyDescent="0.25">
      <c r="B26" s="87"/>
      <c r="E26" s="123"/>
      <c r="F26" s="118"/>
      <c r="G26" s="159"/>
      <c r="H26" s="159"/>
      <c r="I26" s="119"/>
      <c r="J26" s="120"/>
    </row>
    <row r="27" spans="2:10" ht="14.25" customHeight="1" x14ac:dyDescent="0.25">
      <c r="B27" s="87"/>
      <c r="E27" s="123"/>
      <c r="F27" s="121"/>
      <c r="G27" s="157"/>
      <c r="H27" s="158"/>
      <c r="I27" s="122"/>
      <c r="J27" s="120"/>
    </row>
    <row r="28" spans="2:10" ht="12.75" customHeight="1" x14ac:dyDescent="0.25">
      <c r="B28" s="87"/>
      <c r="E28" s="123"/>
      <c r="F28" s="118"/>
      <c r="G28" s="159"/>
      <c r="H28" s="159"/>
      <c r="I28" s="119"/>
      <c r="J28" s="120"/>
    </row>
    <row r="29" spans="2:10" ht="12.75" customHeight="1" x14ac:dyDescent="0.25">
      <c r="B29" s="87"/>
      <c r="E29" s="123"/>
      <c r="F29" s="121"/>
      <c r="G29" s="157"/>
      <c r="H29" s="158"/>
      <c r="I29" s="122"/>
      <c r="J29" s="120"/>
    </row>
    <row r="30" spans="2:10" ht="12.75" customHeight="1" x14ac:dyDescent="0.25">
      <c r="B30" s="87"/>
      <c r="E30" s="123"/>
      <c r="F30" s="118"/>
      <c r="G30" s="159"/>
      <c r="H30" s="159"/>
      <c r="I30" s="119"/>
      <c r="J30" s="120"/>
    </row>
    <row r="31" spans="2:10" ht="13.5" customHeight="1" x14ac:dyDescent="0.25">
      <c r="B31" s="87"/>
      <c r="E31" s="123"/>
      <c r="F31" s="121"/>
      <c r="G31" s="157"/>
      <c r="H31" s="158"/>
      <c r="I31" s="122"/>
      <c r="J31" s="120"/>
    </row>
    <row r="32" spans="2:10" ht="13.5" customHeight="1" x14ac:dyDescent="0.25">
      <c r="B32" s="87"/>
      <c r="E32" s="123"/>
      <c r="F32" s="118"/>
      <c r="G32" s="159"/>
      <c r="H32" s="159"/>
      <c r="I32" s="119"/>
      <c r="J32" s="120"/>
    </row>
    <row r="33" spans="2:10" ht="13.5" customHeight="1" x14ac:dyDescent="0.25">
      <c r="B33" s="87"/>
      <c r="E33" s="123"/>
      <c r="F33" s="121"/>
      <c r="G33" s="157"/>
      <c r="H33" s="158"/>
      <c r="I33" s="122"/>
      <c r="J33" s="120"/>
    </row>
    <row r="34" spans="2:10" ht="13.5" customHeight="1" x14ac:dyDescent="0.25">
      <c r="B34" s="87"/>
      <c r="E34" s="123"/>
      <c r="F34" s="118"/>
      <c r="G34" s="159"/>
      <c r="H34" s="159"/>
      <c r="I34" s="119"/>
      <c r="J34" s="120"/>
    </row>
    <row r="35" spans="2:10" ht="12.75" customHeight="1" x14ac:dyDescent="0.25">
      <c r="B35" s="87"/>
      <c r="E35" s="123"/>
      <c r="F35" s="121"/>
      <c r="G35" s="157"/>
      <c r="H35" s="158"/>
      <c r="I35" s="122"/>
      <c r="J35" s="120"/>
    </row>
    <row r="36" spans="2:10" x14ac:dyDescent="0.25">
      <c r="B36" s="87"/>
      <c r="E36" s="123"/>
      <c r="F36" s="118"/>
      <c r="G36" s="159"/>
      <c r="H36" s="159"/>
      <c r="I36" s="119"/>
      <c r="J36" s="120"/>
    </row>
    <row r="37" spans="2:10" ht="13.5" customHeight="1" x14ac:dyDescent="0.25">
      <c r="B37" s="87"/>
      <c r="E37" s="123"/>
      <c r="F37" s="121"/>
      <c r="G37" s="157"/>
      <c r="H37" s="158"/>
      <c r="I37" s="122"/>
      <c r="J37" s="120"/>
    </row>
    <row r="38" spans="2:10" x14ac:dyDescent="0.25">
      <c r="B38" s="87"/>
      <c r="E38" s="123"/>
      <c r="F38" s="118"/>
      <c r="G38" s="159"/>
      <c r="H38" s="159"/>
      <c r="I38" s="119"/>
      <c r="J38" s="120"/>
    </row>
    <row r="39" spans="2:10" ht="13.5" customHeight="1" x14ac:dyDescent="0.25">
      <c r="B39" s="87"/>
      <c r="E39" s="123"/>
      <c r="F39" s="121"/>
      <c r="G39" s="157"/>
      <c r="H39" s="158"/>
      <c r="I39" s="122"/>
      <c r="J39" s="120"/>
    </row>
    <row r="40" spans="2:10" ht="14.25" hidden="1" customHeight="1" x14ac:dyDescent="0.25">
      <c r="B40" s="87"/>
      <c r="E40" s="123"/>
      <c r="F40" s="118"/>
      <c r="G40" s="159"/>
      <c r="H40" s="159"/>
      <c r="I40" s="119"/>
      <c r="J40" s="120"/>
    </row>
    <row r="41" spans="2:10" ht="14.25" hidden="1" customHeight="1" x14ac:dyDescent="0.25">
      <c r="B41" s="87"/>
      <c r="E41" s="123"/>
      <c r="F41" s="121"/>
      <c r="G41" s="157"/>
      <c r="H41" s="158"/>
      <c r="I41" s="122"/>
      <c r="J41" s="120"/>
    </row>
    <row r="42" spans="2:10" hidden="1" x14ac:dyDescent="0.25">
      <c r="B42" s="87"/>
      <c r="E42" s="123"/>
      <c r="F42" s="118"/>
      <c r="G42" s="159"/>
      <c r="H42" s="159"/>
      <c r="I42" s="119"/>
      <c r="J42" s="120"/>
    </row>
    <row r="43" spans="2:10" x14ac:dyDescent="0.25">
      <c r="B43" s="87"/>
      <c r="E43" s="123"/>
      <c r="F43" s="121"/>
      <c r="G43" s="157"/>
      <c r="H43" s="158"/>
      <c r="I43" s="122"/>
      <c r="J43" s="120"/>
    </row>
    <row r="44" spans="2:10" ht="9" customHeight="1" x14ac:dyDescent="0.25">
      <c r="B44" s="87"/>
      <c r="E44" s="95"/>
      <c r="F44" s="92"/>
      <c r="G44" s="161"/>
      <c r="H44" s="161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920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9" t="s">
        <v>162</v>
      </c>
      <c r="C1" s="149"/>
      <c r="D1" s="149"/>
      <c r="E1" s="149"/>
      <c r="F1" s="148" t="str">
        <f>+Инвойс!F1</f>
        <v xml:space="preserve"> 11.08.2025г.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5" x14ac:dyDescent="0.25">
      <c r="A6" s="168" t="str">
        <f>+Инвойс!A6</f>
        <v>Республика Узбекистан, Джизакская область,</v>
      </c>
      <c r="B6" s="168"/>
      <c r="C6" s="168"/>
      <c r="D6" s="168"/>
      <c r="E6" s="168"/>
      <c r="F6" s="7"/>
      <c r="G6" s="138" t="str">
        <f>+Инвойс!G6</f>
        <v xml:space="preserve">125362, Город Москва, вн.тер.г. муниципальный округ 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68" t="str">
        <f>+Инвойс!A7</f>
        <v>Шароф Рашидовский район, Токчилик МФЙ, ул Мустакиллик дом 92а</v>
      </c>
      <c r="B7" s="168"/>
      <c r="C7" s="168"/>
      <c r="D7" s="168"/>
      <c r="E7" s="168"/>
      <c r="F7" s="63"/>
      <c r="G7" s="138" t="str">
        <f>+Инвойс!G7</f>
        <v xml:space="preserve">Южное Тушино, ул Свободы, д. 35, стр. 43, помещ. 92/3 </v>
      </c>
      <c r="H7" s="138"/>
      <c r="I7" s="138"/>
      <c r="J7" s="138"/>
      <c r="K7" s="138"/>
      <c r="L7" s="138"/>
      <c r="M7" s="138"/>
    </row>
    <row r="8" spans="1:15" ht="15" customHeight="1" x14ac:dyDescent="0.25">
      <c r="A8" s="168" t="str">
        <f>+Инвойс!A8</f>
        <v>Р/с N 20208840905433267001   (USD)</v>
      </c>
      <c r="B8" s="168"/>
      <c r="C8" s="168"/>
      <c r="D8" s="168"/>
      <c r="E8" s="168"/>
      <c r="F8" s="63"/>
      <c r="G8" s="138" t="str">
        <f>+Инвойс!G8</f>
        <v>Банк: Азия-Инвест Банк (АО) ИНН: 9705116064 КПП: 770501001</v>
      </c>
      <c r="H8" s="138"/>
      <c r="I8" s="138"/>
      <c r="J8" s="138"/>
      <c r="K8" s="138"/>
      <c r="L8" s="138"/>
      <c r="M8" s="138"/>
    </row>
    <row r="9" spans="1:15" ht="15" x14ac:dyDescent="0.25">
      <c r="A9" s="168" t="str">
        <f>+Инвойс!A9</f>
        <v xml:space="preserve">в “Узсаноаткурилиш” Банк операционный </v>
      </c>
      <c r="B9" s="168"/>
      <c r="C9" s="168"/>
      <c r="D9" s="168"/>
      <c r="E9" s="168"/>
      <c r="F9" s="7"/>
      <c r="G9" s="138" t="str">
        <f>+Инвойс!G9</f>
        <v xml:space="preserve">Р/Счет: 40702840100000019384 ; БИК:  044525234 </v>
      </c>
      <c r="H9" s="138"/>
      <c r="I9" s="138"/>
      <c r="J9" s="138"/>
      <c r="K9" s="138"/>
      <c r="L9" s="138"/>
      <c r="M9" s="138"/>
      <c r="O9" s="7"/>
    </row>
    <row r="10" spans="1:15" ht="15" x14ac:dyDescent="0.25">
      <c r="A10" s="168" t="str">
        <f>+Инвойс!A10</f>
        <v>МФО 00440</v>
      </c>
      <c r="B10" s="168"/>
      <c r="C10" s="168"/>
      <c r="D10" s="168"/>
      <c r="E10" s="168"/>
      <c r="F10" s="7"/>
      <c r="G10" s="138" t="str">
        <f>+Инвойс!G10</f>
        <v xml:space="preserve">Корр.счет: 30101810445250000234  </v>
      </c>
      <c r="H10" s="138"/>
      <c r="I10" s="138"/>
      <c r="J10" s="138"/>
      <c r="K10" s="138"/>
      <c r="L10" s="138"/>
      <c r="M10" s="138"/>
    </row>
    <row r="11" spans="1:15" ht="15" x14ac:dyDescent="0.25">
      <c r="A11" s="168" t="str">
        <f>+Инвойс!A11</f>
        <v>ИНН: 308822933</v>
      </c>
      <c r="B11" s="168"/>
      <c r="C11" s="168"/>
      <c r="D11" s="168"/>
      <c r="E11" s="168"/>
      <c r="F11" s="7"/>
      <c r="G11" s="138"/>
      <c r="H11" s="138"/>
      <c r="I11" s="138"/>
      <c r="J11" s="138"/>
      <c r="K11" s="138"/>
      <c r="L11" s="138"/>
      <c r="M11" s="138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68" t="str">
        <f>+Инвойс!A15</f>
        <v>Республика Узбекистан, Джизакская область,</v>
      </c>
      <c r="B15" s="168"/>
      <c r="C15" s="168"/>
      <c r="D15" s="168"/>
      <c r="E15" s="168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68" t="str">
        <f>+Инвойс!A16</f>
        <v>Шароф Рашидовский район, Токчилик МФЙ, ул Мустакиллик дом 92а</v>
      </c>
      <c r="B16" s="168"/>
      <c r="C16" s="168"/>
      <c r="D16" s="168"/>
      <c r="E16" s="168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68" t="str">
        <f>+Инвойс!A17</f>
        <v>Р/с N 20208840905433267001   (USD)</v>
      </c>
      <c r="B17" s="168"/>
      <c r="C17" s="168"/>
      <c r="D17" s="168"/>
      <c r="E17" s="168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68" t="str">
        <f>+Инвойс!A18</f>
        <v xml:space="preserve">в “Узсаноаткурилиш” Банк операционный </v>
      </c>
      <c r="B18" s="168"/>
      <c r="C18" s="168"/>
      <c r="D18" s="168"/>
      <c r="E18" s="168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68" t="str">
        <f>+Инвойс!A19</f>
        <v>МФО 00440</v>
      </c>
      <c r="B19" s="168"/>
      <c r="C19" s="168"/>
      <c r="D19" s="168"/>
      <c r="E19" s="168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68" t="str">
        <f>+Инвойс!A20</f>
        <v>ИНН: 308822933</v>
      </c>
      <c r="B20" s="168"/>
      <c r="C20" s="168"/>
      <c r="D20" s="168"/>
      <c r="E20" s="168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68"/>
      <c r="B21" s="168"/>
      <c r="C21" s="168"/>
      <c r="D21" s="168"/>
      <c r="E21" s="168"/>
      <c r="G21" s="7"/>
      <c r="H21" s="23"/>
      <c r="I21" s="23"/>
      <c r="J21" s="23"/>
    </row>
    <row r="22" spans="1:17" ht="43.5" customHeight="1" x14ac:dyDescent="0.25">
      <c r="A22" s="1" t="s">
        <v>130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118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tr">
        <f>+Инвойс!E26</f>
        <v>01278GKA/303619AA</v>
      </c>
      <c r="F26" s="137"/>
      <c r="G26" s="137"/>
      <c r="J26" s="21"/>
    </row>
    <row r="27" spans="1:17" ht="34.5" customHeight="1" x14ac:dyDescent="0.25">
      <c r="A27" s="67" t="s">
        <v>131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1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1" t="s">
        <v>12</v>
      </c>
      <c r="H29" s="111" t="s">
        <v>13</v>
      </c>
      <c r="I29" s="132"/>
      <c r="J29" s="112" t="s">
        <v>14</v>
      </c>
      <c r="K29" s="10" t="s">
        <v>15</v>
      </c>
      <c r="L29" s="10" t="s">
        <v>16</v>
      </c>
      <c r="M29" s="132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">
        <v>27</v>
      </c>
      <c r="G30" s="106">
        <f>+Инвойс!G30</f>
        <v>23000</v>
      </c>
      <c r="H30" s="106">
        <f>+Инвойс!H30</f>
        <v>21344</v>
      </c>
      <c r="I30" s="108">
        <f>+Инвойс!I30</f>
        <v>0.2</v>
      </c>
      <c r="J30" s="13">
        <f>+Инвойс!J30</f>
        <v>4268.8</v>
      </c>
      <c r="K30" s="12">
        <v>0</v>
      </c>
      <c r="L30" s="12">
        <v>0</v>
      </c>
      <c r="M30" s="13">
        <f>+Инвойс!M30</f>
        <v>4268.8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шестьдесят восемь долларов США, 80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5" spans="1:14" ht="15" x14ac:dyDescent="0.25">
      <c r="A35" s="7" t="s">
        <v>132</v>
      </c>
    </row>
    <row r="36" spans="1:14" ht="15.75" x14ac:dyDescent="0.25">
      <c r="A36" s="7" t="str">
        <f>+Инвойс!A14</f>
        <v>OOO “BMB EXIM”</v>
      </c>
      <c r="B36" s="7"/>
      <c r="D36" s="25" t="str">
        <f>+Инвойс!D36</f>
        <v>Сапаров И. Е</v>
      </c>
      <c r="E36" s="24"/>
      <c r="G36" s="129" t="s">
        <v>146</v>
      </c>
      <c r="L36" s="130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33:M33"/>
    <mergeCell ref="A34:M34"/>
    <mergeCell ref="G28:H28"/>
    <mergeCell ref="I28:I29"/>
    <mergeCell ref="K28:L28"/>
    <mergeCell ref="M28:M29"/>
    <mergeCell ref="A31:B31"/>
    <mergeCell ref="E32:M32"/>
    <mergeCell ref="E26:G26"/>
    <mergeCell ref="A28:A29"/>
    <mergeCell ref="B28:B29"/>
    <mergeCell ref="C28:C29"/>
    <mergeCell ref="D28:D29"/>
    <mergeCell ref="E28:E29"/>
    <mergeCell ref="F28:F29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A10:E10"/>
    <mergeCell ref="A11:E11"/>
    <mergeCell ref="A12:E12"/>
    <mergeCell ref="G12:M12"/>
    <mergeCell ref="G9:M9"/>
    <mergeCell ref="G10:M10"/>
    <mergeCell ref="G11:M11"/>
  </mergeCells>
  <phoneticPr fontId="76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119</v>
      </c>
    </row>
    <row r="3" spans="1:1" ht="51" x14ac:dyDescent="0.2">
      <c r="A3" s="126" t="s">
        <v>148</v>
      </c>
    </row>
    <row r="5" spans="1:1" ht="38.25" x14ac:dyDescent="0.2">
      <c r="A5" s="126" t="s">
        <v>120</v>
      </c>
    </row>
    <row r="7" spans="1:1" ht="51" x14ac:dyDescent="0.2">
      <c r="A7" s="126" t="s">
        <v>121</v>
      </c>
    </row>
    <row r="9" spans="1:1" ht="51" x14ac:dyDescent="0.2">
      <c r="A9" s="126" t="s">
        <v>122</v>
      </c>
    </row>
    <row r="10" spans="1:1" x14ac:dyDescent="0.2">
      <c r="A10" s="126"/>
    </row>
    <row r="11" spans="1:1" ht="51" x14ac:dyDescent="0.2">
      <c r="A11" s="126" t="s">
        <v>123</v>
      </c>
    </row>
    <row r="13" spans="1:1" ht="51" x14ac:dyDescent="0.2">
      <c r="A13" s="126" t="s">
        <v>124</v>
      </c>
    </row>
    <row r="15" spans="1:1" ht="38.25" x14ac:dyDescent="0.2">
      <c r="A15" s="126" t="s">
        <v>125</v>
      </c>
    </row>
    <row r="17" spans="1:1" ht="38.25" x14ac:dyDescent="0.2">
      <c r="A17" s="126" t="s">
        <v>126</v>
      </c>
    </row>
    <row r="19" spans="1:1" ht="38.25" x14ac:dyDescent="0.2">
      <c r="A19" s="128" t="s">
        <v>127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 x14ac:dyDescent="0.25">
      <c r="E2" s="27">
        <f>Инвойс!M31</f>
        <v>4268.8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шестьдесят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45880</v>
      </c>
      <c r="O3" s="174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шестьдесят восемь долларов США, 80 центов. (в т.ч. НДС - 357,79)</v>
      </c>
      <c r="H4" s="32"/>
      <c r="I4" s="32"/>
      <c r="J4" s="32"/>
      <c r="K4" s="175" t="str">
        <f ca="1">CONCATENATE(" «  ",P3,"  »  ",Q3,"  ",R3," г.")</f>
        <v xml:space="preserve"> «  11  »  августа  2025 г.</v>
      </c>
      <c r="L4" s="175"/>
      <c r="M4" s="175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шестьдесят восемь долларов США, 80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шестьдесят восемь долларов США, 80 центов. (в т.ч. НДС - 357,79)</v>
      </c>
      <c r="C6"/>
      <c r="D6"/>
      <c r="E6"/>
      <c r="H6" s="39"/>
    </row>
    <row r="7" spans="1:19" x14ac:dyDescent="0.2">
      <c r="D7" s="33"/>
      <c r="H7" s="176" t="s">
        <v>38</v>
      </c>
      <c r="I7" s="176"/>
      <c r="J7" s="176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6"/>
      <c r="I8" s="176"/>
      <c r="J8" s="176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6"/>
      <c r="I9" s="176"/>
      <c r="J9" s="176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6"/>
      <c r="I10" s="176"/>
      <c r="J10" s="176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шестьдесят восемь долларов США, </v>
      </c>
      <c r="D11" s="47"/>
      <c r="E11" s="48"/>
      <c r="H11" s="176"/>
      <c r="I11" s="176"/>
      <c r="J11" s="176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4268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4268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2" t="s">
        <v>85</v>
      </c>
      <c r="B100" s="172"/>
      <c r="C100" s="172"/>
      <c r="D100" s="172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2025-08-10T21:37:47Z</cp:lastPrinted>
  <dcterms:created xsi:type="dcterms:W3CDTF">1996-10-14T23:33:28Z</dcterms:created>
  <dcterms:modified xsi:type="dcterms:W3CDTF">2025-08-10T21:37:48Z</dcterms:modified>
</cp:coreProperties>
</file>