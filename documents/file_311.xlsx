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045F21B6-4246-48ED-A109-CDB276629E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<sst xmlns="http://schemas.openxmlformats.org/spreadsheetml/2006/main" count="209" uniqueCount="163">
  <si>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</si>
  <si>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</si>
  <si>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</si>
  <si>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</si>
  <si>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</si>
  <si>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</si>
  <si>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</si>
  <si>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</si>
  <si>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</si>
  <si>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</si>
  <si>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</si>
  <si>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</si>
  <si>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</si>
  <si>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</si>
  <si>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</si>
  <si>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</si>
  <si>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</si>
  <si>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</si>
  <si>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</si>
  <si>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</si>
  <si>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</si>
  <si>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</si>
  <si>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</si>
  <si>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</si>
  <si>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</si>
  <si>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</si>
  <si>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</si>
  <si>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</si>
  <si>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</si>
  <si>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</si>
  <si>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</si>
  <si>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</si>
  <si>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</si>
  <si>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</si>
  <si>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</si>
  <si>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</si>
  <si>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</si>
  <si>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</si>
  <si>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</si>
  <si>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</si>
  <si>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</si>
  <si>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</si>
  <si>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</si>
  <si>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</si>
  <si>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</si>
  <si>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</si>
  <si>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</si>
  <si>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</si>
  <si>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</si>
  <si>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</si>
  <si>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</si>
  <si>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</si>
  <si>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</si>
  <si>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</si>
  <si>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</si>
  <si>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</si>
  <si>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</si>
  <si>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</si>
  <si>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</si>
  <si>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</si>
  <si>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</si>
  <si>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</si>
  <si>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</si>
  <si>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</si>
  <si>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</si>
  <si>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</si>
  <si>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</si>
  <si>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</si>
  <si>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</si>
  <si>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</si>
  <si>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</si>
  <si>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</si>
  <si>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</si>
  <si>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</si>
  <si>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</si>
  <si>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</si>
  <si>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</si>
  <si>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</si>
  <si>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</si>
  <si>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</si>
  <si>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</si>
  <si>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</si>
  <si>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</si>
  <si>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</si>
  <si>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</si>
  <si>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</si>
  <si>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</si>
  <si>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</si>
  <si>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</si>
  <si>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</si>
  <si>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</si>
  <si>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</si>
  <si>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</si>
  <si>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</si>
  <si>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</si>
  <si>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</si>
  <si>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</si>
  <si>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</si>
  <si>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</si>
  <si>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</si>
  <si>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</si>
  <si>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</si>
  <si>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</si>
  <si>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</si>
  <si>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</si>
  <si>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</si>
  <si>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</si>
  <si>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</si>
  <si>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</si>
  <si>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</si>
  <si>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</si>
  <si>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</si>
  <si>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</si>
  <si>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</si>
  <si>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</si>
  <si>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</si>
  <si>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</si>
  <si>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</si>
  <si>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</si>
  <si>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</si>
  <si>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</si>
  <si>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</si>
  <si>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</si>
  <si>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</si>
  <si>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</si>
  <si>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</si>
  <si>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</si>
  <si>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</si>
  <si>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</si>
  <si>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</si>
  <si>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</si>
  <si>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</si>
  <si>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</si>
  <si>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</si>
  <si>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</si>
  <si>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</si>
  <si>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</si>
  <si>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</si>
  <si>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</si>
  <si>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</si>
  <si>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</si>
  <si>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</si>
  <si>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</si>
  <si>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</si>
  <si>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</si>
  <si>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</si>
  <si>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</si>
  <si>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</si>
  <si>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</si>
  <si>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</si>
  <si>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</si>
  <si>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</si>
  <si>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</si>
  <si>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</si>
  <si>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</si>
  <si>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</si>
  <si>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</si>
  <si>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</si>
  <si>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PLG-A-42 от </t>
  </si>
  <si>
    <t xml:space="preserve"> 31.08.2025г.</t>
  </si>
  <si>
    <t xml:space="preserve">СПЕЦИФИКАЦИЯ № PLG-A-42 от </t>
  </si>
  <si>
    <t>50930EBA/502667BA</t>
  </si>
  <si>
    <t>г.Уфа / г.Иваново /г. Иркутск /г.Омск /г. Ижевск/ г.Крым Симферополь/ Российская федерация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</si>
</sst>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149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150</v>
      </c>
      <c r="B6" s="141"/>
      <c r="C6" s="141"/>
      <c r="D6" s="141"/>
      <c r="E6" s="141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151</v>
      </c>
      <c r="B7" s="141"/>
      <c r="C7" s="141"/>
      <c r="D7" s="141"/>
      <c r="E7" s="141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145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149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150</v>
      </c>
      <c r="B15" s="141"/>
      <c r="C15" s="141"/>
      <c r="D15" s="141"/>
      <c r="E15" s="141"/>
      <c r="F15" s="7"/>
      <c r="G15" s="140" t="s">
        <v>140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151</v>
      </c>
      <c r="B16" s="141"/>
      <c r="C16" s="141"/>
      <c r="D16" s="141"/>
      <c r="E16" s="141"/>
      <c r="F16" s="63"/>
      <c r="G16" s="140" t="s">
        <v>141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145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118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940</v>
      </c>
      <c r="F30" s="115" t="s">
        <v>27</v>
      </c>
      <c r="G30" s="106">
        <v>23500</v>
      </c>
      <c r="H30" s="106">
        <v>21808</v>
      </c>
      <c r="I30" s="108">
        <v>0.25</v>
      </c>
      <c r="J30" s="13">
        <f t="shared" ref="J30" si="0">H30*I30</f>
        <v>5452</v>
      </c>
      <c r="K30" s="12">
        <v>0</v>
      </c>
      <c r="L30" s="12">
        <v>0</v>
      </c>
      <c r="M30" s="13">
        <f t="shared" ref="M30" si="1">J30</f>
        <v>5452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пятьдесят два доллара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8" zoomScaleNormal="100" workbookViewId="0">
      <selection activeCell="B24" sqref="B24:D2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162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PLG-A-42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50930EBA/502667BA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50930EBA/502667BA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PLG-A-42 от  31.08.2025г.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940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23500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940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160</v>
      </c>
      <c r="C1" s="171"/>
      <c r="D1" s="171"/>
      <c r="E1" s="171"/>
      <c r="F1" s="152" t="str">
        <f>+Инвойс!F1</f>
        <v xml:space="preserve"> 31.08.2025г.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50930EBA/502667BA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940</v>
      </c>
      <c r="F30" s="115" t="str">
        <f>+Инвойс!F30</f>
        <v>кг</v>
      </c>
      <c r="G30" s="106">
        <f>+Инвойс!G30</f>
        <v>23500</v>
      </c>
      <c r="H30" s="106">
        <f>+Инвойс!H30</f>
        <v>21808</v>
      </c>
      <c r="I30" s="108">
        <f>+Инвойс!I30</f>
        <v>0.25</v>
      </c>
      <c r="J30" s="13">
        <f>+Инвойс!J30</f>
        <v>5452</v>
      </c>
      <c r="K30" s="12">
        <v>0</v>
      </c>
      <c r="L30" s="12">
        <v>0</v>
      </c>
      <c r="M30" s="13">
        <f>+Инвойс!M30</f>
        <v>5452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940</v>
      </c>
      <c r="F31" s="15"/>
      <c r="G31" s="64">
        <f>SUM(G30:G30)</f>
        <v>23500</v>
      </c>
      <c r="H31" s="64">
        <f>SUM(H30:H30)</f>
        <v>21808</v>
      </c>
      <c r="I31" s="102"/>
      <c r="J31" s="17">
        <f>SUM(J30:J30)</f>
        <v>5452</v>
      </c>
      <c r="K31" s="16"/>
      <c r="L31" s="16"/>
      <c r="M31" s="17">
        <f>SUM(M30:M30)</f>
        <v>5452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пятьдесят два доллара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157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131</v>
      </c>
    </row>
    <row r="7" spans="1:10" ht="52.8" x14ac:dyDescent="0.25">
      <c r="A7" s="125" t="s">
        <v>118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133</v>
      </c>
      <c r="J10" s="25" t="s">
        <v>134</v>
      </c>
    </row>
    <row r="11" spans="1:10" ht="52.8" x14ac:dyDescent="0.25">
      <c r="A11" s="125" t="s">
        <v>147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5452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пятьдесят два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пятьдесят два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пятьдесят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пятьдесят два доллара США,00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четыреста пятьдесят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5452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5452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452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2025-08-31T07:21:33Z</cp:lastPrinted>
  <dcterms:created xsi:type="dcterms:W3CDTF">1996-10-14T23:33:28Z</dcterms:created>
  <dcterms:modified xsi:type="dcterms:W3CDTF">2025-08-31T07:23:40Z</dcterms:modified>
</cp:coreProperties>
</file>