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AEA8314-A1C0-422B-9BAA-1263C9864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H31" i="7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<sst xmlns="http://schemas.openxmlformats.org/spreadsheetml/2006/main" count="212" uniqueCount="164">
  <si>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</si>
  <si>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</si>
  <si>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</si>
  <si>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</si>
  <si>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</si>
  <si>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</si>
  <si>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</si>
  <si>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</si>
  <si>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</si>
  <si>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</si>
  <si>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</si>
  <si>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</si>
  <si>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</si>
  <si>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</si>
  <si>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</si>
  <si>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</si>
  <si>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</si>
  <si>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</si>
  <si>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</si>
  <si>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</si>
  <si>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</si>
  <si>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</si>
  <si>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</si>
  <si>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</si>
  <si>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</si>
  <si>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</si>
  <si>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</si>
  <si>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</si>
  <si>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</si>
  <si>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</si>
  <si>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</si>
  <si>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</si>
  <si>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</si>
  <si>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</si>
  <si>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</si>
  <si>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</si>
  <si>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</si>
  <si>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</si>
  <si>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</si>
  <si>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</si>
  <si>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</si>
  <si>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</si>
  <si>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</si>
  <si>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</si>
  <si>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</si>
  <si>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</si>
  <si>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</si>
  <si>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</si>
  <si>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</si>
  <si>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</si>
  <si>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</si>
  <si>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</si>
  <si>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</si>
  <si>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</si>
  <si>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</si>
  <si>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</si>
  <si>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</si>
  <si>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</si>
  <si>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</si>
  <si>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</si>
  <si>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</si>
  <si>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</si>
  <si>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</si>
  <si>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</si>
  <si>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</si>
  <si>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</si>
  <si>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</si>
  <si>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</si>
  <si>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</si>
  <si>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</si>
  <si>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</si>
  <si>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</si>
  <si>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</si>
  <si>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</si>
  <si>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</si>
  <si>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</si>
  <si>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</si>
  <si>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</si>
  <si>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</si>
  <si>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</si>
  <si>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</si>
  <si>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</si>
  <si>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</si>
  <si>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</si>
  <si>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</si>
  <si>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</si>
  <si>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</si>
  <si>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</si>
  <si>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</si>
  <si>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</si>
  <si>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</si>
  <si>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</si>
  <si>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</si>
  <si>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</si>
  <si>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</si>
  <si>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</si>
  <si>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</si>
  <si>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</si>
  <si>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</si>
  <si>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</si>
  <si>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</si>
  <si>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</si>
  <si>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</si>
  <si>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</si>
  <si>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</si>
  <si>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</si>
  <si>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</si>
  <si>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</si>
  <si>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</si>
  <si>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</si>
  <si>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</si>
  <si>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</si>
  <si>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</si>
  <si>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</si>
  <si>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</si>
  <si>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</si>
  <si>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</si>
  <si>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</si>
  <si>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</si>
  <si>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</si>
  <si>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</si>
  <si>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</si>
  <si>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</si>
  <si>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Арбузы свежие</t>
  </si>
  <si>
    <t>0807110001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</si>
  <si>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</si>
  <si>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</si>
  <si>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</si>
  <si>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</si>
  <si>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</si>
  <si>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</si>
  <si>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</si>
  <si>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</si>
  <si>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</si>
  <si>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</si>
  <si>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</si>
  <si>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</si>
  <si>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</si>
  <si>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</si>
  <si>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</si>
  <si>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</si>
  <si>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</si>
  <si>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</si>
  <si>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</si>
  <si>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</si>
  <si>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</si>
  <si>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</si>
  <si>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</si>
  <si>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</si>
  <si>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</si>
  <si>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</si>
  <si>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</si>
  <si>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</si>
  <si>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</si>
  <si>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</si>
  <si>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</si>
  <si>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</si>
  <si>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EXG-F-28 от </t>
  </si>
  <si>
    <t xml:space="preserve"> 31.08.2025г.</t>
  </si>
  <si>
    <t>40H569MA/405509BA</t>
  </si>
  <si>
    <t>навалом</t>
  </si>
  <si>
    <t>-</t>
  </si>
  <si>
    <t xml:space="preserve">СПЕЦИФИКАЦИЯ № EXG-F-28 от </t>
  </si>
  <si>
    <t>/г. Владивосток/ г.Томск / г. Пенза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</si>
</sst>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157</v>
      </c>
      <c r="D1" s="154"/>
      <c r="E1" s="154"/>
      <c r="F1" s="153" t="s">
        <v>158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145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146</v>
      </c>
      <c r="B5" s="155"/>
      <c r="C5" s="155"/>
      <c r="D5" s="155"/>
      <c r="E5" s="155"/>
      <c r="F5" s="6"/>
      <c r="G5" s="148" t="s">
        <v>137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147</v>
      </c>
      <c r="B6" s="142"/>
      <c r="C6" s="142"/>
      <c r="D6" s="142"/>
      <c r="E6" s="142"/>
      <c r="F6" s="7"/>
      <c r="G6" s="141" t="s">
        <v>138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41" t="s">
        <v>139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151</v>
      </c>
      <c r="B10" s="125"/>
      <c r="C10" s="125"/>
      <c r="D10" s="125"/>
      <c r="E10" s="125"/>
      <c r="F10" s="7"/>
      <c r="G10" s="7" t="s">
        <v>136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142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153</v>
      </c>
      <c r="B12" s="8"/>
      <c r="C12" s="8"/>
      <c r="D12" s="8"/>
      <c r="E12" s="8"/>
      <c r="F12" s="7"/>
      <c r="G12" s="144" t="s">
        <v>143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146</v>
      </c>
      <c r="B14" s="155"/>
      <c r="C14" s="155"/>
      <c r="D14" s="155"/>
      <c r="E14" s="155"/>
      <c r="F14" s="6"/>
      <c r="G14" s="148" t="s">
        <v>137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147</v>
      </c>
      <c r="B15" s="142"/>
      <c r="C15" s="142"/>
      <c r="D15" s="142"/>
      <c r="E15" s="142"/>
      <c r="F15" s="7"/>
      <c r="G15" s="141" t="s">
        <v>138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41" t="s">
        <v>139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140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141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151</v>
      </c>
      <c r="B19" s="125"/>
      <c r="C19" s="125"/>
      <c r="D19" s="125"/>
      <c r="E19" s="125"/>
      <c r="F19" s="7"/>
      <c r="G19" s="7" t="s">
        <v>136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142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153</v>
      </c>
      <c r="B21" s="8"/>
      <c r="C21" s="8"/>
      <c r="D21" s="8"/>
      <c r="E21" s="8"/>
      <c r="G21" s="144" t="s">
        <v>143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114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159</v>
      </c>
      <c r="F26" s="140"/>
      <c r="G26" s="140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3.8" x14ac:dyDescent="0.25">
      <c r="A30" s="127">
        <v>1</v>
      </c>
      <c r="B30" s="101" t="s">
        <v>123</v>
      </c>
      <c r="C30" s="107" t="s">
        <v>124</v>
      </c>
      <c r="D30" s="109" t="s">
        <v>160</v>
      </c>
      <c r="E30" s="101" t="s">
        <v>161</v>
      </c>
      <c r="F30" s="110" t="s">
        <v>27</v>
      </c>
      <c r="G30" s="106">
        <v>23000</v>
      </c>
      <c r="H30" s="106">
        <v>23000</v>
      </c>
      <c r="I30" s="108">
        <v>0.25</v>
      </c>
      <c r="J30" s="13">
        <f t="shared" ref="J30" si="0">H30*I30</f>
        <v>5750</v>
      </c>
      <c r="K30" s="12">
        <v>0</v>
      </c>
      <c r="L30" s="12">
        <v>0</v>
      </c>
      <c r="M30" s="13">
        <f t="shared" ref="M30" si="1">J30</f>
        <v>5750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/>
      <c r="F31" s="15"/>
      <c r="G31" s="64">
        <f>SUM(G30:G30)</f>
        <v>23000</v>
      </c>
      <c r="H31" s="64">
        <f>SUM(H30:H30)</f>
        <v>23000</v>
      </c>
      <c r="I31" s="102"/>
      <c r="J31" s="17">
        <f>SUM(J30:J30)</f>
        <v>5750</v>
      </c>
      <c r="K31" s="16"/>
      <c r="L31" s="16"/>
      <c r="M31" s="17">
        <f>SUM(M30:M30)</f>
        <v>5750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семьсот пятьдесят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154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17" sqref="F1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109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163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EXG-F-28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 t="str">
        <f>+Инвойс!E30</f>
        <v>-</v>
      </c>
      <c r="D30" s="103" t="str">
        <f>+Инвойс!D30</f>
        <v>навалом</v>
      </c>
      <c r="E30" s="103"/>
      <c r="F30" s="103" t="str">
        <f>+Инвойс!B30</f>
        <v>Арбузы свежие</v>
      </c>
      <c r="G30" s="104" t="str">
        <f>+Инвойс!C30</f>
        <v>0807110001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111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40H569MA/405509BA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Normal="100" workbookViewId="0">
      <selection activeCell="H48" sqref="H4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40H569MA/405509BA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EXG-F-28 от  31.08.2025г.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 t="str">
        <f>+Инвойс!E30</f>
        <v>-</v>
      </c>
      <c r="G18" s="163" t="str">
        <f>+CMR!F30</f>
        <v>Арбузы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навалом</v>
      </c>
      <c r="G19" s="161" t="str">
        <f>+Инвойс!C30</f>
        <v>0807110001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 t="s">
        <v>160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E32" sqref="E32:M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31.08.2025г.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112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40H569MA/405509BA</v>
      </c>
      <c r="F26" s="140"/>
      <c r="G26" s="140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3.8" x14ac:dyDescent="0.25">
      <c r="A30" s="127">
        <f>+Инвойс!A30</f>
        <v>1</v>
      </c>
      <c r="B30" s="101" t="str">
        <f>+Инвойс!B30</f>
        <v>Арбузы свежие</v>
      </c>
      <c r="C30" s="107" t="str">
        <f>+Инвойс!C30</f>
        <v>0807110001</v>
      </c>
      <c r="D30" s="115" t="str">
        <f>+Инвойс!D30</f>
        <v>навалом</v>
      </c>
      <c r="E30" s="101" t="str">
        <f>+Инвойс!E30</f>
        <v>-</v>
      </c>
      <c r="F30" s="116" t="str">
        <f>+Инвойс!F30</f>
        <v>кг</v>
      </c>
      <c r="G30" s="106">
        <f>+Инвойс!G30</f>
        <v>23000</v>
      </c>
      <c r="H30" s="106">
        <f>+Инвойс!H30</f>
        <v>23000</v>
      </c>
      <c r="I30" s="108">
        <f>+Инвойс!I30</f>
        <v>0.25</v>
      </c>
      <c r="J30" s="13">
        <f>+Инвойс!J30</f>
        <v>5750</v>
      </c>
      <c r="K30" s="12">
        <v>0</v>
      </c>
      <c r="L30" s="12">
        <v>0</v>
      </c>
      <c r="M30" s="13">
        <f>+Инвойс!M30</f>
        <v>5750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/>
      <c r="F31" s="15"/>
      <c r="G31" s="64">
        <f>SUM(G30:G30)</f>
        <v>23000</v>
      </c>
      <c r="H31" s="64">
        <f>SUM(H30:H30)</f>
        <v>23000</v>
      </c>
      <c r="I31" s="102"/>
      <c r="J31" s="17">
        <f>SUM(J30:J30)</f>
        <v>5750</v>
      </c>
      <c r="K31" s="16"/>
      <c r="L31" s="16"/>
      <c r="M31" s="17">
        <f>SUM(M30:M30)</f>
        <v>5750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семьсот пятьдесят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155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«ГРИН ВОРЛД»</v>
      </c>
      <c r="K36" s="133" t="s">
        <v>144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113</v>
      </c>
    </row>
    <row r="3" spans="1:10" ht="52.8" x14ac:dyDescent="0.25">
      <c r="A3" s="130" t="s">
        <v>125</v>
      </c>
    </row>
    <row r="5" spans="1:10" ht="39.6" x14ac:dyDescent="0.25">
      <c r="A5" s="126" t="s">
        <v>114</v>
      </c>
    </row>
    <row r="6" spans="1:10" x14ac:dyDescent="0.25">
      <c r="E6" s="18" t="s">
        <v>126</v>
      </c>
      <c r="J6" s="25" t="s">
        <v>129</v>
      </c>
    </row>
    <row r="7" spans="1:10" ht="52.8" x14ac:dyDescent="0.25">
      <c r="A7" s="126" t="s">
        <v>115</v>
      </c>
    </row>
    <row r="8" spans="1:10" x14ac:dyDescent="0.25">
      <c r="E8" s="18" t="s">
        <v>135</v>
      </c>
      <c r="J8" s="25" t="s">
        <v>130</v>
      </c>
    </row>
    <row r="9" spans="1:10" ht="52.8" x14ac:dyDescent="0.25">
      <c r="A9" s="126" t="s">
        <v>116</v>
      </c>
    </row>
    <row r="10" spans="1:10" x14ac:dyDescent="0.25">
      <c r="A10" s="126"/>
      <c r="E10" s="18" t="s">
        <v>131</v>
      </c>
      <c r="J10" s="25" t="s">
        <v>132</v>
      </c>
    </row>
    <row r="11" spans="1:10" ht="52.8" x14ac:dyDescent="0.25">
      <c r="A11" s="126" t="s">
        <v>156</v>
      </c>
    </row>
    <row r="12" spans="1:10" x14ac:dyDescent="0.25">
      <c r="E12" s="18" t="s">
        <v>133</v>
      </c>
      <c r="J12" s="25" t="s">
        <v>134</v>
      </c>
    </row>
    <row r="13" spans="1:10" ht="52.8" x14ac:dyDescent="0.25">
      <c r="A13" s="126" t="s">
        <v>117</v>
      </c>
    </row>
    <row r="15" spans="1:10" ht="39.6" x14ac:dyDescent="0.25">
      <c r="A15" s="126" t="s">
        <v>118</v>
      </c>
    </row>
    <row r="17" spans="1:1" ht="39.6" x14ac:dyDescent="0.25">
      <c r="A17" s="126" t="s">
        <v>119</v>
      </c>
    </row>
    <row r="19" spans="1:1" ht="39.6" x14ac:dyDescent="0.25">
      <c r="A19" s="128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5750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семьсот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семьсот пятьдесят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семьсот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семьсот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пятьдесят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5750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575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5750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2025-08-31T06:32:22Z</cp:lastPrinted>
  <dcterms:created xsi:type="dcterms:W3CDTF">1996-10-14T23:33:28Z</dcterms:created>
  <dcterms:modified xsi:type="dcterms:W3CDTF">2025-08-31T06:32:34Z</dcterms:modified>
</cp:coreProperties>
</file>