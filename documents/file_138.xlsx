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H30" i="7" l="1"/>
  <c r="G30" i="7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E31" i="3" l="1"/>
  <c r="A12" i="3"/>
  <c r="C29" i="3"/>
  <c r="F29" i="3" s="1"/>
  <c r="B25" i="3"/>
  <c r="E25" i="3" s="1"/>
  <c r="A24" i="3"/>
  <c r="E27" i="3"/>
  <c r="E30" i="3"/>
  <c r="C27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<sst xmlns="http://schemas.openxmlformats.org/spreadsheetml/2006/main" count="217" uniqueCount="175">
  <si>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</si>
  <si>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</si>
  <si>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</si>
  <si>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</si>
  <si>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</si>
  <si>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</si>
  <si>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</si>
  <si>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</si>
  <si>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</si>
  <si>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</si>
  <si>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</si>
  <si>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</si>
  <si>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</si>
  <si>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</si>
  <si>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</si>
  <si>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</si>
  <si>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</si>
  <si>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</si>
  <si>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</si>
  <si>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</si>
  <si>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</si>
  <si>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</si>
  <si>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</si>
  <si>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</si>
  <si>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</si>
  <si>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</si>
  <si>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</si>
  <si>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</si>
  <si>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</si>
  <si>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</si>
  <si>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</si>
  <si>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</si>
  <si>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</si>
  <si>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</si>
  <si>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</si>
  <si>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</si>
  <si>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</si>
  <si>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</si>
  <si>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</si>
  <si>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</si>
  <si>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</si>
  <si>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</si>
  <si>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</si>
  <si>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</si>
  <si>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</si>
  <si>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</si>
  <si>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</si>
  <si>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</si>
  <si>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</si>
  <si>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</si>
  <si>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</si>
  <si>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</si>
  <si>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</si>
  <si>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</si>
  <si>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</si>
  <si>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</si>
  <si>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</si>
  <si>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</si>
  <si>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</si>
  <si>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</si>
  <si>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</si>
  <si>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</si>
  <si>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</si>
  <si>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</si>
  <si>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</si>
  <si>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</si>
  <si>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</si>
  <si>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</si>
  <si>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</si>
  <si>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</si>
  <si>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</si>
  <si>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</si>
  <si>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</si>
  <si>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</si>
  <si>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</si>
  <si>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</si>
  <si>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</si>
  <si>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</si>
  <si>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</si>
  <si>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</si>
  <si>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</si>
  <si>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</si>
  <si>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</si>
  <si>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</si>
  <si>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</si>
  <si>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</si>
  <si>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</si>
  <si>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</si>
  <si>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</si>
  <si>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</si>
  <si>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</si>
  <si>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</si>
  <si>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</si>
  <si>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</si>
  <si>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</si>
  <si>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</si>
  <si>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</si>
  <si>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</si>
  <si>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</si>
  <si>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</si>
  <si>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</si>
  <si>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</si>
  <si>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</si>
  <si>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</si>
  <si>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</si>
  <si>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</si>
  <si>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</si>
  <si>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</si>
  <si>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</si>
  <si>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</si>
  <si>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</si>
  <si>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</si>
  <si>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</si>
  <si>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</si>
  <si>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</si>
  <si>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</si>
  <si>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</si>
  <si>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</si>
  <si>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</si>
  <si>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</si>
  <si>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</si>
  <si>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</si>
  <si>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</si>
  <si>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</si>
  <si>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</si>
  <si>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</si>
  <si>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</si>
  <si>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</si>
  <si>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</si>
  <si>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</si>
  <si>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</si>
  <si>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</si>
  <si>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</si>
  <si>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</si>
  <si>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</si>
  <si>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</si>
  <si>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</si>
  <si>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</si>
  <si>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</si>
  <si>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</si>
  <si>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</si>
  <si>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</si>
  <si>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</si>
  <si>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</si>
  <si>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</si>
  <si>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</si>
  <si>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</si>
  <si>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</si>
  <si>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</si>
  <si>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</si>
  <si>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</si>
  <si>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</si>
  <si>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</si>
  <si>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</si>
  <si>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</si>
  <si>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</si>
  <si>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</si>
  <si>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</si>
  <si>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</si>
  <si>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</si>
  <si>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</si>
  <si>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</si>
  <si>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</si>
  <si>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</si>
  <si>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</si>
  <si>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</si>
  <si>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</si>
  <si>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</si>
  <si>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</si>
  <si>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</si>
  <si>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</si>
  <si>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ИНВОЙС № D-822 от</t>
  </si>
  <si>
    <t>10.08.2025г.</t>
  </si>
  <si>
    <t>80837EBA/803991AA</t>
  </si>
  <si>
    <t>Спецификация № D-822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</si>
</sst>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5" t="s">
        <v>171</v>
      </c>
      <c r="D1" s="145"/>
      <c r="E1" s="145"/>
      <c r="F1" s="144" t="s">
        <v>172</v>
      </c>
      <c r="G1" s="144"/>
      <c r="H1" s="14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6" t="s">
        <v>148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47" t="s">
        <v>149</v>
      </c>
      <c r="B5" s="147"/>
      <c r="C5" s="147"/>
      <c r="D5" s="147"/>
      <c r="E5" s="147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x14ac:dyDescent="0.25">
      <c r="A6" s="122" t="s">
        <v>150</v>
      </c>
      <c r="B6" s="122"/>
      <c r="C6" s="122"/>
      <c r="D6" s="122"/>
      <c r="E6" s="122"/>
      <c r="F6" s="7"/>
      <c r="G6" s="134" t="s">
        <v>142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2" t="s">
        <v>151</v>
      </c>
      <c r="B7" s="122"/>
      <c r="C7" s="122"/>
      <c r="D7" s="122"/>
      <c r="E7" s="122"/>
      <c r="F7" s="63"/>
      <c r="G7" s="134" t="s">
        <v>143</v>
      </c>
      <c r="H7" s="134"/>
      <c r="I7" s="134"/>
      <c r="J7" s="134"/>
      <c r="K7" s="134"/>
      <c r="L7" s="134"/>
      <c r="M7" s="134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135" t="s">
        <v>144</v>
      </c>
      <c r="H8" s="135"/>
      <c r="I8" s="135"/>
      <c r="J8" s="135"/>
      <c r="K8" s="135"/>
      <c r="L8" s="135"/>
      <c r="M8" s="135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155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153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">
        <v>156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47" t="s">
        <v>149</v>
      </c>
      <c r="B14" s="147"/>
      <c r="C14" s="147"/>
      <c r="D14" s="147"/>
      <c r="E14" s="147"/>
      <c r="F14" s="6"/>
      <c r="G14" s="138" t="s">
        <v>106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2" t="s">
        <v>150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5" x14ac:dyDescent="0.25">
      <c r="A16" s="122" t="s">
        <v>151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155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153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43" t="s">
        <v>156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0" t="s">
        <v>127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1:17" ht="15.75" x14ac:dyDescent="0.25">
      <c r="A24" s="20" t="s">
        <v>22</v>
      </c>
      <c r="C24" s="18" t="s">
        <v>128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1" t="s">
        <v>173</v>
      </c>
      <c r="F26" s="132"/>
      <c r="G26" s="132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v>1</v>
      </c>
      <c r="B30" s="100" t="s">
        <v>158</v>
      </c>
      <c r="C30" s="106" t="s">
        <v>147</v>
      </c>
      <c r="D30" s="108" t="s">
        <v>138</v>
      </c>
      <c r="E30" s="100">
        <v>2200</v>
      </c>
      <c r="F30" s="109" t="s">
        <v>27</v>
      </c>
      <c r="G30" s="105">
        <v>19800</v>
      </c>
      <c r="H30" s="105">
        <v>16720</v>
      </c>
      <c r="I30" s="107">
        <v>1.1000000000000001</v>
      </c>
      <c r="J30" s="13">
        <f t="shared" ref="J30" si="0">H30*I30</f>
        <v>18392</v>
      </c>
      <c r="K30" s="12">
        <v>0</v>
      </c>
      <c r="L30" s="12">
        <v>0</v>
      </c>
      <c r="M30" s="13">
        <f t="shared" ref="M30" si="1">J30</f>
        <v>18392</v>
      </c>
      <c r="O30" s="99"/>
      <c r="Q30" s="99"/>
    </row>
    <row r="31" spans="1:17" ht="14.25" x14ac:dyDescent="0.2">
      <c r="A31" s="141" t="s">
        <v>0</v>
      </c>
      <c r="B31" s="142"/>
      <c r="C31" s="14"/>
      <c r="D31" s="15"/>
      <c r="E31" s="64">
        <f>SUM(E30:E30)</f>
        <v>2200</v>
      </c>
      <c r="F31" s="15"/>
      <c r="G31" s="64">
        <f>SUM(G30:G30)</f>
        <v>19800</v>
      </c>
      <c r="H31" s="64">
        <f>SUM(H30:H30)</f>
        <v>16720</v>
      </c>
      <c r="I31" s="101"/>
      <c r="J31" s="17">
        <f>SUM(J30:J30)</f>
        <v>18392</v>
      </c>
      <c r="K31" s="16"/>
      <c r="L31" s="16"/>
      <c r="M31" s="17">
        <f>SUM(M30:M30)</f>
        <v>18392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Восемнадцать тысяч триста девяносто два доллара США,00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">
      <c r="A34" s="133" t="s">
        <v>120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D-822 от10.08.2025г.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117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2200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19800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г.Новосибирск, ч/з Новосибирский з/т пост, г.Новосибирск, ул.Толмачевская, д.1/1. код поста 10609030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1" t="str">
        <f>+C22</f>
        <v>10.08.2025г.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80837EBA/803991AA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80837EBA/803991AA</v>
      </c>
      <c r="C14" s="160"/>
      <c r="D14" s="160"/>
      <c r="E14" s="160"/>
      <c r="F14" s="160"/>
      <c r="G14" s="160"/>
      <c r="H14" s="161" t="s">
        <v>118</v>
      </c>
      <c r="I14" s="161"/>
      <c r="J14" s="88" t="str">
        <f>+Инвойс!F1</f>
        <v>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D-822 от10.08.2025г.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2200</v>
      </c>
      <c r="G18" s="154" t="str">
        <f>+CMR!F30</f>
        <v>Виноград свежий столовых сортов</v>
      </c>
      <c r="H18" s="154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Дер.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19800</v>
      </c>
    </row>
    <row r="20" spans="2:10" ht="13.5" customHeight="1" x14ac:dyDescent="0.25">
      <c r="B20" s="83"/>
      <c r="E20" s="120"/>
      <c r="F20" s="115"/>
      <c r="G20" s="154"/>
      <c r="H20" s="154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25">
      <c r="B22" s="83"/>
      <c r="E22" s="120"/>
      <c r="F22" s="115"/>
      <c r="G22" s="154"/>
      <c r="H22" s="154"/>
      <c r="I22" s="116"/>
      <c r="J22" s="117"/>
    </row>
    <row r="23" spans="2:10" ht="14.25" customHeight="1" x14ac:dyDescent="0.25">
      <c r="B23" s="83"/>
      <c r="E23" s="120"/>
      <c r="F23" s="118"/>
      <c r="G23" s="152"/>
      <c r="H23" s="153"/>
      <c r="I23" s="119"/>
      <c r="J23" s="117"/>
    </row>
    <row r="24" spans="2:10" ht="12.75" customHeight="1" x14ac:dyDescent="0.25">
      <c r="B24" s="87"/>
      <c r="E24" s="120"/>
      <c r="F24" s="115"/>
      <c r="G24" s="154"/>
      <c r="H24" s="154"/>
      <c r="I24" s="116"/>
      <c r="J24" s="117"/>
    </row>
    <row r="25" spans="2:10" ht="12.75" customHeight="1" x14ac:dyDescent="0.25">
      <c r="B25" s="87"/>
      <c r="E25" s="120"/>
      <c r="F25" s="118"/>
      <c r="G25" s="152"/>
      <c r="H25" s="153"/>
      <c r="I25" s="119"/>
      <c r="J25" s="117"/>
    </row>
    <row r="26" spans="2:10" ht="12" customHeight="1" x14ac:dyDescent="0.25">
      <c r="B26" s="87"/>
      <c r="E26" s="120"/>
      <c r="F26" s="115"/>
      <c r="G26" s="154"/>
      <c r="H26" s="154"/>
      <c r="I26" s="116"/>
      <c r="J26" s="117"/>
    </row>
    <row r="27" spans="2:10" ht="14.25" customHeight="1" x14ac:dyDescent="0.25">
      <c r="B27" s="87"/>
      <c r="E27" s="120"/>
      <c r="F27" s="118"/>
      <c r="G27" s="152"/>
      <c r="H27" s="153"/>
      <c r="I27" s="119"/>
      <c r="J27" s="117"/>
    </row>
    <row r="28" spans="2:10" ht="12.75" customHeight="1" x14ac:dyDescent="0.25">
      <c r="B28" s="87"/>
      <c r="E28" s="120"/>
      <c r="F28" s="115"/>
      <c r="G28" s="154"/>
      <c r="H28" s="154"/>
      <c r="I28" s="116"/>
      <c r="J28" s="117"/>
    </row>
    <row r="29" spans="2:10" ht="12.75" customHeight="1" x14ac:dyDescent="0.25">
      <c r="B29" s="87"/>
      <c r="E29" s="120"/>
      <c r="F29" s="118"/>
      <c r="G29" s="152"/>
      <c r="H29" s="153"/>
      <c r="I29" s="119"/>
      <c r="J29" s="117"/>
    </row>
    <row r="30" spans="2:10" ht="12.75" customHeight="1" x14ac:dyDescent="0.25">
      <c r="B30" s="87"/>
      <c r="E30" s="120"/>
      <c r="F30" s="115"/>
      <c r="G30" s="154"/>
      <c r="H30" s="154"/>
      <c r="I30" s="116"/>
      <c r="J30" s="117"/>
    </row>
    <row r="31" spans="2:10" ht="13.5" customHeight="1" x14ac:dyDescent="0.25">
      <c r="B31" s="87"/>
      <c r="E31" s="120"/>
      <c r="F31" s="118"/>
      <c r="G31" s="152"/>
      <c r="H31" s="153"/>
      <c r="I31" s="119"/>
      <c r="J31" s="117"/>
    </row>
    <row r="32" spans="2:10" ht="13.5" customHeight="1" x14ac:dyDescent="0.25">
      <c r="B32" s="87"/>
      <c r="E32" s="120"/>
      <c r="F32" s="115"/>
      <c r="G32" s="154"/>
      <c r="H32" s="154"/>
      <c r="I32" s="116"/>
      <c r="J32" s="117"/>
    </row>
    <row r="33" spans="2:10" ht="13.5" customHeight="1" x14ac:dyDescent="0.25">
      <c r="B33" s="87"/>
      <c r="E33" s="120"/>
      <c r="F33" s="118"/>
      <c r="G33" s="152"/>
      <c r="H33" s="153"/>
      <c r="I33" s="119"/>
      <c r="J33" s="117"/>
    </row>
    <row r="34" spans="2:10" ht="13.5" customHeight="1" x14ac:dyDescent="0.25">
      <c r="B34" s="87"/>
      <c r="E34" s="120"/>
      <c r="F34" s="115"/>
      <c r="G34" s="154"/>
      <c r="H34" s="154"/>
      <c r="I34" s="116"/>
      <c r="J34" s="117"/>
    </row>
    <row r="35" spans="2:10" ht="12.75" customHeight="1" x14ac:dyDescent="0.25">
      <c r="B35" s="87"/>
      <c r="E35" s="120"/>
      <c r="F35" s="118"/>
      <c r="G35" s="152"/>
      <c r="H35" s="153"/>
      <c r="I35" s="119"/>
      <c r="J35" s="117"/>
    </row>
    <row r="36" spans="2:10" x14ac:dyDescent="0.25">
      <c r="B36" s="87"/>
      <c r="E36" s="120"/>
      <c r="F36" s="115"/>
      <c r="G36" s="154"/>
      <c r="H36" s="154"/>
      <c r="I36" s="116"/>
      <c r="J36" s="117"/>
    </row>
    <row r="37" spans="2:10" ht="13.5" customHeight="1" x14ac:dyDescent="0.25">
      <c r="B37" s="87"/>
      <c r="E37" s="120"/>
      <c r="F37" s="118"/>
      <c r="G37" s="152"/>
      <c r="H37" s="153"/>
      <c r="I37" s="119"/>
      <c r="J37" s="117"/>
    </row>
    <row r="38" spans="2:10" x14ac:dyDescent="0.25">
      <c r="B38" s="87"/>
      <c r="E38" s="120"/>
      <c r="F38" s="115"/>
      <c r="G38" s="154"/>
      <c r="H38" s="154"/>
      <c r="I38" s="116"/>
      <c r="J38" s="117"/>
    </row>
    <row r="39" spans="2:10" ht="13.5" customHeight="1" x14ac:dyDescent="0.25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25">
      <c r="B40" s="87"/>
      <c r="E40" s="120"/>
      <c r="F40" s="115"/>
      <c r="G40" s="154"/>
      <c r="H40" s="154"/>
      <c r="I40" s="116"/>
      <c r="J40" s="117"/>
    </row>
    <row r="41" spans="2:10" ht="14.25" hidden="1" customHeight="1" x14ac:dyDescent="0.25">
      <c r="B41" s="87"/>
      <c r="E41" s="120"/>
      <c r="F41" s="118"/>
      <c r="G41" s="152"/>
      <c r="H41" s="153"/>
      <c r="I41" s="119"/>
      <c r="J41" s="117"/>
    </row>
    <row r="42" spans="2:10" hidden="1" x14ac:dyDescent="0.25">
      <c r="B42" s="87"/>
      <c r="E42" s="120"/>
      <c r="F42" s="115"/>
      <c r="G42" s="154"/>
      <c r="H42" s="154"/>
      <c r="I42" s="116"/>
      <c r="J42" s="117"/>
    </row>
    <row r="43" spans="2:10" x14ac:dyDescent="0.25">
      <c r="B43" s="87"/>
      <c r="E43" s="120"/>
      <c r="F43" s="118"/>
      <c r="G43" s="152"/>
      <c r="H43" s="153"/>
      <c r="I43" s="119"/>
      <c r="J43" s="117"/>
    </row>
    <row r="44" spans="2:10" ht="9" customHeight="1" x14ac:dyDescent="0.25">
      <c r="B44" s="87"/>
      <c r="E44" s="95"/>
      <c r="F44" s="92"/>
      <c r="G44" s="156"/>
      <c r="H44" s="156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7">
        <f>+F18+F20+F22+F24+F26+F28+F30+F32+F34+F36+F38+F40+F42</f>
        <v>2200</v>
      </c>
      <c r="E47" s="158"/>
    </row>
    <row r="48" spans="2:10" ht="17.25" customHeight="1" x14ac:dyDescent="0.25">
      <c r="B48" s="155" t="s">
        <v>105</v>
      </c>
      <c r="C48" s="155"/>
      <c r="D48" s="155"/>
      <c r="E48" s="155"/>
    </row>
    <row r="49" spans="2:5" ht="21.75" customHeight="1" x14ac:dyDescent="0.25">
      <c r="B49" s="155"/>
      <c r="C49" s="155"/>
      <c r="D49" s="155"/>
      <c r="E49" s="155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5" t="s">
        <v>174</v>
      </c>
      <c r="D1" s="145"/>
      <c r="E1" s="145"/>
      <c r="F1" s="144" t="str">
        <f>+Инвойс!F1</f>
        <v>10.08.2025г.</v>
      </c>
      <c r="G1" s="144"/>
      <c r="H1" s="14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6" t="str">
        <f>+Инвойс!C2</f>
        <v>к контракту № AGRO/EX/1802 от 18.02.2025г года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47" t="str">
        <f>+Инвойс!A5</f>
        <v xml:space="preserve">LLC «AAZZ GROUP» </v>
      </c>
      <c r="B5" s="147"/>
      <c r="C5" s="147"/>
      <c r="D5" s="147"/>
      <c r="E5" s="147"/>
      <c r="F5" s="6"/>
      <c r="G5" s="138" t="str">
        <f>+Инвойс!G5</f>
        <v>ООО «Гарден Экспорт Новосибирск»</v>
      </c>
      <c r="H5" s="138"/>
      <c r="I5" s="138"/>
      <c r="J5" s="138"/>
      <c r="K5" s="138"/>
      <c r="L5" s="138"/>
      <c r="M5" s="138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4" t="str">
        <f>+Инвойс!G6</f>
        <v>633100, Новосибирская область, м.р-н Новосибирский,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4" t="str">
        <f>+Инвойс!G7</f>
        <v>с.п. Толмачевский сельсовет, платф. 3307 км, д. 30, к.А1</v>
      </c>
      <c r="H7" s="135"/>
      <c r="I7" s="135"/>
      <c r="J7" s="135"/>
      <c r="K7" s="135"/>
      <c r="L7" s="135"/>
      <c r="M7" s="135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4" t="str">
        <f>+Инвойс!G8</f>
        <v>Банк: Азия-Инвест Банк (АО) ИНН / КПП: 5410090342 /541001001</v>
      </c>
      <c r="H8" s="135"/>
      <c r="I8" s="135"/>
      <c r="J8" s="135"/>
      <c r="K8" s="135"/>
      <c r="L8" s="135"/>
      <c r="M8" s="135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4" t="str">
        <f>+Инвойс!G9</f>
        <v>Р/Счет: 40702810700000003555 ; БИК:  044525234</v>
      </c>
      <c r="H9" s="135"/>
      <c r="I9" s="135"/>
      <c r="J9" s="135"/>
      <c r="K9" s="135"/>
      <c r="L9" s="135"/>
      <c r="M9" s="135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4" t="str">
        <f>+Инвойс!G10</f>
        <v>Корр.счет: 30101810445250000234  ОГРН:1215400044760</v>
      </c>
      <c r="H10" s="135"/>
      <c r="I10" s="135"/>
      <c r="J10" s="135"/>
      <c r="K10" s="135"/>
      <c r="L10" s="135"/>
      <c r="M10" s="135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tr">
        <f>+Инвойс!A12</f>
        <v>Адрес Банка: Республика Узбекистан,
г. Ташкент, ул. Мустакиллик, дом-15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47" t="str">
        <f>+Инвойс!A14</f>
        <v xml:space="preserve">LLC «AAZZ GROUP» </v>
      </c>
      <c r="B14" s="147"/>
      <c r="C14" s="147"/>
      <c r="D14" s="147"/>
      <c r="E14" s="147"/>
      <c r="F14" s="6"/>
      <c r="G14" s="138" t="str">
        <f>+Инвойс!G14</f>
        <v>OOO «Сармант-ЮГ»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38.25" customHeight="1" x14ac:dyDescent="0.25">
      <c r="A21" s="143" t="str">
        <f>+Инвойс!A21</f>
        <v>Адрес Банка: Республика Узбекистан,
г. Ташкент, ул. Мустакиллик, дом-15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5" t="s">
        <v>166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1:17" ht="15.75" x14ac:dyDescent="0.25">
      <c r="A24" s="20" t="s">
        <v>22</v>
      </c>
      <c r="C24" s="164" t="str">
        <f>+Инвойс!C24</f>
        <v>DAP - г. Новосибирск, Российская Федерация (согласно Incoterms 2010)</v>
      </c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1" t="str">
        <f>+Инвойс!E26</f>
        <v>80837EBA/803991AA</v>
      </c>
      <c r="F26" s="132"/>
      <c r="G26" s="132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2200</v>
      </c>
      <c r="F30" s="109" t="str">
        <f>+Инвойс!F30</f>
        <v>кг</v>
      </c>
      <c r="G30" s="105">
        <f>+Инвойс!G30</f>
        <v>19800</v>
      </c>
      <c r="H30" s="105">
        <f>+Инвойс!H30</f>
        <v>16720</v>
      </c>
      <c r="I30" s="107">
        <f>+Инвойс!I30</f>
        <v>1.1000000000000001</v>
      </c>
      <c r="J30" s="13">
        <f>+Инвойс!J30</f>
        <v>18392</v>
      </c>
      <c r="K30" s="12">
        <v>0</v>
      </c>
      <c r="L30" s="12">
        <v>0</v>
      </c>
      <c r="M30" s="13">
        <f>+Инвойс!M30</f>
        <v>18392</v>
      </c>
      <c r="O30" s="99"/>
      <c r="Q30" s="99"/>
    </row>
    <row r="31" spans="1:17" ht="15" x14ac:dyDescent="0.2">
      <c r="A31" s="141" t="s">
        <v>0</v>
      </c>
      <c r="B31" s="142"/>
      <c r="C31" s="14"/>
      <c r="D31" s="15"/>
      <c r="E31" s="64">
        <f>SUM(E30:E30)</f>
        <v>2200</v>
      </c>
      <c r="F31" s="15"/>
      <c r="G31" s="105">
        <f>+Инвойс!G31</f>
        <v>19800</v>
      </c>
      <c r="H31" s="105">
        <f>+Инвойс!H31</f>
        <v>16720</v>
      </c>
      <c r="I31" s="101"/>
      <c r="J31" s="13">
        <f>+Инвойс!J31</f>
        <v>18392</v>
      </c>
      <c r="K31" s="16"/>
      <c r="L31" s="16"/>
      <c r="M31" s="13">
        <f>+Инвойс!M31</f>
        <v>18392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Восемнадцать тысяч триста девяносто два доллара США,00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5" x14ac:dyDescent="0.25">
      <c r="A36" s="7" t="s">
        <v>167</v>
      </c>
      <c r="B36" s="7"/>
      <c r="D36" s="25" t="s">
        <v>157</v>
      </c>
      <c r="E36" s="24"/>
      <c r="G36" s="124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A17" sqref="A17:K18"/>
    </sheetView>
  </sheetViews>
  <sheetFormatPr defaultRowHeight="12.75" x14ac:dyDescent="0.2"/>
  <sheetData>
    <row r="1" spans="1:11" ht="28.5" customHeight="1" x14ac:dyDescent="0.2">
      <c r="A1" s="130" t="s">
        <v>122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x14ac:dyDescent="0.2">
      <c r="A2" s="18" t="s">
        <v>123</v>
      </c>
    </row>
    <row r="5" spans="1:11" ht="12.75" customHeight="1" x14ac:dyDescent="0.2">
      <c r="A5" s="130" t="s">
        <v>159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</row>
    <row r="6" spans="1:11" x14ac:dyDescent="0.2">
      <c r="A6" s="18" t="s">
        <v>124</v>
      </c>
    </row>
    <row r="9" spans="1:11" x14ac:dyDescent="0.2">
      <c r="A9" s="130" t="s">
        <v>114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">
      <c r="A10" s="18" t="s">
        <v>115</v>
      </c>
    </row>
    <row r="13" spans="1:11" x14ac:dyDescent="0.2">
      <c r="A13" s="130" t="s">
        <v>125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</row>
    <row r="14" spans="1:11" x14ac:dyDescent="0.2">
      <c r="A14" s="18" t="s">
        <v>126</v>
      </c>
    </row>
    <row r="17" spans="1:14" x14ac:dyDescent="0.2">
      <c r="A17" s="130" t="s">
        <v>127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M17" s="70" t="s">
        <v>134</v>
      </c>
    </row>
    <row r="18" spans="1:14" x14ac:dyDescent="0.2">
      <c r="A18" s="18" t="s">
        <v>128</v>
      </c>
      <c r="M18" s="70" t="s">
        <v>135</v>
      </c>
    </row>
    <row r="20" spans="1:14" x14ac:dyDescent="0.2">
      <c r="N20" s="166" t="s">
        <v>136</v>
      </c>
    </row>
    <row r="21" spans="1:14" x14ac:dyDescent="0.2">
      <c r="A21" s="130" t="s">
        <v>129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N21" s="151"/>
    </row>
    <row r="22" spans="1:14" x14ac:dyDescent="0.2">
      <c r="A22" s="18" t="s">
        <v>130</v>
      </c>
    </row>
    <row r="25" spans="1:14" x14ac:dyDescent="0.2">
      <c r="A25" s="130" t="s">
        <v>131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</row>
    <row r="26" spans="1:14" x14ac:dyDescent="0.2">
      <c r="A26" s="18" t="s">
        <v>132</v>
      </c>
    </row>
    <row r="29" spans="1:14" x14ac:dyDescent="0.2">
      <c r="A29" s="130" t="s">
        <v>137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</row>
    <row r="30" spans="1:14" x14ac:dyDescent="0.2">
      <c r="A30" s="18" t="s">
        <v>160</v>
      </c>
    </row>
    <row r="32" spans="1:14" x14ac:dyDescent="0.2">
      <c r="A32" s="164" t="s">
        <v>161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4" t="s">
        <v>163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18392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Восемнадцать тысяч триста девяносто два доллара США,00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45879</v>
      </c>
      <c r="O3" s="170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Восемнадцать тысяч триста девяносто два доллара США,00 центов. (в т.ч. НДС - 357,79)</v>
      </c>
      <c r="H4" s="32"/>
      <c r="I4" s="32"/>
      <c r="J4" s="32"/>
      <c r="K4" s="171" t="str">
        <f ca="1">CONCATENATE(" «  ",P3,"  »  ",Q3,"  ",R3," г.")</f>
        <v xml:space="preserve"> «  10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восемнадцать тысяч триста девяносто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восемнадцать тысяч триста девяносто два доллара США,00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восемнадцать тысяч </v>
      </c>
      <c r="D10" s="47"/>
      <c r="E10" s="48"/>
      <c r="F10" s="41" t="str">
        <f>PROPER(F9)</f>
        <v>В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девяносто два доллара США,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18392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18</v>
      </c>
      <c r="B25" s="47">
        <f>TRUNC(RIGHT(A25))</f>
        <v>8</v>
      </c>
      <c r="C25" s="51">
        <f>IF(B24=1,B25+10,IF(B25=0,0,B25))</f>
        <v>18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 xml:space="preserve">восемнадцать </v>
      </c>
    </row>
    <row r="26" spans="1:9" s="43" customFormat="1" x14ac:dyDescent="0.2">
      <c r="A26" s="54"/>
      <c r="B26" s="47"/>
      <c r="C26" s="51"/>
      <c r="E26" s="57">
        <f>B23*100+B24*10+B25</f>
        <v>18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183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1839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18392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2025-08-09T20:57:09Z</cp:lastPrinted>
  <dcterms:created xsi:type="dcterms:W3CDTF">1996-10-14T23:33:28Z</dcterms:created>
  <dcterms:modified xsi:type="dcterms:W3CDTF">2025-08-09T20:57:30Z</dcterms:modified>
</cp:coreProperties>
</file>