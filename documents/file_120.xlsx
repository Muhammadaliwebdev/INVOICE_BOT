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C4A00A-AAE3-4EE8-89C8-A70E8C4D5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<sst xmlns="http://schemas.openxmlformats.org/spreadsheetml/2006/main" count="201" uniqueCount="163">
  <si>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</si>
  <si>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</si>
  <si>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</si>
  <si>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</si>
  <si>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</si>
  <si>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</si>
  <si>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</si>
  <si>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</si>
  <si>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</si>
  <si>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</si>
  <si>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</si>
  <si>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</si>
  <si>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</si>
  <si>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</si>
  <si>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</si>
  <si>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</si>
  <si>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</si>
  <si>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</si>
  <si>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</si>
  <si>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</si>
  <si>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</si>
  <si>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</si>
  <si>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</si>
  <si>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</si>
  <si>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</si>
  <si>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</si>
  <si>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</si>
  <si>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</si>
  <si>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</si>
  <si>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</si>
  <si>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</si>
  <si>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</si>
  <si>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</si>
  <si>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</si>
  <si>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</si>
  <si>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</si>
  <si>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</si>
  <si>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</si>
  <si>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</si>
  <si>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</si>
  <si>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</si>
  <si>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</si>
  <si>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</si>
  <si>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</si>
  <si>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</si>
  <si>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</si>
  <si>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</si>
  <si>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</si>
  <si>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</si>
  <si>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</si>
  <si>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</si>
  <si>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</si>
  <si>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</si>
  <si>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</si>
  <si>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</si>
  <si>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</si>
  <si>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</si>
  <si>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</si>
  <si>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</si>
  <si>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</si>
  <si>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</si>
  <si>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</si>
  <si>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</si>
  <si>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</si>
  <si>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</si>
  <si>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</si>
  <si>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</si>
  <si>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</si>
  <si>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</si>
  <si>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</si>
  <si>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</si>
  <si>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</si>
  <si>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</si>
  <si>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</si>
  <si>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</si>
  <si>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</si>
  <si>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</si>
  <si>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</si>
  <si>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</si>
  <si>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</si>
  <si>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</si>
  <si>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</si>
  <si>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</si>
  <si>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</si>
  <si>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</si>
  <si>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</si>
  <si>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</si>
  <si>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</si>
  <si>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</si>
  <si>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</si>
  <si>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</si>
  <si>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</si>
  <si>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</si>
  <si>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</si>
  <si>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</si>
  <si>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</si>
  <si>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</si>
  <si>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</si>
  <si>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</si>
  <si>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</si>
  <si>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</si>
  <si>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</si>
  <si>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</si>
  <si>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</si>
  <si>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</si>
  <si>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</si>
  <si>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</si>
  <si>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</si>
  <si>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</si>
  <si>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</si>
  <si>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</si>
  <si>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</si>
  <si>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</si>
  <si>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</si>
  <si>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</si>
  <si>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</si>
  <si>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</si>
  <si>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</si>
  <si>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</si>
  <si>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</si>
  <si>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</si>
  <si>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</si>
  <si>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</si>
  <si>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</si>
  <si>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</si>
  <si>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</si>
  <si>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</si>
  <si>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</si>
  <si>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</si>
  <si>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</si>
  <si>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</si>
  <si>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</si>
  <si>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</si>
  <si>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</si>
  <si>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</si>
  <si>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</si>
  <si>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</si>
  <si>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</si>
  <si>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</si>
  <si>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</si>
  <si>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</si>
  <si>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</si>
  <si>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</si>
  <si>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</si>
  <si>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</si>
  <si>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</si>
  <si>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</si>
  <si>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</si>
  <si>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</si>
  <si>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</si>
  <si>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</si>
  <si>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</si>
  <si>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</si>
  <si>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</si>
  <si>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</si>
  <si>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</si>
  <si>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</si>
  <si>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</si>
  <si>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BEZ-O-19 от </t>
  </si>
  <si>
    <t xml:space="preserve"> 14.08.2025г.</t>
  </si>
  <si>
    <t>DAP - с Амандык , Республика Казахстан</t>
  </si>
  <si>
    <t>01U849UC/018638BA</t>
  </si>
  <si>
    <t xml:space="preserve">СПЕЦИФИКАЦИЯ № BEZ-O-19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</si>
</sst>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R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8" ht="17.399999999999999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8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8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8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8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8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8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8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8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8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8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8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8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  <c r="R14" s="25"/>
    </row>
    <row r="15" spans="1:18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8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117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960</v>
      </c>
      <c r="F30" s="110" t="s">
        <v>27</v>
      </c>
      <c r="G30" s="106">
        <v>22500</v>
      </c>
      <c r="H30" s="106">
        <v>20772</v>
      </c>
      <c r="I30" s="108">
        <v>0.2</v>
      </c>
      <c r="J30" s="13">
        <f t="shared" ref="J30" si="0">H30*I30</f>
        <v>4154.4000000000005</v>
      </c>
      <c r="K30" s="12">
        <v>0</v>
      </c>
      <c r="L30" s="12">
        <v>0</v>
      </c>
      <c r="M30" s="13">
        <f t="shared" ref="M30" si="1">J30</f>
        <v>4154.4000000000005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22500</v>
      </c>
      <c r="H31" s="64">
        <f>SUM(H30:H30)</f>
        <v>20772</v>
      </c>
      <c r="I31" s="102"/>
      <c r="J31" s="17">
        <f>SUM(J30:J30)</f>
        <v>4154.4000000000005</v>
      </c>
      <c r="K31" s="16"/>
      <c r="L31" s="16"/>
      <c r="M31" s="17">
        <f>SUM(M30:M30)</f>
        <v>4154.4000000000005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сто пятьдесят четыре доллара США,40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7" sqref="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BEZ-O-19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01U849UC/018638BA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I30" sqref="I30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01U849UC/018638BA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BEZ-O-19 от  14.08.2025г.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960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960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S29" sqref="S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162</v>
      </c>
      <c r="C1" s="169"/>
      <c r="D1" s="169"/>
      <c r="E1" s="169"/>
      <c r="F1" s="149" t="str">
        <f>+Инвойс!F1</f>
        <v xml:space="preserve"> 14.08.2025г.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01U849UC/018638BA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960</v>
      </c>
      <c r="F30" s="116" t="str">
        <f>+Инвойс!F30</f>
        <v>кг</v>
      </c>
      <c r="G30" s="106">
        <f>+Инвойс!G30</f>
        <v>22500</v>
      </c>
      <c r="H30" s="106">
        <f>+Инвойс!H30</f>
        <v>20772</v>
      </c>
      <c r="I30" s="108">
        <f>+Инвойс!I30</f>
        <v>0.2</v>
      </c>
      <c r="J30" s="13">
        <f>+Инвойс!J30</f>
        <v>4154.4000000000005</v>
      </c>
      <c r="K30" s="12">
        <v>0</v>
      </c>
      <c r="L30" s="12">
        <v>0</v>
      </c>
      <c r="M30" s="13">
        <f>+Инвойс!M30</f>
        <v>4154.4000000000005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960</v>
      </c>
      <c r="F31" s="15"/>
      <c r="G31" s="64">
        <f>SUM(G30:G30)</f>
        <v>22500</v>
      </c>
      <c r="H31" s="64">
        <f>SUM(H30:H30)</f>
        <v>20772</v>
      </c>
      <c r="I31" s="102"/>
      <c r="J31" s="17">
        <f>SUM(J30:J30)</f>
        <v>4154.4000000000005</v>
      </c>
      <c r="K31" s="16"/>
      <c r="L31" s="16"/>
      <c r="M31" s="17">
        <f>SUM(M30:M30)</f>
        <v>4154.4000000000005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сто пятьдесят четыре доллара США,40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4154.4000000000005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пятьдесят четыре доллара США,40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пятьдесят четыре доллара США,40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пятьдесят четыре доллара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пятьдесят четыре доллара США,40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пятьдесят четыре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4154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4154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2025-08-14T15:24:47Z</cp:lastPrinted>
  <dcterms:created xsi:type="dcterms:W3CDTF">1996-10-14T23:33:28Z</dcterms:created>
  <dcterms:modified xsi:type="dcterms:W3CDTF">2025-08-14T15:26:20Z</dcterms:modified>
</cp:coreProperties>
</file>