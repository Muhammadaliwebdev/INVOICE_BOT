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<sst xmlns="http://schemas.openxmlformats.org/spreadsheetml/2006/main" count="202" uniqueCount="165">
  <si>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</si>
  <si>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</si>
  <si>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</si>
  <si>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</si>
  <si>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</si>
  <si>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</si>
  <si>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</si>
  <si>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</si>
  <si>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</si>
  <si>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</si>
  <si>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</si>
  <si>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</si>
  <si>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</si>
  <si>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</si>
  <si>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</si>
  <si>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</si>
  <si>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</si>
  <si>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</si>
  <si>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</si>
  <si>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</si>
  <si>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</si>
  <si>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</si>
  <si>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</si>
  <si>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</si>
  <si>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</si>
  <si>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</si>
  <si>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</si>
  <si>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</si>
  <si>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</si>
  <si>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</si>
  <si>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</si>
  <si>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</si>
  <si>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</si>
  <si>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</si>
  <si>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</si>
  <si>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</si>
  <si>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</si>
  <si>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</si>
  <si>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</si>
  <si>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</si>
  <si>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</si>
  <si>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</si>
  <si>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</si>
  <si>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</si>
  <si>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</si>
  <si>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</si>
  <si>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</si>
  <si>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</si>
  <si>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</si>
  <si>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</si>
  <si>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</si>
  <si>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</si>
  <si>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</si>
  <si>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</si>
  <si>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</si>
  <si>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</si>
  <si>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</si>
  <si>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</si>
  <si>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</si>
  <si>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</si>
  <si>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</si>
  <si>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</si>
  <si>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</si>
  <si>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</si>
  <si>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</si>
  <si>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</si>
  <si>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</si>
  <si>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</si>
  <si>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</si>
  <si>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</si>
  <si>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</si>
  <si>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</si>
  <si>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</si>
  <si>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</si>
  <si>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</si>
  <si>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</si>
  <si>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</si>
  <si>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</si>
  <si>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</si>
  <si>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</si>
  <si>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</si>
  <si>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</si>
  <si>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</si>
  <si>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</si>
  <si>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</si>
  <si>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</si>
  <si>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</si>
  <si>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</si>
  <si>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</si>
  <si>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</si>
  <si>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</si>
  <si>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</si>
  <si>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</si>
  <si>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</si>
  <si>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</si>
  <si>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</si>
  <si>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</si>
  <si>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</si>
  <si>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</si>
  <si>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</si>
  <si>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</si>
  <si>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</si>
  <si>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</si>
  <si>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</si>
  <si>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</si>
  <si>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</si>
  <si>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</si>
  <si>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</si>
  <si>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</si>
  <si>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</si>
  <si>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</si>
  <si>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</si>
  <si>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</si>
  <si>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</si>
  <si>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</si>
  <si>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</si>
  <si>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</si>
  <si>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</si>
  <si>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</si>
  <si>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</si>
  <si>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</si>
  <si>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</si>
  <si>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</si>
  <si>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</si>
  <si>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</si>
  <si>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</si>
  <si>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</si>
  <si>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</si>
  <si>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</si>
  <si>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</si>
  <si>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</si>
  <si>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</si>
  <si>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</si>
  <si>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</si>
  <si>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</si>
  <si>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</si>
  <si>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</si>
  <si>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</si>
  <si>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</si>
  <si>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</si>
  <si>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</si>
  <si>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</si>
  <si>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</si>
  <si>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</si>
  <si>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</si>
  <si>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</si>
  <si>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</si>
  <si>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</si>
  <si>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</si>
  <si>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</si>
  <si>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</si>
  <si>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</si>
  <si>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</si>
  <si>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</si>
  <si>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</si>
  <si>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</si>
  <si>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</si>
  <si>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</si>
  <si>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</si>
  <si>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</si>
  <si>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>ИНН: 312294736</t>
  </si>
  <si>
    <t xml:space="preserve"> 10.09.2025г.</t>
  </si>
  <si>
    <t xml:space="preserve">ИНВОЙС № EXZ-A-5 от </t>
  </si>
  <si>
    <t>50K020DA/507490AA</t>
  </si>
  <si>
    <t xml:space="preserve">СПЕЦИФИКАЦИЯ № EXZ-A-5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</si>
</sst>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162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141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130</v>
      </c>
      <c r="B5" s="155"/>
      <c r="C5" s="155"/>
      <c r="D5" s="155"/>
      <c r="E5" s="155"/>
      <c r="F5" s="6"/>
      <c r="G5" s="148" t="s">
        <v>142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131</v>
      </c>
      <c r="B6" s="142"/>
      <c r="C6" s="142"/>
      <c r="D6" s="142"/>
      <c r="E6" s="142"/>
      <c r="F6" s="7"/>
      <c r="G6" s="141" t="s">
        <v>143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132</v>
      </c>
      <c r="B7" s="142"/>
      <c r="C7" s="142"/>
      <c r="D7" s="142"/>
      <c r="E7" s="142"/>
      <c r="F7" s="63"/>
      <c r="G7" s="141" t="s">
        <v>144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130</v>
      </c>
      <c r="B14" s="155"/>
      <c r="C14" s="155"/>
      <c r="D14" s="155"/>
      <c r="E14" s="155"/>
      <c r="F14" s="6"/>
      <c r="G14" s="148" t="s">
        <v>149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131</v>
      </c>
      <c r="B15" s="142"/>
      <c r="C15" s="142"/>
      <c r="D15" s="142"/>
      <c r="E15" s="142"/>
      <c r="F15" s="7"/>
      <c r="G15" s="141" t="s">
        <v>150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132</v>
      </c>
      <c r="B16" s="142"/>
      <c r="C16" s="142"/>
      <c r="D16" s="142"/>
      <c r="E16" s="142"/>
      <c r="F16" s="63"/>
      <c r="G16" s="141" t="s">
        <v>151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160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163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1000</v>
      </c>
      <c r="F30" s="110" t="s">
        <v>27</v>
      </c>
      <c r="G30" s="106">
        <v>22500</v>
      </c>
      <c r="H30" s="106">
        <v>20700</v>
      </c>
      <c r="I30" s="108">
        <v>0.2</v>
      </c>
      <c r="J30" s="13">
        <f t="shared" ref="J30" si="0">H30*I30</f>
        <v>4140</v>
      </c>
      <c r="K30" s="12">
        <v>0</v>
      </c>
      <c r="L30" s="12">
        <v>0</v>
      </c>
      <c r="M30" s="13">
        <f t="shared" ref="M30" si="1">J30</f>
        <v>4140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4140</v>
      </c>
      <c r="K31" s="16"/>
      <c r="L31" s="16"/>
      <c r="M31" s="17">
        <f>SUM(M30:M30)</f>
        <v>4140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сто сорок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J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EXZ-A-5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50K020DA/507490AA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K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50K020DA/507490AA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EXZ-A-5 от  10.09.2025г.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3"/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1000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164</v>
      </c>
      <c r="C1" s="172"/>
      <c r="D1" s="172"/>
      <c r="E1" s="172"/>
      <c r="F1" s="153" t="str">
        <f>+Инвойс!F1</f>
        <v xml:space="preserve"> 10.09.2025г.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50K020DA/507490AA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22500</v>
      </c>
      <c r="H30" s="106">
        <f>+Инвойс!H30</f>
        <v>20700</v>
      </c>
      <c r="I30" s="108">
        <f>+Инвойс!I30</f>
        <v>0.2</v>
      </c>
      <c r="J30" s="13">
        <f>+Инвойс!J30</f>
        <v>4140</v>
      </c>
      <c r="K30" s="12">
        <v>0</v>
      </c>
      <c r="L30" s="12">
        <v>0</v>
      </c>
      <c r="M30" s="13">
        <f>+Инвойс!M30</f>
        <v>4140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4140</v>
      </c>
      <c r="K31" s="16"/>
      <c r="L31" s="16"/>
      <c r="M31" s="17">
        <f>SUM(M30:M30)</f>
        <v>4140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сто сорок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127</v>
      </c>
    </row>
    <row r="5" spans="1:10" ht="89.25" x14ac:dyDescent="0.2">
      <c r="A5" s="126" t="s">
        <v>140</v>
      </c>
    </row>
    <row r="6" spans="1:10" x14ac:dyDescent="0.2">
      <c r="E6" s="18"/>
      <c r="J6" s="25"/>
    </row>
    <row r="7" spans="1:10" ht="51" x14ac:dyDescent="0.2">
      <c r="A7" s="126" t="s">
        <v>117</v>
      </c>
    </row>
    <row r="8" spans="1:10" x14ac:dyDescent="0.2">
      <c r="E8" s="18"/>
      <c r="J8" s="25"/>
    </row>
    <row r="9" spans="1:10" ht="51" x14ac:dyDescent="0.2">
      <c r="A9" s="126" t="s">
        <v>118</v>
      </c>
    </row>
    <row r="10" spans="1:10" x14ac:dyDescent="0.2">
      <c r="A10" s="126"/>
      <c r="E10" s="18"/>
      <c r="J10" s="25"/>
    </row>
    <row r="11" spans="1:10" ht="51" x14ac:dyDescent="0.2">
      <c r="A11" s="126" t="s">
        <v>158</v>
      </c>
    </row>
    <row r="12" spans="1:10" x14ac:dyDescent="0.2">
      <c r="E12" s="18"/>
      <c r="J12" s="25"/>
    </row>
    <row r="13" spans="1:10" ht="51" x14ac:dyDescent="0.2">
      <c r="A13" s="126" t="s">
        <v>119</v>
      </c>
    </row>
    <row r="15" spans="1:10" ht="38.25" x14ac:dyDescent="0.2">
      <c r="A15" s="126" t="s">
        <v>120</v>
      </c>
    </row>
    <row r="17" spans="1:1" ht="38.25" x14ac:dyDescent="0.2">
      <c r="A17" s="126" t="s">
        <v>121</v>
      </c>
    </row>
    <row r="19" spans="1:1" ht="38.25" x14ac:dyDescent="0.2">
      <c r="A19" s="128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4140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сорок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45910</v>
      </c>
      <c r="O3" s="178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сто сорок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10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сорок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4140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4140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2025-09-10T09:58:15Z</cp:lastPrinted>
  <dcterms:created xsi:type="dcterms:W3CDTF">1996-10-14T23:33:28Z</dcterms:created>
  <dcterms:modified xsi:type="dcterms:W3CDTF">2025-09-10T09:58:17Z</dcterms:modified>
</cp:coreProperties>
</file>