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159890-FC53-45E7-9687-BC7F4247E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<sst xmlns="http://schemas.openxmlformats.org/spreadsheetml/2006/main" count="215" uniqueCount="165">
  <si>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</si>
  <si>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</si>
  <si>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</si>
  <si>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</si>
  <si>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</si>
  <si>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</si>
  <si>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</si>
  <si>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</si>
  <si>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</si>
  <si>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</si>
  <si>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</si>
  <si>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</si>
  <si>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</si>
  <si>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</si>
  <si>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</si>
  <si>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</si>
  <si>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</si>
  <si>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</si>
  <si>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</si>
  <si>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</si>
  <si>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</si>
  <si>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</si>
  <si>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</si>
  <si>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</si>
  <si>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</si>
  <si>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</si>
  <si>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</si>
  <si>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</si>
  <si>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</si>
  <si>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</si>
  <si>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</si>
  <si>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</si>
  <si>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</si>
  <si>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</si>
  <si>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</si>
  <si>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</si>
  <si>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</si>
  <si>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</si>
  <si>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</si>
  <si>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</si>
  <si>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</si>
  <si>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</si>
  <si>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</si>
  <si>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</si>
  <si>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</si>
  <si>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</si>
  <si>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</si>
  <si>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</si>
  <si>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</si>
  <si>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</si>
  <si>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</si>
  <si>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</si>
  <si>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</si>
  <si>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</si>
  <si>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</si>
  <si>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</si>
  <si>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</si>
  <si>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</si>
  <si>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</si>
  <si>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</si>
  <si>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</si>
  <si>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</si>
  <si>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</si>
  <si>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</si>
  <si>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</si>
  <si>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</si>
  <si>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</si>
  <si>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</si>
  <si>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</si>
  <si>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</si>
  <si>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</si>
  <si>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</si>
  <si>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</si>
  <si>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</si>
  <si>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</si>
  <si>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</si>
  <si>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</si>
  <si>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</si>
  <si>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</si>
  <si>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</si>
  <si>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</si>
  <si>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</si>
  <si>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</si>
  <si>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</si>
  <si>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</si>
  <si>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</si>
  <si>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</si>
  <si>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</si>
  <si>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</si>
  <si>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</si>
  <si>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</si>
  <si>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</si>
  <si>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</si>
  <si>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</si>
  <si>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</si>
  <si>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</si>
  <si>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</si>
  <si>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</si>
  <si>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</si>
  <si>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</si>
  <si>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</si>
  <si>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</si>
  <si>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</si>
  <si>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</si>
  <si>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</si>
  <si>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</si>
  <si>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</si>
  <si>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</si>
  <si>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</si>
  <si>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</si>
  <si>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</si>
  <si>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</si>
  <si>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</si>
  <si>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</si>
  <si>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</si>
  <si>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</si>
  <si>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</si>
  <si>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</si>
  <si>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</si>
  <si>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</si>
  <si>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</si>
  <si>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</si>
  <si>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</si>
  <si>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</si>
  <si>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</si>
  <si>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</si>
  <si>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</si>
  <si>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</si>
  <si>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</si>
  <si>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</si>
  <si>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</si>
  <si>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</si>
  <si>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</si>
  <si>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</si>
  <si>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</si>
  <si>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</si>
  <si>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</si>
  <si>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</si>
  <si>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</si>
  <si>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</si>
  <si>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</si>
  <si>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</si>
  <si>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</si>
  <si>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</si>
  <si>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</si>
  <si>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</si>
  <si>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</si>
  <si>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</si>
  <si>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</si>
  <si>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</si>
  <si>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</si>
  <si>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</si>
  <si>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</si>
  <si>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</si>
  <si>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</si>
  <si>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</si>
  <si>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</si>
  <si>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</si>
  <si>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</si>
  <si>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VG-N-27 от </t>
  </si>
  <si>
    <t xml:space="preserve"> 27.08.2025г.</t>
  </si>
  <si>
    <t>40A997RB/401636CA</t>
  </si>
  <si>
    <t>навалом</t>
  </si>
  <si>
    <t>-</t>
  </si>
  <si>
    <t xml:space="preserve">СПЕЦИФИКАЦИЯ № VG-N-27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</si>
</sst>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37</xdr:row>
      <xdr:rowOff>89647</xdr:rowOff>
    </xdr:from>
    <xdr:to>
      <xdr:col>4</xdr:col>
      <xdr:colOff>166394</xdr:colOff>
      <xdr:row>40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37</xdr:row>
      <xdr:rowOff>100852</xdr:rowOff>
    </xdr:from>
    <xdr:to>
      <xdr:col>3</xdr:col>
      <xdr:colOff>47624</xdr:colOff>
      <xdr:row>49</xdr:row>
      <xdr:rowOff>147916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37</xdr:row>
      <xdr:rowOff>145677</xdr:rowOff>
    </xdr:from>
    <xdr:to>
      <xdr:col>3</xdr:col>
      <xdr:colOff>569805</xdr:colOff>
      <xdr:row>41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37</xdr:row>
      <xdr:rowOff>156882</xdr:rowOff>
    </xdr:from>
    <xdr:to>
      <xdr:col>2</xdr:col>
      <xdr:colOff>462242</xdr:colOff>
      <xdr:row>50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37</xdr:row>
      <xdr:rowOff>145676</xdr:rowOff>
    </xdr:from>
    <xdr:to>
      <xdr:col>9</xdr:col>
      <xdr:colOff>634813</xdr:colOff>
      <xdr:row>49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3.8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123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22490</v>
      </c>
      <c r="H30" s="106">
        <v>20780</v>
      </c>
      <c r="I30" s="108">
        <v>0.25</v>
      </c>
      <c r="J30" s="13">
        <f t="shared" ref="J30:J31" si="0">H30*I30</f>
        <v>5195</v>
      </c>
      <c r="K30" s="12">
        <v>0</v>
      </c>
      <c r="L30" s="12">
        <v>0</v>
      </c>
      <c r="M30" s="13">
        <f t="shared" ref="M30:M31" si="1">J30</f>
        <v>5195</v>
      </c>
      <c r="O30" s="100"/>
      <c r="Q30" s="100"/>
    </row>
    <row r="31" spans="1:17" ht="13.8" x14ac:dyDescent="0.25">
      <c r="A31" s="127">
        <v>2</v>
      </c>
      <c r="B31" s="101" t="s">
        <v>126</v>
      </c>
      <c r="C31" s="107" t="s">
        <v>127</v>
      </c>
      <c r="D31" s="109" t="s">
        <v>162</v>
      </c>
      <c r="E31" s="101" t="s">
        <v>163</v>
      </c>
      <c r="F31" s="116" t="s">
        <v>27</v>
      </c>
      <c r="G31" s="106">
        <v>600</v>
      </c>
      <c r="H31" s="106">
        <v>600</v>
      </c>
      <c r="I31" s="108">
        <v>0.25</v>
      </c>
      <c r="J31" s="13">
        <f t="shared" si="0"/>
        <v>150</v>
      </c>
      <c r="K31" s="12">
        <v>0</v>
      </c>
      <c r="L31" s="12">
        <v>0</v>
      </c>
      <c r="M31" s="13">
        <f t="shared" si="1"/>
        <v>150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950</v>
      </c>
      <c r="F32" s="15"/>
      <c r="G32" s="64">
        <f>SUM(G30:G31)</f>
        <v>23090</v>
      </c>
      <c r="H32" s="64">
        <f>SUM(H30:H31)</f>
        <v>21380</v>
      </c>
      <c r="I32" s="102"/>
      <c r="J32" s="17">
        <f>SUM(J30:J31)</f>
        <v>5345</v>
      </c>
      <c r="K32" s="16"/>
      <c r="L32" s="16"/>
      <c r="M32" s="17">
        <f>SUM(M30:M31)</f>
        <v>5345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триста сорок пять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3.8" x14ac:dyDescent="0.25">
      <c r="A37" s="7" t="s">
        <v>28</v>
      </c>
      <c r="B37" s="7"/>
      <c r="D37" s="25" t="s">
        <v>146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8" sqref="F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VG-N-27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22490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600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40A997RB/401636CA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3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40A997RB/401636CA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VG-N-27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22490</v>
      </c>
    </row>
    <row r="20" spans="2:10" ht="13.5" customHeight="1" x14ac:dyDescent="0.3">
      <c r="B20" s="83"/>
      <c r="E20" s="123"/>
      <c r="F20" s="118" t="str">
        <f>+Инвойс!E31</f>
        <v>-</v>
      </c>
      <c r="G20" s="163" t="str">
        <f>+CMR!F31</f>
        <v>Дыни свежие</v>
      </c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600</v>
      </c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v>950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9" zoomScale="85" zoomScaleNormal="85" workbookViewId="0">
      <selection activeCell="A35" sqref="A35:M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164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40A997RB/401636CA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22490</v>
      </c>
      <c r="H30" s="106">
        <f>+Инвойс!H30</f>
        <v>20780</v>
      </c>
      <c r="I30" s="108">
        <f>+Инвойс!I30</f>
        <v>0.25</v>
      </c>
      <c r="J30" s="13">
        <f>+Инвойс!J30</f>
        <v>5195</v>
      </c>
      <c r="K30" s="12">
        <v>0</v>
      </c>
      <c r="L30" s="12">
        <v>0</v>
      </c>
      <c r="M30" s="13">
        <f>+Инвойс!M30</f>
        <v>5195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600</v>
      </c>
      <c r="H31" s="106">
        <f>+Инвойс!H31</f>
        <v>600</v>
      </c>
      <c r="I31" s="108">
        <f>+Инвойс!I31</f>
        <v>0.25</v>
      </c>
      <c r="J31" s="13">
        <f>+Инвойс!J31</f>
        <v>150</v>
      </c>
      <c r="K31" s="12">
        <v>0</v>
      </c>
      <c r="L31" s="12">
        <v>0</v>
      </c>
      <c r="M31" s="13">
        <f>+Инвойс!M31</f>
        <v>150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950</v>
      </c>
      <c r="F32" s="15"/>
      <c r="G32" s="64">
        <f>SUM(G30:G31)</f>
        <v>23090</v>
      </c>
      <c r="H32" s="64">
        <f>SUM(H30:H31)</f>
        <v>21380</v>
      </c>
      <c r="I32" s="102"/>
      <c r="J32" s="17">
        <f>SUM(J30:J31)</f>
        <v>5345</v>
      </c>
      <c r="K32" s="16"/>
      <c r="L32" s="16"/>
      <c r="M32" s="17">
        <f>SUM(M30:M31)</f>
        <v>5345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триста сорок пять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6" x14ac:dyDescent="0.3">
      <c r="A37" s="131" t="s">
        <v>147</v>
      </c>
      <c r="B37" s="131"/>
      <c r="D37" s="18" t="str">
        <f>+Инвойс!D37</f>
        <v>Авазов К.Ф</v>
      </c>
      <c r="E37" s="132"/>
      <c r="G37" s="129" t="s">
        <v>130</v>
      </c>
      <c r="H37" s="18" t="str">
        <f>Инвойс!G5</f>
        <v>ООО «ГРИН ВОРЛД»</v>
      </c>
      <c r="K37" s="133" t="s">
        <v>157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5345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2025-08-27T16:54:03Z</cp:lastPrinted>
  <dcterms:created xsi:type="dcterms:W3CDTF">1996-10-14T23:33:28Z</dcterms:created>
  <dcterms:modified xsi:type="dcterms:W3CDTF">2025-08-27T16:54:08Z</dcterms:modified>
</cp:coreProperties>
</file>