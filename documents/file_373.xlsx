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<sst xmlns="http://schemas.openxmlformats.org/spreadsheetml/2006/main" count="209" uniqueCount="163">
  <si>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</si>
  <si>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</si>
  <si>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</si>
  <si>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</si>
  <si>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</si>
  <si>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</si>
  <si>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</si>
  <si>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</si>
  <si>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</si>
  <si>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</si>
  <si>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</si>
  <si>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</si>
  <si>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</si>
  <si>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</si>
  <si>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</si>
  <si>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</si>
  <si>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</si>
  <si>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</si>
  <si>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</si>
  <si>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</si>
  <si>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</si>
  <si>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</si>
  <si>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</si>
  <si>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</si>
  <si>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</si>
  <si>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</si>
  <si>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</si>
  <si>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</si>
  <si>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</si>
  <si>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</si>
  <si>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</si>
  <si>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</si>
  <si>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</si>
  <si>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</si>
  <si>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</si>
  <si>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</si>
  <si>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</si>
  <si>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</si>
  <si>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</si>
  <si>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</si>
  <si>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</si>
  <si>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</si>
  <si>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</si>
  <si>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</si>
  <si>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</si>
  <si>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</si>
  <si>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</si>
  <si>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</si>
  <si>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</si>
  <si>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</si>
  <si>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</si>
  <si>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</si>
  <si>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</si>
  <si>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</si>
  <si>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</si>
  <si>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</si>
  <si>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</si>
  <si>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</si>
  <si>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</si>
  <si>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</si>
  <si>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</si>
  <si>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</si>
  <si>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</si>
  <si>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</si>
  <si>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</si>
  <si>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</si>
  <si>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</si>
  <si>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</si>
  <si>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</si>
  <si>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</si>
  <si>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</si>
  <si>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</si>
  <si>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</si>
  <si>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</si>
  <si>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</si>
  <si>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</si>
  <si>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</si>
  <si>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</si>
  <si>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</si>
  <si>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</si>
  <si>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</si>
  <si>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</si>
  <si>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</si>
  <si>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</si>
  <si>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</si>
  <si>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</si>
  <si>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</si>
  <si>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</si>
  <si>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</si>
  <si>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</si>
  <si>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</si>
  <si>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</si>
  <si>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</si>
  <si>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</si>
  <si>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</si>
  <si>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</si>
  <si>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</si>
  <si>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</si>
  <si>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</si>
  <si>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</si>
  <si>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</si>
  <si>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</si>
  <si>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</si>
  <si>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</si>
  <si>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</si>
  <si>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</si>
  <si>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</si>
  <si>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</si>
  <si>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</si>
  <si>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</si>
  <si>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</si>
  <si>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</si>
  <si>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</si>
  <si>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</si>
  <si>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</si>
  <si>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</si>
  <si>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</si>
  <si>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</si>
  <si>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</si>
  <si>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</si>
  <si>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</si>
  <si>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</si>
  <si>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</si>
  <si>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</si>
  <si>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</si>
  <si>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</si>
  <si>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</si>
  <si>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</si>
  <si>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</si>
  <si>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</si>
  <si>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</si>
  <si>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</si>
  <si>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</si>
  <si>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</si>
  <si>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</si>
  <si>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</si>
  <si>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</si>
  <si>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</si>
  <si>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</si>
  <si>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</si>
  <si>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</si>
  <si>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</si>
  <si>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</si>
  <si>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</si>
  <si>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</si>
  <si>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</si>
  <si>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</si>
  <si>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</si>
  <si>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</si>
  <si>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</si>
  <si>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</si>
  <si>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</si>
  <si>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</si>
  <si>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</si>
  <si>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</si>
  <si>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</si>
  <si>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</si>
  <si>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</si>
  <si>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</si>
  <si>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GWG-A-12 от </t>
  </si>
  <si>
    <t xml:space="preserve"> 02.09.2025г.</t>
  </si>
  <si>
    <t>40170WBA/407948BA</t>
  </si>
  <si>
    <t xml:space="preserve">СПЕЦИФИКАЦИЯ № GWG-A-12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</si>
</sst>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148</v>
      </c>
      <c r="B5" s="136"/>
      <c r="C5" s="136"/>
      <c r="D5" s="136"/>
      <c r="E5" s="136"/>
      <c r="F5" s="6"/>
      <c r="G5" s="138" t="s">
        <v>130</v>
      </c>
      <c r="H5" s="138"/>
      <c r="I5" s="138"/>
      <c r="J5" s="138"/>
      <c r="K5" s="138"/>
      <c r="L5" s="138"/>
      <c r="M5" s="138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0" t="s">
        <v>131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0" t="s">
        <v>132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">
        <v>148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0" t="s">
        <v>131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2" t="s">
        <v>121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75" x14ac:dyDescent="0.25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5" t="s">
        <v>27</v>
      </c>
      <c r="G30" s="106">
        <v>22500</v>
      </c>
      <c r="H30" s="106">
        <v>20790</v>
      </c>
      <c r="I30" s="108">
        <v>0.25</v>
      </c>
      <c r="J30" s="13">
        <f t="shared" ref="J30" si="0">H30*I30</f>
        <v>5197.5</v>
      </c>
      <c r="K30" s="12">
        <v>0</v>
      </c>
      <c r="L30" s="12">
        <v>0</v>
      </c>
      <c r="M30" s="13">
        <f t="shared" ref="M30" si="1">J30</f>
        <v>5197.5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5197.5</v>
      </c>
      <c r="K31" s="16"/>
      <c r="L31" s="16"/>
      <c r="M31" s="17">
        <f>SUM(M30:M30)</f>
        <v>5197.5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сто девяносто семь долларов США, 50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GWG-A-12 от  02.09.2025г.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"ОМАС" 10610050 - т/п Омский 
644117, Омская обл., г. Омск, ул. 3-я Молодежная, д. 6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02.09.2025г.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40170WBA/407948BA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40170WBA/407948BA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GWG-A-12 от  02.09.2025г.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22500</v>
      </c>
    </row>
    <row r="20" spans="2:10" ht="13.5" customHeight="1" x14ac:dyDescent="0.25">
      <c r="B20" s="83"/>
      <c r="E20" s="122"/>
      <c r="F20" s="117"/>
      <c r="G20" s="165"/>
      <c r="H20" s="165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5"/>
      <c r="H22" s="165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5"/>
      <c r="H24" s="165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5"/>
      <c r="H26" s="165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5"/>
      <c r="H28" s="165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5"/>
      <c r="H30" s="165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5"/>
      <c r="H32" s="165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5"/>
      <c r="H34" s="165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5"/>
      <c r="H36" s="165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5"/>
      <c r="H38" s="165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5"/>
      <c r="H42" s="165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7"/>
      <c r="H44" s="167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950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4" t="str">
        <f>+Инвойс!F1</f>
        <v xml:space="preserve"> 02.09.2025г.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tr">
        <f>+Инвойс!E26</f>
        <v>40170WBA/407948BA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9.25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22500</v>
      </c>
      <c r="H30" s="106">
        <f>+Инвойс!H30</f>
        <v>20790</v>
      </c>
      <c r="I30" s="108">
        <f>+Инвойс!I30</f>
        <v>0.25</v>
      </c>
      <c r="J30" s="13">
        <f>+Инвойс!J30</f>
        <v>5197.5</v>
      </c>
      <c r="K30" s="12">
        <v>0</v>
      </c>
      <c r="L30" s="12">
        <v>0</v>
      </c>
      <c r="M30" s="13">
        <f>+Инвойс!M30</f>
        <v>5197.5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5197.5</v>
      </c>
      <c r="K31" s="16"/>
      <c r="L31" s="16"/>
      <c r="M31" s="17">
        <f>SUM(M30:M30)</f>
        <v>5197.5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сто девяносто семь долларов США, 50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2" zoomScale="115" zoomScaleNormal="11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5197.5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сто девяносто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девяносто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девяносто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девяносто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5197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5197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2025-09-02T09:50:32Z</cp:lastPrinted>
  <dcterms:created xsi:type="dcterms:W3CDTF">1996-10-14T23:33:28Z</dcterms:created>
  <dcterms:modified xsi:type="dcterms:W3CDTF">2025-09-02T09:50:33Z</dcterms:modified>
</cp:coreProperties>
</file>