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00CE9FE-4FBB-440C-8260-482A82775D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<sst xmlns="http://schemas.openxmlformats.org/spreadsheetml/2006/main" count="198" uniqueCount="162">
  <si>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</si>
  <si>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</si>
  <si>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</si>
  <si>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</si>
  <si>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</si>
  <si>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</si>
  <si>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</si>
  <si>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</si>
  <si>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</si>
  <si>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</si>
  <si>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</si>
  <si>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</si>
  <si>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</si>
  <si>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</si>
  <si>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</si>
  <si>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</si>
  <si>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</si>
  <si>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</si>
  <si>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</si>
  <si>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</si>
  <si>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</si>
  <si>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</si>
  <si>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</si>
  <si>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</si>
  <si>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</si>
  <si>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</si>
  <si>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</si>
  <si>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</si>
  <si>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</si>
  <si>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</si>
  <si>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</si>
  <si>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</si>
  <si>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</si>
  <si>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</si>
  <si>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</si>
  <si>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</si>
  <si>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</si>
  <si>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</si>
  <si>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</si>
  <si>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</si>
  <si>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</si>
  <si>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</si>
  <si>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</si>
  <si>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</si>
  <si>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</si>
  <si>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</si>
  <si>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</si>
  <si>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</si>
  <si>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</si>
  <si>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</si>
  <si>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</si>
  <si>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</si>
  <si>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</si>
  <si>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</si>
  <si>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</si>
  <si>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</si>
  <si>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</si>
  <si>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</si>
  <si>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</si>
  <si>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</si>
  <si>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</si>
  <si>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</si>
  <si>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</si>
  <si>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</si>
  <si>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</si>
  <si>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</si>
  <si>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</si>
  <si>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</si>
  <si>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</si>
  <si>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</si>
  <si>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</si>
  <si>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</si>
  <si>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</si>
  <si>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</si>
  <si>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</si>
  <si>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</si>
  <si>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</si>
  <si>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</si>
  <si>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</si>
  <si>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</si>
  <si>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</si>
  <si>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</si>
  <si>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</si>
  <si>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</si>
  <si>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</si>
  <si>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</si>
  <si>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</si>
  <si>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</si>
  <si>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</si>
  <si>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</si>
  <si>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</si>
  <si>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</si>
  <si>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</si>
  <si>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</si>
  <si>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</si>
  <si>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</si>
  <si>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</si>
  <si>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</si>
  <si>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</si>
  <si>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</si>
  <si>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</si>
  <si>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</si>
  <si>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</si>
  <si>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</si>
  <si>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</si>
  <si>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</si>
  <si>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</si>
  <si>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</si>
  <si>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</si>
  <si>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</si>
  <si>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</si>
  <si>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</si>
  <si>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</si>
  <si>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</si>
  <si>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</si>
  <si>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</si>
  <si>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</si>
  <si>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</si>
  <si>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</si>
  <si>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</si>
  <si>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</si>
  <si>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</si>
  <si>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</si>
  <si>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</si>
  <si>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</si>
  <si>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</si>
  <si>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</si>
  <si>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</si>
  <si>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</si>
  <si>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</si>
  <si>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</si>
  <si>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</si>
  <si>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</si>
  <si>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</si>
  <si>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</si>
  <si>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</si>
  <si>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</si>
  <si>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</si>
  <si>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</si>
  <si>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</si>
  <si>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</si>
  <si>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</si>
  <si>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</si>
  <si>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</si>
  <si>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</si>
  <si>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</si>
  <si>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</si>
  <si>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EX0508 от 05.08.2025 года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</si>
  <si>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</si>
  <si>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</si>
  <si>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</si>
  <si>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</si>
  <si>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</si>
  <si>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</si>
  <si>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</si>
  <si>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</si>
  <si>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 xml:space="preserve">ИНВОЙС № MEZ-A-22 от </t>
  </si>
  <si>
    <t xml:space="preserve"> 25.08.2025г.</t>
  </si>
  <si>
    <t>30561NBA/307044AA</t>
  </si>
  <si>
    <t>DAP - с Амандык , Республика Казахстан</t>
  </si>
  <si>
    <t>/г. Владивосток/ г.Тюмень / г. Пенза / г. Краснодар / г.Пятигорск / г.Воронеж / /г.Нижневартовск/г.Нижний Новгород/г.Киров</t>
  </si>
  <si>
    <t xml:space="preserve">СПЕЦИФИКАЦИЯ № MEZ-A-22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</si>
</sst>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156</v>
      </c>
      <c r="D1" s="134"/>
      <c r="E1" s="134"/>
      <c r="F1" s="133" t="s">
        <v>157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147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148</v>
      </c>
      <c r="B5" s="135"/>
      <c r="C5" s="135"/>
      <c r="D5" s="135"/>
      <c r="E5" s="135"/>
      <c r="F5" s="6"/>
      <c r="G5" s="137" t="s">
        <v>137</v>
      </c>
      <c r="H5" s="137"/>
      <c r="I5" s="137"/>
      <c r="J5" s="137"/>
      <c r="K5" s="137"/>
      <c r="L5" s="137"/>
      <c r="M5" s="137"/>
    </row>
    <row r="6" spans="1:15" ht="15" x14ac:dyDescent="0.25">
      <c r="A6" s="126" t="s">
        <v>149</v>
      </c>
      <c r="B6" s="125"/>
      <c r="C6" s="125"/>
      <c r="D6" s="125"/>
      <c r="E6" s="125"/>
      <c r="F6" s="7"/>
      <c r="G6" s="139" t="s">
        <v>138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6" t="s">
        <v>154</v>
      </c>
      <c r="B7" s="125"/>
      <c r="C7" s="125"/>
      <c r="D7" s="125"/>
      <c r="E7" s="125"/>
      <c r="F7" s="63"/>
      <c r="G7" s="139" t="s">
        <v>139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5" x14ac:dyDescent="0.25">
      <c r="A9" s="8" t="s">
        <v>150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152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5" x14ac:dyDescent="0.25">
      <c r="A11" s="8"/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35" t="s">
        <v>148</v>
      </c>
      <c r="B14" s="135"/>
      <c r="C14" s="135"/>
      <c r="D14" s="135"/>
      <c r="E14" s="135"/>
      <c r="F14" s="6"/>
      <c r="G14" s="137" t="s">
        <v>124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26" t="s">
        <v>149</v>
      </c>
      <c r="B15" s="125"/>
      <c r="C15" s="125"/>
      <c r="D15" s="125"/>
      <c r="E15" s="125"/>
      <c r="F15" s="7"/>
      <c r="G15" s="139" t="s">
        <v>125</v>
      </c>
      <c r="H15" s="142"/>
      <c r="I15" s="142"/>
      <c r="J15" s="142"/>
      <c r="K15" s="142"/>
      <c r="L15" s="142"/>
      <c r="M15" s="142"/>
    </row>
    <row r="16" spans="1:15" ht="15" x14ac:dyDescent="0.25">
      <c r="A16" s="126" t="s">
        <v>154</v>
      </c>
      <c r="B16" s="125"/>
      <c r="C16" s="125"/>
      <c r="D16" s="125"/>
      <c r="E16" s="125"/>
      <c r="F16" s="63"/>
      <c r="G16" s="139" t="s">
        <v>126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150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152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5" x14ac:dyDescent="0.25">
      <c r="A20" s="8"/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0" t="s">
        <v>120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75" x14ac:dyDescent="0.25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3" t="s">
        <v>158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2.25" x14ac:dyDescent="0.2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30" x14ac:dyDescent="0.2">
      <c r="A30" s="128">
        <v>1</v>
      </c>
      <c r="B30" s="101" t="s">
        <v>134</v>
      </c>
      <c r="C30" s="107" t="s">
        <v>135</v>
      </c>
      <c r="D30" s="109" t="s">
        <v>112</v>
      </c>
      <c r="E30" s="101">
        <v>876</v>
      </c>
      <c r="F30" s="110" t="s">
        <v>27</v>
      </c>
      <c r="G30" s="106">
        <v>22775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4.25" x14ac:dyDescent="0.2">
      <c r="A31" s="148" t="s">
        <v>0</v>
      </c>
      <c r="B31" s="149"/>
      <c r="C31" s="14"/>
      <c r="D31" s="15"/>
      <c r="E31" s="64">
        <f>SUM(E30:E30)</f>
        <v>876</v>
      </c>
      <c r="F31" s="15"/>
      <c r="G31" s="64">
        <f>SUM(G30:G30)</f>
        <v>22775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Четыре тысячи двести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</row>
    <row r="34" spans="1:14" ht="25.5" customHeight="1" x14ac:dyDescent="0.2">
      <c r="A34" s="141" t="s">
        <v>109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26"/>
    </row>
    <row r="36" spans="1:14" ht="15" x14ac:dyDescent="0.25">
      <c r="A36" s="7" t="s">
        <v>28</v>
      </c>
      <c r="B36" s="7"/>
      <c r="D36" s="25" t="s">
        <v>153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C18" sqref="C18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160</v>
      </c>
    </row>
    <row r="15" spans="1:11" ht="7.5" hidden="1" customHeight="1" x14ac:dyDescent="0.2"/>
    <row r="16" spans="1:11" ht="12" customHeight="1" x14ac:dyDescent="0.2">
      <c r="B16" s="70" t="s">
        <v>146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MEZ-A-22 от  25.08.2025г.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107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876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22775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 xml:space="preserve">СВХ ООО "Южно-Уральская Внешнеэкономическая Компания" 10504080 - т/п Челябинский 454108, Челябинская обл., г. Челябинск, ул. Игуменка, д. 7А
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8" t="str">
        <f>+C22</f>
        <v xml:space="preserve"> 25.08.2025г.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30561NBA/307044AA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1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1" t="s">
        <v>96</v>
      </c>
      <c r="C2" s="161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2" t="str">
        <f>+Инвойс!E26</f>
        <v>30561NBA/307044AA</v>
      </c>
      <c r="C14" s="162"/>
      <c r="D14" s="162"/>
      <c r="E14" s="162"/>
      <c r="F14" s="162"/>
      <c r="G14" s="162"/>
      <c r="H14" s="163" t="s">
        <v>108</v>
      </c>
      <c r="I14" s="163"/>
      <c r="J14" s="88" t="str">
        <f>+Инвойс!F1</f>
        <v xml:space="preserve"> 25.08.2025г.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MEZ-A-22 от  25.08.2025г.</v>
      </c>
      <c r="I15" s="164"/>
      <c r="J15" s="164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876</v>
      </c>
      <c r="G18" s="165" t="str">
        <f>+CMR!F30</f>
        <v>Дыни свежие</v>
      </c>
      <c r="H18" s="165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9" t="str">
        <f>+Инвойс!C30</f>
        <v>0807190001</v>
      </c>
      <c r="H19" s="160"/>
      <c r="I19" s="122" t="s">
        <v>103</v>
      </c>
      <c r="J19" s="120">
        <f>+Инвойс!G30</f>
        <v>22775</v>
      </c>
    </row>
    <row r="20" spans="2:10" ht="13.5" customHeight="1" x14ac:dyDescent="0.25">
      <c r="B20" s="83"/>
      <c r="E20" s="123"/>
      <c r="F20" s="118"/>
      <c r="G20" s="165"/>
      <c r="H20" s="165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9"/>
      <c r="H21" s="160"/>
      <c r="I21" s="122"/>
      <c r="J21" s="120"/>
    </row>
    <row r="22" spans="2:10" ht="12.75" customHeight="1" x14ac:dyDescent="0.25">
      <c r="B22" s="83"/>
      <c r="E22" s="123"/>
      <c r="F22" s="118"/>
      <c r="G22" s="165"/>
      <c r="H22" s="165"/>
      <c r="I22" s="119"/>
      <c r="J22" s="120"/>
    </row>
    <row r="23" spans="2:10" ht="14.25" customHeight="1" x14ac:dyDescent="0.25">
      <c r="B23" s="83"/>
      <c r="E23" s="123"/>
      <c r="F23" s="121"/>
      <c r="G23" s="159"/>
      <c r="H23" s="160"/>
      <c r="I23" s="122"/>
      <c r="J23" s="120"/>
    </row>
    <row r="24" spans="2:10" ht="12.75" customHeight="1" x14ac:dyDescent="0.25">
      <c r="B24" s="87"/>
      <c r="E24" s="123"/>
      <c r="F24" s="118"/>
      <c r="G24" s="165"/>
      <c r="H24" s="165"/>
      <c r="I24" s="119"/>
      <c r="J24" s="120"/>
    </row>
    <row r="25" spans="2:10" ht="12.75" customHeight="1" x14ac:dyDescent="0.25">
      <c r="B25" s="87"/>
      <c r="E25" s="123"/>
      <c r="F25" s="121"/>
      <c r="G25" s="159"/>
      <c r="H25" s="160"/>
      <c r="I25" s="122"/>
      <c r="J25" s="120"/>
    </row>
    <row r="26" spans="2:10" ht="12" customHeight="1" x14ac:dyDescent="0.25">
      <c r="B26" s="87"/>
      <c r="E26" s="123"/>
      <c r="F26" s="118"/>
      <c r="G26" s="165"/>
      <c r="H26" s="165"/>
      <c r="I26" s="119"/>
      <c r="J26" s="120"/>
    </row>
    <row r="27" spans="2:10" ht="14.25" customHeight="1" x14ac:dyDescent="0.25">
      <c r="B27" s="87"/>
      <c r="E27" s="123"/>
      <c r="F27" s="121"/>
      <c r="G27" s="159"/>
      <c r="H27" s="160"/>
      <c r="I27" s="122"/>
      <c r="J27" s="120"/>
    </row>
    <row r="28" spans="2:10" ht="12.75" customHeight="1" x14ac:dyDescent="0.25">
      <c r="B28" s="87"/>
      <c r="E28" s="123"/>
      <c r="F28" s="118"/>
      <c r="G28" s="165"/>
      <c r="H28" s="165"/>
      <c r="I28" s="119"/>
      <c r="J28" s="120"/>
    </row>
    <row r="29" spans="2:10" ht="12.75" customHeight="1" x14ac:dyDescent="0.25">
      <c r="B29" s="87"/>
      <c r="E29" s="123"/>
      <c r="F29" s="121"/>
      <c r="G29" s="159"/>
      <c r="H29" s="160"/>
      <c r="I29" s="122"/>
      <c r="J29" s="120"/>
    </row>
    <row r="30" spans="2:10" ht="12.75" customHeight="1" x14ac:dyDescent="0.25">
      <c r="B30" s="87"/>
      <c r="E30" s="123"/>
      <c r="F30" s="118"/>
      <c r="G30" s="165"/>
      <c r="H30" s="165"/>
      <c r="I30" s="119"/>
      <c r="J30" s="120"/>
    </row>
    <row r="31" spans="2:10" ht="13.5" customHeight="1" x14ac:dyDescent="0.25">
      <c r="B31" s="87"/>
      <c r="E31" s="123"/>
      <c r="F31" s="121"/>
      <c r="G31" s="159"/>
      <c r="H31" s="160"/>
      <c r="I31" s="122"/>
      <c r="J31" s="120"/>
    </row>
    <row r="32" spans="2:10" ht="13.5" customHeight="1" x14ac:dyDescent="0.25">
      <c r="B32" s="87"/>
      <c r="E32" s="123"/>
      <c r="F32" s="118"/>
      <c r="G32" s="165"/>
      <c r="H32" s="165"/>
      <c r="I32" s="119"/>
      <c r="J32" s="120"/>
    </row>
    <row r="33" spans="2:10" ht="13.5" customHeight="1" x14ac:dyDescent="0.25">
      <c r="B33" s="87"/>
      <c r="E33" s="123"/>
      <c r="F33" s="121"/>
      <c r="G33" s="159"/>
      <c r="H33" s="160"/>
      <c r="I33" s="122"/>
      <c r="J33" s="120"/>
    </row>
    <row r="34" spans="2:10" ht="13.5" customHeight="1" x14ac:dyDescent="0.25">
      <c r="B34" s="87"/>
      <c r="E34" s="123"/>
      <c r="F34" s="118"/>
      <c r="G34" s="165"/>
      <c r="H34" s="165"/>
      <c r="I34" s="119"/>
      <c r="J34" s="120"/>
    </row>
    <row r="35" spans="2:10" ht="12.75" customHeight="1" x14ac:dyDescent="0.25">
      <c r="B35" s="87"/>
      <c r="E35" s="123"/>
      <c r="F35" s="121"/>
      <c r="G35" s="159"/>
      <c r="H35" s="160"/>
      <c r="I35" s="122"/>
      <c r="J35" s="120"/>
    </row>
    <row r="36" spans="2:10" x14ac:dyDescent="0.25">
      <c r="B36" s="87"/>
      <c r="E36" s="123"/>
      <c r="F36" s="118"/>
      <c r="G36" s="165"/>
      <c r="H36" s="165"/>
      <c r="I36" s="119"/>
      <c r="J36" s="120"/>
    </row>
    <row r="37" spans="2:10" ht="13.5" customHeight="1" x14ac:dyDescent="0.25">
      <c r="B37" s="87"/>
      <c r="E37" s="123"/>
      <c r="F37" s="121"/>
      <c r="G37" s="159"/>
      <c r="H37" s="160"/>
      <c r="I37" s="122"/>
      <c r="J37" s="120"/>
    </row>
    <row r="38" spans="2:10" x14ac:dyDescent="0.25">
      <c r="B38" s="87"/>
      <c r="E38" s="123"/>
      <c r="F38" s="118"/>
      <c r="G38" s="165"/>
      <c r="H38" s="165"/>
      <c r="I38" s="119"/>
      <c r="J38" s="120"/>
    </row>
    <row r="39" spans="2:10" ht="13.5" customHeight="1" x14ac:dyDescent="0.25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25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25">
      <c r="B41" s="87"/>
      <c r="E41" s="123"/>
      <c r="F41" s="121"/>
      <c r="G41" s="159"/>
      <c r="H41" s="160"/>
      <c r="I41" s="122"/>
      <c r="J41" s="120"/>
    </row>
    <row r="42" spans="2:10" hidden="1" x14ac:dyDescent="0.25">
      <c r="B42" s="87"/>
      <c r="E42" s="123"/>
      <c r="F42" s="118"/>
      <c r="G42" s="165"/>
      <c r="H42" s="165"/>
      <c r="I42" s="119"/>
      <c r="J42" s="120"/>
    </row>
    <row r="43" spans="2:10" x14ac:dyDescent="0.25">
      <c r="B43" s="87"/>
      <c r="E43" s="123"/>
      <c r="F43" s="121"/>
      <c r="G43" s="159"/>
      <c r="H43" s="160"/>
      <c r="I43" s="122"/>
      <c r="J43" s="120"/>
    </row>
    <row r="44" spans="2:10" ht="9" customHeight="1" x14ac:dyDescent="0.25">
      <c r="B44" s="87"/>
      <c r="E44" s="95"/>
      <c r="F44" s="92"/>
      <c r="G44" s="167"/>
      <c r="H44" s="167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8">
        <f>+F18+F20+F22+F24+F26+F28+F30+F32+F34+F36+F38+F40+F42</f>
        <v>876</v>
      </c>
      <c r="E47" s="169"/>
    </row>
    <row r="48" spans="2:10" ht="17.25" customHeight="1" x14ac:dyDescent="0.25">
      <c r="B48" s="166" t="s">
        <v>105</v>
      </c>
      <c r="C48" s="166"/>
      <c r="D48" s="166"/>
      <c r="E48" s="166"/>
    </row>
    <row r="49" spans="2:5" ht="21.75" customHeight="1" x14ac:dyDescent="0.25">
      <c r="B49" s="166"/>
      <c r="C49" s="166"/>
      <c r="D49" s="166"/>
      <c r="E49" s="166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161</v>
      </c>
      <c r="C1" s="172"/>
      <c r="D1" s="172"/>
      <c r="E1" s="172"/>
      <c r="F1" s="133" t="str">
        <f>+Инвойс!F1</f>
        <v xml:space="preserve"> 25.08.2025г.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EX0508 от 05.08.2025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ООО «MEGA EXIMPORT»</v>
      </c>
      <c r="B5" s="135"/>
      <c r="C5" s="135"/>
      <c r="D5" s="135"/>
      <c r="E5" s="135"/>
      <c r="F5" s="6"/>
      <c r="G5" s="137" t="str">
        <f>+Инвойс!G5</f>
        <v>ООО ТД «РЕСУРС»</v>
      </c>
      <c r="H5" s="137"/>
      <c r="I5" s="137"/>
      <c r="J5" s="137"/>
      <c r="K5" s="137"/>
      <c r="L5" s="137"/>
      <c r="M5" s="137"/>
    </row>
    <row r="6" spans="1:15" ht="15" x14ac:dyDescent="0.25">
      <c r="A6" s="171" t="str">
        <f>+Инвойс!A6</f>
        <v xml:space="preserve">Республика Узбекистан, Ферганская область, </v>
      </c>
      <c r="B6" s="171"/>
      <c r="C6" s="171"/>
      <c r="D6" s="171"/>
      <c r="E6" s="171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Кува Район, Гулобод МФЙ, Сарбоз улитца</v>
      </c>
      <c r="B7" s="171"/>
      <c r="C7" s="171"/>
      <c r="D7" s="171"/>
      <c r="E7" s="171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 xml:space="preserve">Р/с N 20208840607249418001   (USD)    </v>
      </c>
      <c r="B8" s="171"/>
      <c r="C8" s="171"/>
      <c r="D8" s="171"/>
      <c r="E8" s="171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 xml:space="preserve">в АКБ «KAPITAL BANK» МФО: 01088 Swift: KACHUZ22  </v>
      </c>
      <c r="B9" s="171"/>
      <c r="C9" s="171"/>
      <c r="D9" s="171"/>
      <c r="E9" s="171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 xml:space="preserve"> ИНН: 312169146</v>
      </c>
      <c r="B10" s="171"/>
      <c r="C10" s="171"/>
      <c r="D10" s="171"/>
      <c r="E10" s="171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1"/>
      <c r="B11" s="171"/>
      <c r="C11" s="171"/>
      <c r="D11" s="171"/>
      <c r="E11" s="171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35" t="str">
        <f>+Инвойс!A14</f>
        <v>ООО «MEGA EXIMPORT»</v>
      </c>
      <c r="B14" s="135"/>
      <c r="C14" s="135"/>
      <c r="D14" s="135"/>
      <c r="E14" s="135"/>
      <c r="F14" s="6"/>
      <c r="G14" s="137" t="str">
        <f>+Инвойс!G14</f>
        <v>OOO «Западные ворота»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71" t="str">
        <f>+Инвойс!A15</f>
        <v xml:space="preserve">Республика Узбекистан, Ферганская область, </v>
      </c>
      <c r="B15" s="171"/>
      <c r="C15" s="171"/>
      <c r="D15" s="171"/>
      <c r="E15" s="171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Кува Район, Гулобод МФЙ, Сарбоз улитца</v>
      </c>
      <c r="B16" s="171"/>
      <c r="C16" s="171"/>
      <c r="D16" s="171"/>
      <c r="E16" s="171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 xml:space="preserve">Р/с N 20208840607249418001   (USD)    </v>
      </c>
      <c r="B17" s="171"/>
      <c r="C17" s="171"/>
      <c r="D17" s="171"/>
      <c r="E17" s="171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 xml:space="preserve">в АКБ «KAPITAL BANK» МФО: 01088 Swift: KACHUZ22  </v>
      </c>
      <c r="B18" s="171"/>
      <c r="C18" s="171"/>
      <c r="D18" s="171"/>
      <c r="E18" s="171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 xml:space="preserve"> ИНН: 312169146</v>
      </c>
      <c r="B19" s="171"/>
      <c r="C19" s="171"/>
      <c r="D19" s="171"/>
      <c r="E19" s="171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1"/>
      <c r="B20" s="171"/>
      <c r="C20" s="171"/>
      <c r="D20" s="171"/>
      <c r="E20" s="171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132</v>
      </c>
      <c r="C22" s="65"/>
      <c r="F22" s="1"/>
    </row>
    <row r="23" spans="1:17" ht="26.25" hidden="1" customHeight="1" x14ac:dyDescent="0.2">
      <c r="A23" s="69" t="s">
        <v>87</v>
      </c>
      <c r="B23" s="68"/>
      <c r="C23" s="152" t="s">
        <v>115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3" t="str">
        <f>+Инвойс!E26</f>
        <v>30561NBA/307044AA</v>
      </c>
      <c r="F26" s="154"/>
      <c r="G26" s="154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2.25" x14ac:dyDescent="0.2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25.5" x14ac:dyDescent="0.2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876</v>
      </c>
      <c r="F30" s="116" t="str">
        <f>+Инвойс!F30</f>
        <v>кг</v>
      </c>
      <c r="G30" s="106">
        <f>+Инвойс!G30</f>
        <v>22775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4.25" x14ac:dyDescent="0.2">
      <c r="A31" s="148" t="s">
        <v>0</v>
      </c>
      <c r="B31" s="149"/>
      <c r="C31" s="14"/>
      <c r="D31" s="15"/>
      <c r="E31" s="64">
        <f>SUM(E30:E30)</f>
        <v>876</v>
      </c>
      <c r="F31" s="15"/>
      <c r="G31" s="64">
        <f>SUM(G30:G30)</f>
        <v>22775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Четыре тысячи двести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</row>
    <row r="34" spans="1:14" ht="25.5" customHeight="1" x14ac:dyDescent="0.2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26"/>
    </row>
    <row r="36" spans="1:14" ht="15.75" x14ac:dyDescent="0.25">
      <c r="A36" s="7" t="s">
        <v>155</v>
      </c>
      <c r="B36" s="7"/>
      <c r="D36" s="25" t="str">
        <f>+Инвойс!D36</f>
        <v>Эргашев О.Р</v>
      </c>
      <c r="E36" s="24"/>
      <c r="G36" s="130" t="s">
        <v>144</v>
      </c>
      <c r="H36" t="str">
        <f>Инвойс!G5</f>
        <v>ООО ТД «РЕСУРС»</v>
      </c>
      <c r="K36" s="131" t="s">
        <v>145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11" sqref="A11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7" t="s">
        <v>116</v>
      </c>
    </row>
    <row r="3" spans="1:1" ht="51" x14ac:dyDescent="0.2">
      <c r="A3" s="132" t="s">
        <v>136</v>
      </c>
    </row>
    <row r="5" spans="1:1" ht="38.25" x14ac:dyDescent="0.2">
      <c r="A5" s="127" t="s">
        <v>117</v>
      </c>
    </row>
    <row r="7" spans="1:1" ht="51" x14ac:dyDescent="0.2">
      <c r="A7" s="127" t="s">
        <v>118</v>
      </c>
    </row>
    <row r="9" spans="1:1" ht="51" x14ac:dyDescent="0.2">
      <c r="A9" s="127" t="s">
        <v>119</v>
      </c>
    </row>
    <row r="10" spans="1:1" x14ac:dyDescent="0.2">
      <c r="A10" s="127"/>
    </row>
    <row r="11" spans="1:1" ht="51" x14ac:dyDescent="0.2">
      <c r="A11" s="127" t="s">
        <v>120</v>
      </c>
    </row>
    <row r="13" spans="1:1" ht="51" x14ac:dyDescent="0.2">
      <c r="A13" s="127" t="s">
        <v>121</v>
      </c>
    </row>
    <row r="15" spans="1:1" ht="38.25" x14ac:dyDescent="0.2">
      <c r="A15" s="127" t="s">
        <v>122</v>
      </c>
    </row>
    <row r="17" spans="1:1" ht="38.25" x14ac:dyDescent="0.2">
      <c r="A17" s="127" t="s">
        <v>123</v>
      </c>
    </row>
    <row r="19" spans="1:1" ht="38.25" x14ac:dyDescent="0.2">
      <c r="A19" s="129" t="s">
        <v>131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Инвойс!M31</f>
        <v>4240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45894</v>
      </c>
      <c r="O3" s="176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25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45894</v>
      </c>
    </row>
    <row r="13" spans="1:19" s="43" customFormat="1" x14ac:dyDescent="0.2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2025-08-25T03:52:44Z</cp:lastPrinted>
  <dcterms:created xsi:type="dcterms:W3CDTF">1996-10-14T23:33:28Z</dcterms:created>
  <dcterms:modified xsi:type="dcterms:W3CDTF">2025-08-25T03:52:49Z</dcterms:modified>
</cp:coreProperties>
</file>