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D9BFF8-FF43-4F84-99CA-4D2C0DC0B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<sst xmlns="http://schemas.openxmlformats.org/spreadsheetml/2006/main" count="209" uniqueCount="163">
  <si>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</si>
  <si>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</si>
  <si>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</si>
  <si>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</si>
  <si>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</si>
  <si>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</si>
  <si>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</si>
  <si>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</si>
  <si>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</si>
  <si>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</si>
  <si>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</si>
  <si>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</si>
  <si>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</si>
  <si>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</si>
  <si>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</si>
  <si>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</si>
  <si>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</si>
  <si>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</si>
  <si>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</si>
  <si>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</si>
  <si>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</si>
  <si>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</si>
  <si>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</si>
  <si>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</si>
  <si>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</si>
  <si>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</si>
  <si>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</si>
  <si>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</si>
  <si>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</si>
  <si>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</si>
  <si>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</si>
  <si>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</si>
  <si>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</si>
  <si>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</si>
  <si>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</si>
  <si>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</si>
  <si>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</si>
  <si>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</si>
  <si>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</si>
  <si>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</si>
  <si>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</si>
  <si>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</si>
  <si>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</si>
  <si>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</si>
  <si>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</si>
  <si>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</si>
  <si>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</si>
  <si>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</si>
  <si>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</si>
  <si>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</si>
  <si>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</si>
  <si>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</si>
  <si>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</si>
  <si>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</si>
  <si>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</si>
  <si>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</si>
  <si>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</si>
  <si>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</si>
  <si>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</si>
  <si>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</si>
  <si>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</si>
  <si>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</si>
  <si>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</si>
  <si>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</si>
  <si>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</si>
  <si>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</si>
  <si>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</si>
  <si>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</si>
  <si>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</si>
  <si>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</si>
  <si>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</si>
  <si>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</si>
  <si>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</si>
  <si>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</si>
  <si>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</si>
  <si>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</si>
  <si>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</si>
  <si>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</si>
  <si>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</si>
  <si>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</si>
  <si>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</si>
  <si>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</si>
  <si>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</si>
  <si>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</si>
  <si>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</si>
  <si>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</si>
  <si>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</si>
  <si>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</si>
  <si>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</si>
  <si>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</si>
  <si>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</si>
  <si>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</si>
  <si>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</si>
  <si>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</si>
  <si>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</si>
  <si>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</si>
  <si>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</si>
  <si>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</si>
  <si>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</si>
  <si>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</si>
  <si>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</si>
  <si>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</si>
  <si>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</si>
  <si>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</si>
  <si>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</si>
  <si>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</si>
  <si>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</si>
  <si>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</si>
  <si>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</si>
  <si>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</si>
  <si>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</si>
  <si>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</si>
  <si>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</si>
  <si>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</si>
  <si>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</si>
  <si>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</si>
  <si>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</si>
  <si>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</si>
  <si>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</si>
  <si>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</si>
  <si>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</si>
  <si>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</si>
  <si>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</si>
  <si>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</si>
  <si>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</si>
  <si>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</si>
  <si>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</si>
  <si>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</si>
  <si>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</si>
  <si>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</si>
  <si>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</si>
  <si>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</si>
  <si>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</si>
  <si>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</si>
  <si>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</si>
  <si>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</si>
  <si>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</si>
  <si>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</si>
  <si>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</si>
  <si>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</si>
  <si>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</si>
  <si>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</si>
  <si>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</si>
  <si>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</si>
  <si>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</si>
  <si>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</si>
  <si>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</si>
  <si>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</si>
  <si>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</si>
  <si>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</si>
  <si>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</si>
  <si>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</si>
  <si>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</si>
  <si>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</si>
  <si>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</si>
  <si>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</si>
  <si>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</si>
  <si>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</si>
  <si>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GWG-M-2 от </t>
  </si>
  <si>
    <t xml:space="preserve"> 03.09.2025г.</t>
  </si>
  <si>
    <t>01U198PC/017968BA</t>
  </si>
  <si>
    <t xml:space="preserve">СПЕЦИФИКАЦИЯ № GWG-M-2 от </t>
  </si>
  <si>
    <t>/г. Владивосток/ г.Чита / г. Казань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</si>
</sst>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147</v>
      </c>
      <c r="B5" s="154"/>
      <c r="C5" s="154"/>
      <c r="D5" s="154"/>
      <c r="E5" s="154"/>
      <c r="F5" s="6"/>
      <c r="G5" s="147" t="s">
        <v>129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147</v>
      </c>
      <c r="B14" s="154"/>
      <c r="C14" s="154"/>
      <c r="D14" s="154"/>
      <c r="E14" s="154"/>
      <c r="F14" s="6"/>
      <c r="G14" s="147" t="s">
        <v>129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2" t="s">
        <v>130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2" t="s">
        <v>131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115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111</v>
      </c>
      <c r="E30" s="101">
        <v>996</v>
      </c>
      <c r="F30" s="110" t="s">
        <v>27</v>
      </c>
      <c r="G30" s="106">
        <v>23000</v>
      </c>
      <c r="H30" s="106">
        <v>21207</v>
      </c>
      <c r="I30" s="108">
        <v>0.25</v>
      </c>
      <c r="J30" s="13">
        <f t="shared" ref="J30" si="0">H30*I30</f>
        <v>5301.75</v>
      </c>
      <c r="K30" s="12">
        <v>0</v>
      </c>
      <c r="L30" s="12">
        <v>0</v>
      </c>
      <c r="M30" s="13">
        <f t="shared" ref="M30" si="1">J30</f>
        <v>5301.75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996</v>
      </c>
      <c r="F31" s="15"/>
      <c r="G31" s="64">
        <f>SUM(G30:G30)</f>
        <v>23000</v>
      </c>
      <c r="H31" s="64">
        <f>SUM(H30:H30)</f>
        <v>21207</v>
      </c>
      <c r="I31" s="102"/>
      <c r="J31" s="17">
        <f>SUM(J30:J30)</f>
        <v>5301.75</v>
      </c>
      <c r="K31" s="16"/>
      <c r="L31" s="16"/>
      <c r="M31" s="17">
        <f>SUM(M30:M30)</f>
        <v>5301.75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один доллар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F6" sqref="F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GWG-M-2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01U198PC/017968BA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J24" sqref="J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01U198PC/017968BA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GWG-M-2 от  03.09.2025г.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996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996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03.09.2025г.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112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01U198PC/017968BA</v>
      </c>
      <c r="F26" s="141"/>
      <c r="G26" s="141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6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996</v>
      </c>
      <c r="F30" s="116" t="str">
        <f>+Инвойс!F30</f>
        <v>кг</v>
      </c>
      <c r="G30" s="106">
        <f>+Инвойс!G30</f>
        <v>23000</v>
      </c>
      <c r="H30" s="106">
        <f>+Инвойс!H30</f>
        <v>21207</v>
      </c>
      <c r="I30" s="108">
        <f>+Инвойс!I30</f>
        <v>0.25</v>
      </c>
      <c r="J30" s="13">
        <f>+Инвойс!J30</f>
        <v>5301.75</v>
      </c>
      <c r="K30" s="12">
        <v>0</v>
      </c>
      <c r="L30" s="12">
        <v>0</v>
      </c>
      <c r="M30" s="13">
        <f>+Инвойс!M30</f>
        <v>5301.75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996</v>
      </c>
      <c r="F31" s="15"/>
      <c r="G31" s="64">
        <f>SUM(G30:G30)</f>
        <v>23000</v>
      </c>
      <c r="H31" s="64">
        <f>SUM(H30:H30)</f>
        <v>21207</v>
      </c>
      <c r="I31" s="102"/>
      <c r="J31" s="17">
        <f>SUM(J30:J30)</f>
        <v>5301.75</v>
      </c>
      <c r="K31" s="16"/>
      <c r="L31" s="16"/>
      <c r="M31" s="17">
        <f>SUM(M30:M30)</f>
        <v>5301.75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один доллар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113</v>
      </c>
    </row>
    <row r="3" spans="1:10" ht="52.8" x14ac:dyDescent="0.25">
      <c r="A3" s="131" t="s">
        <v>125</v>
      </c>
    </row>
    <row r="5" spans="1:10" ht="39.6" x14ac:dyDescent="0.25">
      <c r="A5" s="127" t="s">
        <v>114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5301.75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один доллар США,75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один доллар США,75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один доллар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один доллар США,75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5301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2025-09-03T06:42:25Z</cp:lastPrinted>
  <dcterms:created xsi:type="dcterms:W3CDTF">1996-10-14T23:33:28Z</dcterms:created>
  <dcterms:modified xsi:type="dcterms:W3CDTF">2025-09-03T06:42:38Z</dcterms:modified>
</cp:coreProperties>
</file>