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99D9DA3-EE1A-47A4-8C10-18D2BB985B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<sst xmlns="http://schemas.openxmlformats.org/spreadsheetml/2006/main" count="201" uniqueCount="163">
  <si>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</si>
  <si>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</si>
  <si>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</si>
  <si>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</si>
  <si>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</si>
  <si>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</si>
  <si>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</si>
  <si>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</si>
  <si>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</si>
  <si>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</si>
  <si>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</si>
  <si>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</si>
  <si>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</si>
  <si>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</si>
  <si>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</si>
  <si>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</si>
  <si>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</si>
  <si>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</si>
  <si>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</si>
  <si>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</si>
  <si>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</si>
  <si>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</si>
  <si>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</si>
  <si>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</si>
  <si>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</si>
  <si>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</si>
  <si>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</si>
  <si>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</si>
  <si>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</si>
  <si>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</si>
  <si>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</si>
  <si>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</si>
  <si>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</si>
  <si>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</si>
  <si>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</si>
  <si>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</si>
  <si>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</si>
  <si>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</si>
  <si>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</si>
  <si>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</si>
  <si>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</si>
  <si>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</si>
  <si>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</si>
  <si>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</si>
  <si>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</si>
  <si>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</si>
  <si>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</si>
  <si>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</si>
  <si>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</si>
  <si>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</si>
  <si>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</si>
  <si>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</si>
  <si>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</si>
  <si>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</si>
  <si>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</si>
  <si>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</si>
  <si>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</si>
  <si>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</si>
  <si>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</si>
  <si>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</si>
  <si>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</si>
  <si>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</si>
  <si>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</si>
  <si>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</si>
  <si>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</si>
  <si>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</si>
  <si>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</si>
  <si>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</si>
  <si>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</si>
  <si>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</si>
  <si>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</si>
  <si>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</si>
  <si>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</si>
  <si>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</si>
  <si>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</si>
  <si>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</si>
  <si>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</si>
  <si>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</si>
  <si>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</si>
  <si>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</si>
  <si>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</si>
  <si>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</si>
  <si>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</si>
  <si>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</si>
  <si>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</si>
  <si>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</si>
  <si>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</si>
  <si>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</si>
  <si>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</si>
  <si>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</si>
  <si>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</si>
  <si>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</si>
  <si>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</si>
  <si>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</si>
  <si>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</si>
  <si>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</si>
  <si>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</si>
  <si>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</si>
  <si>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</si>
  <si>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</si>
  <si>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</si>
  <si>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</si>
  <si>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</si>
  <si>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</si>
  <si>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</si>
  <si>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</si>
  <si>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</si>
  <si>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</si>
  <si>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</si>
  <si>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</si>
  <si>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</si>
  <si>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</si>
  <si>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</si>
  <si>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</si>
  <si>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</si>
  <si>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</si>
  <si>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</si>
  <si>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</si>
  <si>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</si>
  <si>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</si>
  <si>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</si>
  <si>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</si>
  <si>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</si>
  <si>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</si>
  <si>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</si>
  <si>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</si>
  <si>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</si>
  <si>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</si>
  <si>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</si>
  <si>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</si>
  <si>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</si>
  <si>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</si>
  <si>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</si>
  <si>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</si>
  <si>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</si>
  <si>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</si>
  <si>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</si>
  <si>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</si>
  <si>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</si>
  <si>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</si>
  <si>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</si>
  <si>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</si>
  <si>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</si>
  <si>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</si>
  <si>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</si>
  <si>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</si>
  <si>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</si>
  <si>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</si>
  <si>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</si>
  <si>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</si>
  <si>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</si>
  <si>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</si>
  <si>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</si>
  <si>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</si>
  <si>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</si>
  <si>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</si>
  <si>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</si>
  <si>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</si>
  <si>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BEZ-M-13 от </t>
  </si>
  <si>
    <t xml:space="preserve"> 12.08.2025г.</t>
  </si>
  <si>
    <t>DAP - с Амандык , Республика Казахстан</t>
  </si>
  <si>
    <t>10V938BB/105492BA</t>
  </si>
  <si>
    <t xml:space="preserve">СПЕЦИФИКАЦИЯ № BEZ-M-13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</si>
</sst>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119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950</v>
      </c>
      <c r="F30" s="110" t="s">
        <v>27</v>
      </c>
      <c r="G30" s="106">
        <v>22260</v>
      </c>
      <c r="H30" s="106">
        <v>20550</v>
      </c>
      <c r="I30" s="108">
        <v>0.2</v>
      </c>
      <c r="J30" s="13">
        <f t="shared" ref="J30" si="0">H30*I30</f>
        <v>4110</v>
      </c>
      <c r="K30" s="12">
        <v>0</v>
      </c>
      <c r="L30" s="12">
        <v>0</v>
      </c>
      <c r="M30" s="13">
        <f t="shared" ref="M30" si="1">J30</f>
        <v>4110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22260</v>
      </c>
      <c r="H31" s="64">
        <f>SUM(H30:H30)</f>
        <v>20550</v>
      </c>
      <c r="I31" s="102"/>
      <c r="J31" s="17">
        <f>SUM(J30:J30)</f>
        <v>4110</v>
      </c>
      <c r="K31" s="16"/>
      <c r="L31" s="16"/>
      <c r="M31" s="17">
        <f>SUM(M30:M30)</f>
        <v>4110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десять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J36" sqref="J3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BEZ-M-13 от  12.08.2025г.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22260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12.08.2025г.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10V938BB/105492BA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M29" sqref="M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10V938BB/105492BA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12.08.2025г.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BEZ-M-13 от  12.08.2025г.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22260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950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3" zoomScale="85" zoomScaleNormal="85" workbookViewId="0">
      <selection activeCell="S28" sqref="S2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12.08.2025г.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10V938BB/105492BA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2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22260</v>
      </c>
      <c r="H30" s="106">
        <f>+Инвойс!H30</f>
        <v>20550</v>
      </c>
      <c r="I30" s="108">
        <f>+Инвойс!I30</f>
        <v>0.2</v>
      </c>
      <c r="J30" s="13">
        <f>+Инвойс!J30</f>
        <v>4110</v>
      </c>
      <c r="K30" s="12">
        <v>0</v>
      </c>
      <c r="L30" s="12">
        <v>0</v>
      </c>
      <c r="M30" s="13">
        <f>+Инвойс!M30</f>
        <v>4110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22260</v>
      </c>
      <c r="H31" s="64">
        <f>SUM(H30:H30)</f>
        <v>20550</v>
      </c>
      <c r="I31" s="102"/>
      <c r="J31" s="17">
        <f>SUM(J30:J30)</f>
        <v>4110</v>
      </c>
      <c r="K31" s="16"/>
      <c r="L31" s="16"/>
      <c r="M31" s="17">
        <f>SUM(M30:M30)</f>
        <v>4110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десять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4110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десять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45881</v>
      </c>
      <c r="O3" s="176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десять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12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десять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десять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десять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45881</v>
      </c>
    </row>
    <row r="13" spans="1:19" s="43" customFormat="1" x14ac:dyDescent="0.25">
      <c r="A13" s="49"/>
      <c r="D13" s="51"/>
      <c r="E13" s="52">
        <f>TRUNC(E2)</f>
        <v>4110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4110</v>
      </c>
      <c r="B29" s="47">
        <f>TRUNC(RIGHT(A29))</f>
        <v>0</v>
      </c>
      <c r="C29" s="51">
        <f>IF(B28=1,B29+10,IF(B29=0,0,B29))</f>
        <v>10</v>
      </c>
      <c r="D29" s="43" t="str">
        <f>IF(AND(C29&gt;9,C29&lt;16),IF(C29=10,D34,IF(C29=11,D35,IF(C29=12,D36,IF(C29=13,D37,IF(C29=14,D38,IF(C29=15,D39,)))))),"")</f>
        <v xml:space="preserve">десять </v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110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2025-08-12T16:14:52Z</cp:lastPrinted>
  <dcterms:created xsi:type="dcterms:W3CDTF">1996-10-14T23:33:28Z</dcterms:created>
  <dcterms:modified xsi:type="dcterms:W3CDTF">2025-08-12T16:15:01Z</dcterms:modified>
</cp:coreProperties>
</file>