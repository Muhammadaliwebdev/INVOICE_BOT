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3D175DD-D127-48BA-A20D-755D559DD7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<sst xmlns="http://schemas.openxmlformats.org/spreadsheetml/2006/main" count="201" uniqueCount="163">
  <si>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</si>
  <si>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</si>
  <si>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</si>
  <si>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</si>
  <si>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</si>
  <si>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</si>
  <si>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</si>
  <si>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</si>
  <si>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</si>
  <si>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</si>
  <si>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</si>
  <si>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</si>
  <si>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</si>
  <si>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</si>
  <si>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</si>
  <si>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</si>
  <si>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</si>
  <si>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</si>
  <si>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</si>
  <si>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</si>
  <si>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</si>
  <si>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</si>
  <si>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</si>
  <si>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</si>
  <si>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</si>
  <si>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</si>
  <si>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</si>
  <si>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</si>
  <si>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</si>
  <si>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</si>
  <si>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</si>
  <si>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</si>
  <si>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</si>
  <si>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</si>
  <si>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</si>
  <si>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</si>
  <si>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</si>
  <si>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</si>
  <si>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</si>
  <si>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</si>
  <si>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</si>
  <si>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</si>
  <si>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</si>
  <si>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</si>
  <si>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</si>
  <si>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</si>
  <si>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</si>
  <si>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</si>
  <si>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</si>
  <si>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</si>
  <si>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</si>
  <si>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</si>
  <si>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</si>
  <si>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</si>
  <si>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</si>
  <si>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</si>
  <si>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</si>
  <si>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</si>
  <si>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</si>
  <si>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</si>
  <si>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</si>
  <si>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</si>
  <si>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</si>
  <si>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</si>
  <si>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</si>
  <si>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</si>
  <si>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</si>
  <si>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</si>
  <si>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</si>
  <si>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</si>
  <si>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</si>
  <si>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</si>
  <si>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</si>
  <si>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</si>
  <si>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</si>
  <si>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</si>
  <si>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</si>
  <si>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</si>
  <si>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</si>
  <si>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</si>
  <si>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</si>
  <si>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</si>
  <si>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</si>
  <si>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</si>
  <si>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</si>
  <si>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</si>
  <si>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</si>
  <si>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</si>
  <si>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</si>
  <si>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</si>
  <si>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</si>
  <si>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</si>
  <si>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</si>
  <si>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</si>
  <si>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</si>
  <si>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</si>
  <si>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</si>
  <si>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</si>
  <si>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</si>
  <si>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</si>
  <si>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</si>
  <si>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</si>
  <si>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</si>
  <si>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</si>
  <si>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</si>
  <si>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</si>
  <si>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</si>
  <si>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</si>
  <si>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</si>
  <si>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</si>
  <si>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</si>
  <si>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</si>
  <si>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</si>
  <si>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</si>
  <si>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</si>
  <si>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</si>
  <si>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</si>
  <si>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</si>
  <si>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</si>
  <si>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</si>
  <si>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</si>
  <si>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</si>
  <si>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</si>
  <si>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</si>
  <si>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</si>
  <si>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</si>
  <si>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</si>
  <si>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</si>
  <si>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</si>
  <si>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</si>
  <si>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</si>
  <si>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</si>
  <si>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</si>
  <si>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</si>
  <si>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</si>
  <si>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</si>
  <si>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</si>
  <si>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</si>
  <si>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</si>
  <si>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</si>
  <si>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</si>
  <si>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</si>
  <si>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</si>
  <si>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</si>
  <si>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</si>
  <si>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</si>
  <si>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</si>
  <si>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</si>
  <si>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</si>
  <si>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</si>
  <si>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</si>
  <si>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</si>
  <si>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</si>
  <si>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</si>
  <si>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</si>
  <si>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</si>
  <si>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</si>
  <si>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</si>
  <si>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BEZ-A-105 от </t>
  </si>
  <si>
    <t>DAP - с Амандык , Республика Казахстан</t>
  </si>
  <si>
    <t>40B619SB/403417BA</t>
  </si>
  <si>
    <t xml:space="preserve">СПЕЦИФИКАЦИЯ № BEZ-A-105 от </t>
  </si>
  <si>
    <t xml:space="preserve"> 15.08.2025г.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</si>
</sst>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0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158</v>
      </c>
      <c r="D1" s="133"/>
      <c r="E1" s="133"/>
      <c r="F1" s="132" t="s">
        <v>162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148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149</v>
      </c>
      <c r="B5" s="134"/>
      <c r="C5" s="134"/>
      <c r="D5" s="134"/>
      <c r="E5" s="134"/>
      <c r="F5" s="6"/>
      <c r="G5" s="136" t="s">
        <v>138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150</v>
      </c>
      <c r="B6" s="125"/>
      <c r="C6" s="125"/>
      <c r="D6" s="125"/>
      <c r="E6" s="125"/>
      <c r="F6" s="7"/>
      <c r="G6" s="138" t="s">
        <v>139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151</v>
      </c>
      <c r="B7" s="125"/>
      <c r="C7" s="125"/>
      <c r="D7" s="125"/>
      <c r="E7" s="125"/>
      <c r="F7" s="63"/>
      <c r="G7" s="138" t="s">
        <v>140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152</v>
      </c>
      <c r="B8" s="8"/>
      <c r="C8" s="8"/>
      <c r="D8" s="8"/>
      <c r="E8" s="8"/>
      <c r="F8" s="63"/>
      <c r="G8" s="7" t="s">
        <v>141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153</v>
      </c>
      <c r="B9" s="8"/>
      <c r="C9" s="8"/>
      <c r="D9" s="8"/>
      <c r="E9" s="8"/>
      <c r="F9" s="7"/>
      <c r="G9" s="7" t="s">
        <v>142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154</v>
      </c>
      <c r="B10" s="125"/>
      <c r="C10" s="125"/>
      <c r="D10" s="125"/>
      <c r="E10" s="125"/>
      <c r="F10" s="7"/>
      <c r="G10" s="7" t="s">
        <v>143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155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149</v>
      </c>
      <c r="B14" s="134"/>
      <c r="C14" s="134"/>
      <c r="D14" s="134"/>
      <c r="E14" s="134"/>
      <c r="F14" s="6"/>
      <c r="G14" s="136" t="s">
        <v>125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150</v>
      </c>
      <c r="B15" s="125"/>
      <c r="C15" s="125"/>
      <c r="D15" s="125"/>
      <c r="E15" s="125"/>
      <c r="F15" s="7"/>
      <c r="G15" s="138" t="s">
        <v>126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151</v>
      </c>
      <c r="B16" s="125"/>
      <c r="C16" s="125"/>
      <c r="D16" s="125"/>
      <c r="E16" s="125"/>
      <c r="F16" s="63"/>
      <c r="G16" s="138" t="s">
        <v>127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152</v>
      </c>
      <c r="B17" s="8"/>
      <c r="C17" s="8"/>
      <c r="D17" s="8"/>
      <c r="E17" s="8"/>
      <c r="F17" s="63"/>
      <c r="G17" s="7" t="s">
        <v>128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153</v>
      </c>
      <c r="B18" s="8"/>
      <c r="C18" s="8"/>
      <c r="D18" s="8"/>
      <c r="E18" s="8"/>
      <c r="F18" s="7"/>
      <c r="G18" s="8" t="s">
        <v>129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154</v>
      </c>
      <c r="B19" s="125"/>
      <c r="C19" s="125"/>
      <c r="D19" s="125"/>
      <c r="E19" s="125"/>
      <c r="F19" s="7"/>
      <c r="G19" s="7" t="s">
        <v>130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155</v>
      </c>
      <c r="B20" s="8"/>
      <c r="C20" s="8"/>
      <c r="D20" s="8"/>
      <c r="E20" s="8"/>
      <c r="F20" s="7"/>
      <c r="G20" s="7" t="s">
        <v>131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119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111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135</v>
      </c>
      <c r="C30" s="107" t="s">
        <v>136</v>
      </c>
      <c r="D30" s="109" t="s">
        <v>113</v>
      </c>
      <c r="E30" s="101">
        <v>930</v>
      </c>
      <c r="F30" s="110" t="s">
        <v>27</v>
      </c>
      <c r="G30" s="106">
        <v>22300</v>
      </c>
      <c r="H30" s="106">
        <v>20626</v>
      </c>
      <c r="I30" s="108">
        <v>0.2</v>
      </c>
      <c r="J30" s="13">
        <f t="shared" ref="J30" si="0">H30*I30</f>
        <v>4125.2</v>
      </c>
      <c r="K30" s="12">
        <v>0</v>
      </c>
      <c r="L30" s="12">
        <v>0</v>
      </c>
      <c r="M30" s="13">
        <f t="shared" ref="M30" si="1">J30</f>
        <v>4125.2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930</v>
      </c>
      <c r="F31" s="15"/>
      <c r="G31" s="64">
        <f>SUM(G30:G30)</f>
        <v>22300</v>
      </c>
      <c r="H31" s="64">
        <f>SUM(H30:H30)</f>
        <v>20626</v>
      </c>
      <c r="I31" s="102"/>
      <c r="J31" s="17">
        <f>SUM(J30:J30)</f>
        <v>4125.2</v>
      </c>
      <c r="K31" s="16"/>
      <c r="L31" s="16"/>
      <c r="M31" s="17">
        <f>SUM(M30:M30)</f>
        <v>4125.2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двадцать пять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110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0" zoomScale="115" zoomScaleNormal="115" workbookViewId="0">
      <selection activeCell="I38" sqref="I38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112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109</v>
      </c>
    </row>
    <row r="15" spans="1:11" ht="7.5" hidden="1" customHeight="1" x14ac:dyDescent="0.2"/>
    <row r="16" spans="1:11" ht="12" customHeight="1" x14ac:dyDescent="0.2">
      <c r="B16" s="70" t="s">
        <v>147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114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15.08.2025г.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BEZ-A-105 от  15.08.2025г.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930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22300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115</v>
      </c>
      <c r="D49" s="157" t="str">
        <f>+C22</f>
        <v xml:space="preserve"> 15.08.2025г.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40B619SB/403417BA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7" zoomScaleNormal="100" workbookViewId="0">
      <selection activeCell="I27" sqref="I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40B619SB/403417BA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15.08.2025г.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BEZ-A-105 от  15.08.2025г.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930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22300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930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Q35" sqref="Q35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2" t="str">
        <f>+Инвойс!F1</f>
        <v xml:space="preserve"> 15.08.2025г.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133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116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40B619SB/403417BA</v>
      </c>
      <c r="F26" s="153"/>
      <c r="G26" s="153"/>
      <c r="J26" s="21"/>
    </row>
    <row r="27" spans="1:17" ht="34.5" customHeight="1" x14ac:dyDescent="0.25">
      <c r="A27" s="67" t="s">
        <v>134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3.4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930</v>
      </c>
      <c r="F30" s="116" t="str">
        <f>+Инвойс!F30</f>
        <v>кг</v>
      </c>
      <c r="G30" s="106">
        <f>+Инвойс!G30</f>
        <v>22300</v>
      </c>
      <c r="H30" s="106">
        <f>+Инвойс!H30</f>
        <v>20626</v>
      </c>
      <c r="I30" s="108">
        <f>+Инвойс!I30</f>
        <v>0.2</v>
      </c>
      <c r="J30" s="13">
        <f>+Инвойс!J30</f>
        <v>4125.2</v>
      </c>
      <c r="K30" s="12">
        <v>0</v>
      </c>
      <c r="L30" s="12">
        <v>0</v>
      </c>
      <c r="M30" s="13">
        <f>+Инвойс!M30</f>
        <v>4125.2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930</v>
      </c>
      <c r="F31" s="15"/>
      <c r="G31" s="64">
        <f>SUM(G30:G30)</f>
        <v>22300</v>
      </c>
      <c r="H31" s="64">
        <f>SUM(H30:H30)</f>
        <v>20626</v>
      </c>
      <c r="I31" s="102"/>
      <c r="J31" s="17">
        <f>SUM(J30:J30)</f>
        <v>4125.2</v>
      </c>
      <c r="K31" s="16"/>
      <c r="L31" s="16"/>
      <c r="M31" s="17">
        <f>SUM(M30:M30)</f>
        <v>4125.2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сто двадцать пять долларов США, 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157</v>
      </c>
      <c r="B36" s="7"/>
      <c r="D36" s="25" t="s">
        <v>156</v>
      </c>
      <c r="E36" s="24"/>
      <c r="G36" s="129" t="s">
        <v>145</v>
      </c>
      <c r="H36" t="str">
        <f>Инвойс!G5</f>
        <v>ООО ТД «РЕСУРС»</v>
      </c>
      <c r="K36" s="130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117</v>
      </c>
    </row>
    <row r="3" spans="1:1" ht="52.8" x14ac:dyDescent="0.25">
      <c r="A3" s="131" t="s">
        <v>137</v>
      </c>
    </row>
    <row r="5" spans="1:1" ht="39.6" x14ac:dyDescent="0.25">
      <c r="A5" s="126" t="s">
        <v>118</v>
      </c>
    </row>
    <row r="7" spans="1:1" ht="52.8" x14ac:dyDescent="0.25">
      <c r="A7" s="126" t="s">
        <v>119</v>
      </c>
    </row>
    <row r="9" spans="1:1" ht="52.8" x14ac:dyDescent="0.25">
      <c r="A9" s="126" t="s">
        <v>120</v>
      </c>
    </row>
    <row r="10" spans="1:1" x14ac:dyDescent="0.25">
      <c r="A10" s="126"/>
    </row>
    <row r="11" spans="1:1" ht="52.8" x14ac:dyDescent="0.25">
      <c r="A11" s="126" t="s">
        <v>121</v>
      </c>
    </row>
    <row r="13" spans="1:1" ht="52.8" x14ac:dyDescent="0.25">
      <c r="A13" s="126" t="s">
        <v>122</v>
      </c>
    </row>
    <row r="15" spans="1:1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132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4125.2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сто двадцать пять долларов США, 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45884</v>
      </c>
      <c r="O3" s="176"/>
      <c r="P3">
        <f ca="1">DAY(N3)</f>
        <v>15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сто двадцать пять долларов США, 20 центов. (в т.ч. НДС - 357,79)</v>
      </c>
      <c r="H4" s="32"/>
      <c r="I4" s="32"/>
      <c r="J4" s="32"/>
      <c r="K4" s="177" t="str">
        <f ca="1">CONCATENATE(" «  ",P3,"  »  ",Q3,"  ",R3," г.")</f>
        <v xml:space="preserve"> «  15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сто двадцать пять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сто двадцать пять долларов США, 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сто двадцать пять долларов США, 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45884</v>
      </c>
    </row>
    <row r="13" spans="1:19" s="43" customFormat="1" x14ac:dyDescent="0.25">
      <c r="A13" s="49"/>
      <c r="D13" s="51"/>
      <c r="E13" s="52">
        <f>TRUNC(E2)</f>
        <v>4125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41</v>
      </c>
      <c r="B27" s="47">
        <f>TRUNC(RIGHT(A27))</f>
        <v>1</v>
      </c>
      <c r="C27" s="51">
        <f>B27</f>
        <v>1</v>
      </c>
      <c r="E27" s="55" t="str">
        <f>IF(B27=1,E43,IF(B27=2,G35,IF(B27=3,G36,IF(B27=4,G37,IF(B27=5,G38,IF(B27=6,G39,IF(B27=7,G40,IF(B27=8,G41,G42))))))))</f>
        <v xml:space="preserve">сто </v>
      </c>
    </row>
    <row r="28" spans="1:9" s="43" customFormat="1" x14ac:dyDescent="0.25">
      <c r="A28" s="54">
        <f>TRUNC(A29/10)</f>
        <v>412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4125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125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2025-08-15T10:55:59Z</cp:lastPrinted>
  <dcterms:created xsi:type="dcterms:W3CDTF">1996-10-14T23:33:28Z</dcterms:created>
  <dcterms:modified xsi:type="dcterms:W3CDTF">2025-08-15T10:56:06Z</dcterms:modified>
</cp:coreProperties>
</file>