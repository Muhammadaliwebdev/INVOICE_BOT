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<sst xmlns="http://schemas.openxmlformats.org/spreadsheetml/2006/main" count="211" uniqueCount="164">
  <si>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</si>
  <si>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</si>
  <si>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</si>
  <si>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</si>
  <si>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</si>
  <si>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</si>
  <si>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</si>
  <si>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</si>
  <si>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</si>
  <si>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</si>
  <si>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</si>
  <si>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</si>
  <si>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</si>
  <si>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</si>
  <si>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</si>
  <si>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</si>
  <si>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</si>
  <si>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</si>
  <si>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</si>
  <si>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</si>
  <si>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</si>
  <si>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</si>
  <si>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</si>
  <si>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</si>
  <si>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</si>
  <si>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</si>
  <si>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</si>
  <si>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</si>
  <si>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</si>
  <si>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</si>
  <si>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</si>
  <si>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</si>
  <si>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</si>
  <si>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</si>
  <si>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</si>
  <si>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</si>
  <si>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</si>
  <si>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</si>
  <si>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</si>
  <si>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</si>
  <si>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</si>
  <si>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</si>
  <si>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</si>
  <si>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</si>
  <si>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</si>
  <si>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</si>
  <si>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</si>
  <si>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</si>
  <si>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</si>
  <si>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</si>
  <si>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</si>
  <si>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</si>
  <si>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</si>
  <si>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</si>
  <si>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</si>
  <si>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</si>
  <si>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</si>
  <si>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</si>
  <si>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</si>
  <si>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</si>
  <si>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</si>
  <si>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</si>
  <si>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</si>
  <si>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</si>
  <si>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</si>
  <si>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</si>
  <si>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</si>
  <si>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</si>
  <si>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</si>
  <si>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</si>
  <si>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</si>
  <si>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</si>
  <si>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</si>
  <si>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</si>
  <si>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</si>
  <si>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</si>
  <si>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</si>
  <si>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</si>
  <si>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</si>
  <si>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</si>
  <si>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</si>
  <si>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</si>
  <si>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</si>
  <si>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</si>
  <si>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</si>
  <si>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</si>
  <si>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</si>
  <si>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</si>
  <si>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</si>
  <si>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</si>
  <si>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</si>
  <si>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</si>
  <si>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</si>
  <si>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</si>
  <si>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</si>
  <si>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</si>
  <si>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</si>
  <si>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</si>
  <si>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</si>
  <si>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</si>
  <si>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</si>
  <si>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</si>
  <si>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</si>
  <si>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</si>
  <si>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</si>
  <si>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</si>
  <si>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</si>
  <si>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</si>
  <si>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</si>
  <si>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</si>
  <si>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</si>
  <si>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</si>
  <si>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</si>
  <si>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</si>
  <si>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</si>
  <si>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</si>
  <si>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</si>
  <si>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</si>
  <si>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</si>
  <si>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</si>
  <si>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</si>
  <si>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</si>
  <si>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</si>
  <si>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</si>
  <si>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</si>
  <si>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</si>
  <si>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</si>
  <si>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</si>
  <si>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</si>
  <si>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</si>
  <si>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</si>
  <si>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</si>
  <si>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</si>
  <si>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</si>
  <si>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</si>
  <si>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</si>
  <si>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</si>
  <si>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</si>
  <si>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</si>
  <si>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</si>
  <si>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</si>
  <si>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</si>
  <si>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</si>
  <si>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</si>
  <si>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</si>
  <si>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</si>
  <si>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</si>
  <si>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</si>
  <si>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</si>
  <si>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</si>
  <si>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</si>
  <si>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</si>
  <si>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</si>
  <si>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</si>
  <si>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</si>
  <si>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</si>
  <si>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</si>
  <si>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</si>
  <si>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</si>
  <si>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 xml:space="preserve">СПЕЦИФИКАЦИЯ № UFG-M- от 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</si>
  <si>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</si>
  <si>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UFG-M-10 от </t>
  </si>
  <si>
    <t xml:space="preserve"> 26.08.2025г.</t>
  </si>
  <si>
    <t>40302WBA/405280BA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</si>
</sst>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3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161</v>
      </c>
      <c r="D1" s="153"/>
      <c r="E1" s="153"/>
      <c r="F1" s="152" t="s">
        <v>162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152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153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148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154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150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153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148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154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150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163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930</v>
      </c>
      <c r="F30" s="115" t="s">
        <v>27</v>
      </c>
      <c r="G30" s="106">
        <v>22649</v>
      </c>
      <c r="H30" s="106">
        <v>20975</v>
      </c>
      <c r="I30" s="108">
        <v>0.25</v>
      </c>
      <c r="J30" s="13">
        <f t="shared" ref="J30" si="0">H30*I30</f>
        <v>5243.75</v>
      </c>
      <c r="K30" s="12">
        <v>0</v>
      </c>
      <c r="L30" s="12">
        <v>0</v>
      </c>
      <c r="M30" s="13">
        <f t="shared" ref="M30" si="1">J30</f>
        <v>5243.75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930</v>
      </c>
      <c r="F31" s="15"/>
      <c r="G31" s="64">
        <f>SUM(G30:G30)</f>
        <v>22649</v>
      </c>
      <c r="H31" s="64">
        <f>SUM(H30:H30)</f>
        <v>20975</v>
      </c>
      <c r="I31" s="102"/>
      <c r="J31" s="17">
        <f>SUM(J30:J30)</f>
        <v>5243.75</v>
      </c>
      <c r="K31" s="16"/>
      <c r="L31" s="16"/>
      <c r="M31" s="17">
        <f>SUM(M30:M30)</f>
        <v>5243.75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сорок три доллара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UFG-M-10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22649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40302WBA/405280BA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40302WBA/405280BA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UFG-M-10 от  26.08.2025г.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930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22649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930</v>
      </c>
      <c r="E47" s="141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A14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159</v>
      </c>
      <c r="C1" s="170"/>
      <c r="D1" s="170"/>
      <c r="E1" s="170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GR-UF-01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UCHQIZIL FRUITS EXPORT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UCHQIZIL FRUITS EXPORT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40302WBA/405280BA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.75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930</v>
      </c>
      <c r="F30" s="115" t="str">
        <f>+Инвойс!F30</f>
        <v>кг</v>
      </c>
      <c r="G30" s="106">
        <f>+Инвойс!G30</f>
        <v>22649</v>
      </c>
      <c r="H30" s="106">
        <f>+Инвойс!H30</f>
        <v>20975</v>
      </c>
      <c r="I30" s="108">
        <f>+Инвойс!I30</f>
        <v>0.25</v>
      </c>
      <c r="J30" s="13">
        <f>+Инвойс!J30</f>
        <v>5243.75</v>
      </c>
      <c r="K30" s="12">
        <v>0</v>
      </c>
      <c r="L30" s="12">
        <v>0</v>
      </c>
      <c r="M30" s="13">
        <f>+Инвойс!M30</f>
        <v>5243.75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930</v>
      </c>
      <c r="F31" s="15"/>
      <c r="G31" s="64">
        <f>SUM(G30:G30)</f>
        <v>22649</v>
      </c>
      <c r="H31" s="64">
        <f>SUM(H30:H30)</f>
        <v>20975</v>
      </c>
      <c r="I31" s="102"/>
      <c r="J31" s="17">
        <f>SUM(J30:J30)</f>
        <v>5243.75</v>
      </c>
      <c r="K31" s="16"/>
      <c r="L31" s="16"/>
      <c r="M31" s="17">
        <f>SUM(M30:M30)</f>
        <v>5243.75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двести сорок три доллара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ЭШТЕМИРОВ Х.Х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160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5243.75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сорок три доллара США,75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двести сорок три доллара США,75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сорок три доллара США,75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сорок три доллара США,75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сорок три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5243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5243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2025-08-26T18:56:38Z</cp:lastPrinted>
  <dcterms:created xsi:type="dcterms:W3CDTF">1996-10-14T23:33:28Z</dcterms:created>
  <dcterms:modified xsi:type="dcterms:W3CDTF">2025-08-26T18:56:40Z</dcterms:modified>
</cp:coreProperties>
</file>