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6037F2B-85D8-4F53-A92F-93F76B6985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<sst xmlns="http://schemas.openxmlformats.org/spreadsheetml/2006/main" count="211" uniqueCount="164">
  <si>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</si>
  <si>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</si>
  <si>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</si>
  <si>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</si>
  <si>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</si>
  <si>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</si>
  <si>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</si>
  <si>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</si>
  <si>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</si>
  <si>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</si>
  <si>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</si>
  <si>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</si>
  <si>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</si>
  <si>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</si>
  <si>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</si>
  <si>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</si>
  <si>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</si>
  <si>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</si>
  <si>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</si>
  <si>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</si>
  <si>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</si>
  <si>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</si>
  <si>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</si>
  <si>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</si>
  <si>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</si>
  <si>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</si>
  <si>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</si>
  <si>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</si>
  <si>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</si>
  <si>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</si>
  <si>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</si>
  <si>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</si>
  <si>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</si>
  <si>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</si>
  <si>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</si>
  <si>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</si>
  <si>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</si>
  <si>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</si>
  <si>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</si>
  <si>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</si>
  <si>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</si>
  <si>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</si>
  <si>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</si>
  <si>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</si>
  <si>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</si>
  <si>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</si>
  <si>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</si>
  <si>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</si>
  <si>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</si>
  <si>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</si>
  <si>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</si>
  <si>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</si>
  <si>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</si>
  <si>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</si>
  <si>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</si>
  <si>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</si>
  <si>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</si>
  <si>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</si>
  <si>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</si>
  <si>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</si>
  <si>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</si>
  <si>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</si>
  <si>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</si>
  <si>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</si>
  <si>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</si>
  <si>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</si>
  <si>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</si>
  <si>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</si>
  <si>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</si>
  <si>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</si>
  <si>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</si>
  <si>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</si>
  <si>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</si>
  <si>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</si>
  <si>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</si>
  <si>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</si>
  <si>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</si>
  <si>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</si>
  <si>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</si>
  <si>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</si>
  <si>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</si>
  <si>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</si>
  <si>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</si>
  <si>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</si>
  <si>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</si>
  <si>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</si>
  <si>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</si>
  <si>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</si>
  <si>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</si>
  <si>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</si>
  <si>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</si>
  <si>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</si>
  <si>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</si>
  <si>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</si>
  <si>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</si>
  <si>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</si>
  <si>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</si>
  <si>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</si>
  <si>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</si>
  <si>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</si>
  <si>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</si>
  <si>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</si>
  <si>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</si>
  <si>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</si>
  <si>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</si>
  <si>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</si>
  <si>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</si>
  <si>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</si>
  <si>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</si>
  <si>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</si>
  <si>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</si>
  <si>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</si>
  <si>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</si>
  <si>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</si>
  <si>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</si>
  <si>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</si>
  <si>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</si>
  <si>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</si>
  <si>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</si>
  <si>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</si>
  <si>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</si>
  <si>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</si>
  <si>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</si>
  <si>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</si>
  <si>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</si>
  <si>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</si>
  <si>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</si>
  <si>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</si>
  <si>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</si>
  <si>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</si>
  <si>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</si>
  <si>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</si>
  <si>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</si>
  <si>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</si>
  <si>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</si>
  <si>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</si>
  <si>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</si>
  <si>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</si>
  <si>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</si>
  <si>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</si>
  <si>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</si>
  <si>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</si>
  <si>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</si>
  <si>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</si>
  <si>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</si>
  <si>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</si>
  <si>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</si>
  <si>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</si>
  <si>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</si>
  <si>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</si>
  <si>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</si>
  <si>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</si>
  <si>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</si>
  <si>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</si>
  <si>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</si>
  <si>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</si>
  <si>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</si>
  <si>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</si>
  <si>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</si>
  <si>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</si>
  <si>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UFG-M-28 от </t>
  </si>
  <si>
    <t xml:space="preserve"> 29.08.2025г.</t>
  </si>
  <si>
    <t>01708MMA/019472BA</t>
  </si>
  <si>
    <t xml:space="preserve">СПЕЦИФИКАЦИЯ № UFG-M-28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</si>
</sst>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950</v>
      </c>
      <c r="F30" s="110" t="s">
        <v>27</v>
      </c>
      <c r="G30" s="106">
        <v>21850</v>
      </c>
      <c r="H30" s="106">
        <v>20140</v>
      </c>
      <c r="I30" s="108">
        <v>0.25</v>
      </c>
      <c r="J30" s="13">
        <f t="shared" ref="J30" si="0">H30*I30</f>
        <v>5035</v>
      </c>
      <c r="K30" s="12">
        <v>0</v>
      </c>
      <c r="L30" s="12">
        <v>0</v>
      </c>
      <c r="M30" s="13">
        <f t="shared" ref="M30" si="1">J30</f>
        <v>5035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21850</v>
      </c>
      <c r="H31" s="64">
        <f>SUM(H30:H30)</f>
        <v>20140</v>
      </c>
      <c r="I31" s="102"/>
      <c r="J31" s="17">
        <f>SUM(J30:J30)</f>
        <v>5035</v>
      </c>
      <c r="K31" s="16"/>
      <c r="L31" s="16"/>
      <c r="M31" s="17">
        <f>SUM(M30:M30)</f>
        <v>5035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тридцать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K41" sqref="K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29.08.2025г.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UFG-M-28 от  29.08.2025г.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21850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29.08.2025г.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01708MMA/019472BA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G24" sqref="G24:H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01708MMA/019472BA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29.08.2025г.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UFG-M-28 от  29.08.2025г.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21850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950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29.08.2025г.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01708MMA/019472BA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21850</v>
      </c>
      <c r="H30" s="106">
        <f>+Инвойс!H30</f>
        <v>20140</v>
      </c>
      <c r="I30" s="108">
        <f>+Инвойс!I30</f>
        <v>0.25</v>
      </c>
      <c r="J30" s="13">
        <f>+Инвойс!J30</f>
        <v>5035</v>
      </c>
      <c r="K30" s="12">
        <v>0</v>
      </c>
      <c r="L30" s="12">
        <v>0</v>
      </c>
      <c r="M30" s="13">
        <f>+Инвойс!M30</f>
        <v>5035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21850</v>
      </c>
      <c r="H31" s="64">
        <f>SUM(H30:H30)</f>
        <v>20140</v>
      </c>
      <c r="I31" s="102"/>
      <c r="J31" s="17">
        <f>SUM(J30:J30)</f>
        <v>5035</v>
      </c>
      <c r="K31" s="16"/>
      <c r="L31" s="16"/>
      <c r="M31" s="17">
        <f>SUM(M30:M30)</f>
        <v>5035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тридцать пять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5035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тридцать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45898</v>
      </c>
      <c r="O3" s="178"/>
      <c r="P3">
        <f ca="1">DAY(N3)</f>
        <v>29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тридцать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29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тридцать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тридцать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тридцать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45898</v>
      </c>
    </row>
    <row r="13" spans="1:19" s="43" customFormat="1" x14ac:dyDescent="0.25">
      <c r="A13" s="49"/>
      <c r="D13" s="51"/>
      <c r="E13" s="52">
        <f>TRUNC(E2)</f>
        <v>5035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503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5035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2025-08-29T08:21:00Z</cp:lastPrinted>
  <dcterms:created xsi:type="dcterms:W3CDTF">1996-10-14T23:33:28Z</dcterms:created>
  <dcterms:modified xsi:type="dcterms:W3CDTF">2025-08-29T08:21:07Z</dcterms:modified>
</cp:coreProperties>
</file>