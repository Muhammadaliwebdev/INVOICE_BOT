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<sst xmlns="http://schemas.openxmlformats.org/spreadsheetml/2006/main" count="201" uniqueCount="163">
  <si>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</si>
  <si>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</si>
  <si>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</si>
  <si>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</si>
  <si>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</si>
  <si>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</si>
  <si>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</si>
  <si>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</si>
  <si>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</si>
  <si>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</si>
  <si>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</si>
  <si>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</si>
  <si>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</si>
  <si>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</si>
  <si>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</si>
  <si>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</si>
  <si>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</si>
  <si>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</si>
  <si>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</si>
  <si>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</si>
  <si>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</si>
  <si>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</si>
  <si>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</si>
  <si>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</si>
  <si>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</si>
  <si>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</si>
  <si>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</si>
  <si>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</si>
  <si>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</si>
  <si>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</si>
  <si>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</si>
  <si>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</si>
  <si>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</si>
  <si>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</si>
  <si>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</si>
  <si>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</si>
  <si>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</si>
  <si>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</si>
  <si>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</si>
  <si>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</si>
  <si>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</si>
  <si>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</si>
  <si>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</si>
  <si>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</si>
  <si>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</si>
  <si>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</si>
  <si>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</si>
  <si>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</si>
  <si>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</si>
  <si>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</si>
  <si>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</si>
  <si>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</si>
  <si>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</si>
  <si>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</si>
  <si>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</si>
  <si>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</si>
  <si>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</si>
  <si>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</si>
  <si>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</si>
  <si>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</si>
  <si>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</si>
  <si>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</si>
  <si>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</si>
  <si>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</si>
  <si>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</si>
  <si>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</si>
  <si>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</si>
  <si>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</si>
  <si>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</si>
  <si>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</si>
  <si>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</si>
  <si>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</si>
  <si>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</si>
  <si>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</si>
  <si>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</si>
  <si>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</si>
  <si>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</si>
  <si>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</si>
  <si>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</si>
  <si>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</si>
  <si>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</si>
  <si>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</si>
  <si>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</si>
  <si>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</si>
  <si>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</si>
  <si>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</si>
  <si>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</si>
  <si>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</si>
  <si>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</si>
  <si>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</si>
  <si>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</si>
  <si>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</si>
  <si>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</si>
  <si>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</si>
  <si>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</si>
  <si>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</si>
  <si>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</si>
  <si>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</si>
  <si>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</si>
  <si>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</si>
  <si>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</si>
  <si>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</si>
  <si>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</si>
  <si>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</si>
  <si>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</si>
  <si>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</si>
  <si>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</si>
  <si>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</si>
  <si>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</si>
  <si>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</si>
  <si>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</si>
  <si>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</si>
  <si>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</si>
  <si>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</si>
  <si>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</si>
  <si>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</si>
  <si>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</si>
  <si>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</si>
  <si>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</si>
  <si>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</si>
  <si>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</si>
  <si>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</si>
  <si>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</si>
  <si>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</si>
  <si>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</si>
  <si>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</si>
  <si>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</si>
  <si>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</si>
  <si>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</si>
  <si>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</si>
  <si>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</si>
  <si>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</si>
  <si>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</si>
  <si>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</si>
  <si>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</si>
  <si>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</si>
  <si>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</si>
  <si>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</si>
  <si>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</si>
  <si>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</si>
  <si>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</si>
  <si>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</si>
  <si>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</si>
  <si>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</si>
  <si>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</si>
  <si>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</si>
  <si>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</si>
  <si>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</si>
  <si>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</si>
  <si>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</si>
  <si>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</si>
  <si>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</si>
  <si>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</si>
  <si>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</si>
  <si>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</si>
  <si>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</si>
  <si>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</si>
  <si>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</si>
  <si>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10.08.2025г.</t>
  </si>
  <si>
    <t xml:space="preserve">ИНВОЙС № BEZ-F-35 от </t>
  </si>
  <si>
    <t xml:space="preserve">СПЕЦИФИКАЦИЯ № BEZ-F-35 от </t>
  </si>
  <si>
    <t>75L818KA/757985AA</t>
  </si>
  <si>
    <t>DAP - с Акжигит , Республика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</si>
</sst>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xmlns="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xmlns="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1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0" t="s">
        <v>159</v>
      </c>
      <c r="D1" s="150"/>
      <c r="E1" s="150"/>
      <c r="F1" s="149" t="s">
        <v>158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6" t="s">
        <v>137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6" x14ac:dyDescent="0.3">
      <c r="A24" s="20" t="s">
        <v>22</v>
      </c>
      <c r="C24" s="18" t="s">
        <v>162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">
        <v>161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7.6" x14ac:dyDescent="0.25">
      <c r="A30" s="127">
        <v>1</v>
      </c>
      <c r="B30" s="101" t="s">
        <v>133</v>
      </c>
      <c r="C30" s="107" t="s">
        <v>132</v>
      </c>
      <c r="D30" s="109" t="s">
        <v>112</v>
      </c>
      <c r="E30" s="101">
        <v>2740</v>
      </c>
      <c r="F30" s="110" t="s">
        <v>27</v>
      </c>
      <c r="G30" s="106">
        <v>22723</v>
      </c>
      <c r="H30" s="106">
        <v>20805</v>
      </c>
      <c r="I30" s="108">
        <v>1</v>
      </c>
      <c r="J30" s="13">
        <f t="shared" ref="J30" si="0">H30*I30</f>
        <v>20805</v>
      </c>
      <c r="K30" s="12">
        <v>0</v>
      </c>
      <c r="L30" s="12">
        <v>0</v>
      </c>
      <c r="M30" s="13">
        <f t="shared" ref="M30" si="1">J30</f>
        <v>20805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2740</v>
      </c>
      <c r="F31" s="15"/>
      <c r="G31" s="64">
        <f>SUM(G30:G30)</f>
        <v>22723</v>
      </c>
      <c r="H31" s="64">
        <f>SUM(H30:H30)</f>
        <v>20805</v>
      </c>
      <c r="I31" s="102"/>
      <c r="J31" s="17">
        <f>SUM(J30:J30)</f>
        <v>20805</v>
      </c>
      <c r="K31" s="16"/>
      <c r="L31" s="16"/>
      <c r="M31" s="17">
        <f>SUM(M30:M30)</f>
        <v>20805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Двадцать тысяч восемьсот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4" zoomScaleNormal="100" workbookViewId="0">
      <selection activeCell="B25" sqref="B25:D25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113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BEZ-F-35 от  10.08.2025г.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2740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22723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10.08.2025г.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75L818KA/757985AA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zoomScale="70" zoomScaleNormal="70" workbookViewId="0">
      <selection activeCell="D47" sqref="D47:E4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5" t="s">
        <v>96</v>
      </c>
      <c r="C2" s="16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6" t="str">
        <f>+Инвойс!E26</f>
        <v>75L818KA/757985AA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BEZ-F-35 от  10.08.2025г.</v>
      </c>
      <c r="I15" s="168"/>
      <c r="J15" s="16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2740</v>
      </c>
      <c r="G18" s="160" t="str">
        <f>+CMR!F30</f>
        <v>Виноград свежий столовых сортов</v>
      </c>
      <c r="H18" s="160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58" t="str">
        <f>+Инвойс!C30</f>
        <v>0806101001</v>
      </c>
      <c r="H19" s="159"/>
      <c r="I19" s="122" t="s">
        <v>103</v>
      </c>
      <c r="J19" s="120">
        <f>+Инвойс!G30</f>
        <v>22723</v>
      </c>
    </row>
    <row r="20" spans="2:10" ht="13.5" customHeight="1" x14ac:dyDescent="0.3">
      <c r="B20" s="83"/>
      <c r="E20" s="123"/>
      <c r="F20" s="118"/>
      <c r="G20" s="160"/>
      <c r="H20" s="160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0"/>
      <c r="H22" s="160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0"/>
      <c r="H24" s="160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0"/>
      <c r="H26" s="160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0"/>
      <c r="H28" s="160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0"/>
      <c r="H30" s="160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0"/>
      <c r="H32" s="160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0"/>
      <c r="H34" s="160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0"/>
      <c r="H36" s="160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0"/>
      <c r="H38" s="160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0"/>
      <c r="H42" s="160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2"/>
      <c r="H44" s="162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3">
        <f>+F18+F20+F22+F24+F26+F28+F30+F32+F34+F36+F38+F40+F42</f>
        <v>2740</v>
      </c>
      <c r="E47" s="164"/>
    </row>
    <row r="48" spans="2:10" ht="17.25" customHeight="1" x14ac:dyDescent="0.3">
      <c r="B48" s="161" t="s">
        <v>105</v>
      </c>
      <c r="C48" s="161"/>
      <c r="D48" s="161"/>
      <c r="E48" s="161"/>
    </row>
    <row r="49" spans="2:5" ht="21.75" customHeight="1" x14ac:dyDescent="0.3">
      <c r="B49" s="161"/>
      <c r="C49" s="161"/>
      <c r="D49" s="161"/>
      <c r="E49" s="161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9" t="s">
        <v>160</v>
      </c>
      <c r="C1" s="169"/>
      <c r="D1" s="169"/>
      <c r="E1" s="169"/>
      <c r="F1" s="149" t="str">
        <f>+Инвойс!F1</f>
        <v xml:space="preserve"> 10.08.2025г.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3.8" x14ac:dyDescent="0.25">
      <c r="A6" s="172" t="str">
        <f>+Инвойс!A6</f>
        <v>Республика Узбекистан, Джизакская область,</v>
      </c>
      <c r="B6" s="172"/>
      <c r="C6" s="172"/>
      <c r="D6" s="172"/>
      <c r="E6" s="172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2" t="str">
        <f>+Инвойс!A7</f>
        <v>Шароф Рашидовский район, Токчилик МФЙ, ул Мустакиллик дом 92а</v>
      </c>
      <c r="B7" s="172"/>
      <c r="C7" s="172"/>
      <c r="D7" s="172"/>
      <c r="E7" s="172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2" t="str">
        <f>+Инвойс!A8</f>
        <v>Р/с N 20208840905433267001   (USD)</v>
      </c>
      <c r="B8" s="172"/>
      <c r="C8" s="172"/>
      <c r="D8" s="172"/>
      <c r="E8" s="172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3.8" x14ac:dyDescent="0.25">
      <c r="A9" s="172" t="str">
        <f>+Инвойс!A9</f>
        <v xml:space="preserve">в “Узсаноаткурилиш” Банк операционный </v>
      </c>
      <c r="B9" s="172"/>
      <c r="C9" s="172"/>
      <c r="D9" s="172"/>
      <c r="E9" s="172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2" t="str">
        <f>+Инвойс!A10</f>
        <v>МФО 00440</v>
      </c>
      <c r="B10" s="172"/>
      <c r="C10" s="172"/>
      <c r="D10" s="172"/>
      <c r="E10" s="172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3.8" x14ac:dyDescent="0.25">
      <c r="A11" s="172" t="str">
        <f>+Инвойс!A11</f>
        <v>ИНН: 308822933</v>
      </c>
      <c r="B11" s="172"/>
      <c r="C11" s="172"/>
      <c r="D11" s="172"/>
      <c r="E11" s="172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72" t="str">
        <f>+Инвойс!A15</f>
        <v>Республика Узбекистан, Джизакская область,</v>
      </c>
      <c r="B15" s="172"/>
      <c r="C15" s="172"/>
      <c r="D15" s="172"/>
      <c r="E15" s="172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3.8" x14ac:dyDescent="0.25">
      <c r="A16" s="172" t="str">
        <f>+Инвойс!A16</f>
        <v>Шароф Рашидовский район, Токчилик МФЙ, ул Мустакиллик дом 92а</v>
      </c>
      <c r="B16" s="172"/>
      <c r="C16" s="172"/>
      <c r="D16" s="172"/>
      <c r="E16" s="172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2" t="str">
        <f>+Инвойс!A17</f>
        <v>Р/с N 20208840905433267001   (USD)</v>
      </c>
      <c r="B17" s="172"/>
      <c r="C17" s="172"/>
      <c r="D17" s="172"/>
      <c r="E17" s="172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3.8" x14ac:dyDescent="0.25">
      <c r="A18" s="172" t="str">
        <f>+Инвойс!A18</f>
        <v xml:space="preserve">в “Узсаноаткурилиш” Банк операционный </v>
      </c>
      <c r="B18" s="172"/>
      <c r="C18" s="172"/>
      <c r="D18" s="172"/>
      <c r="E18" s="172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3.8" x14ac:dyDescent="0.25">
      <c r="A19" s="172" t="str">
        <f>+Инвойс!A19</f>
        <v>МФО 00440</v>
      </c>
      <c r="B19" s="172"/>
      <c r="C19" s="172"/>
      <c r="D19" s="172"/>
      <c r="E19" s="172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3.8" x14ac:dyDescent="0.25">
      <c r="A20" s="172" t="str">
        <f>+Инвойс!A20</f>
        <v>ИНН: 308822933</v>
      </c>
      <c r="B20" s="172"/>
      <c r="C20" s="172"/>
      <c r="D20" s="172"/>
      <c r="E20" s="172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135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tr">
        <f>+Инвойс!E26</f>
        <v>75L818KA/757985AA</v>
      </c>
      <c r="F26" s="138"/>
      <c r="G26" s="138"/>
      <c r="J26" s="21"/>
    </row>
    <row r="27" spans="1:17" ht="34.5" customHeight="1" x14ac:dyDescent="0.25">
      <c r="A27" s="67" t="s">
        <v>136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7.6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2740</v>
      </c>
      <c r="F30" s="116" t="str">
        <f>+Инвойс!F30</f>
        <v>кг</v>
      </c>
      <c r="G30" s="106">
        <f>+Инвойс!G30</f>
        <v>22723</v>
      </c>
      <c r="H30" s="106">
        <f>+Инвойс!H30</f>
        <v>20805</v>
      </c>
      <c r="I30" s="108">
        <f>+Инвойс!I30</f>
        <v>1</v>
      </c>
      <c r="J30" s="13">
        <f>+Инвойс!J30</f>
        <v>20805</v>
      </c>
      <c r="K30" s="12">
        <v>0</v>
      </c>
      <c r="L30" s="12">
        <v>0</v>
      </c>
      <c r="M30" s="13">
        <f>+Инвойс!M30</f>
        <v>20805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2740</v>
      </c>
      <c r="F31" s="15"/>
      <c r="G31" s="64">
        <f>SUM(G30:G30)</f>
        <v>22723</v>
      </c>
      <c r="H31" s="64">
        <f>SUM(H30:H30)</f>
        <v>20805</v>
      </c>
      <c r="I31" s="102"/>
      <c r="J31" s="17">
        <f>SUM(J30:J30)</f>
        <v>20805</v>
      </c>
      <c r="K31" s="16"/>
      <c r="L31" s="16"/>
      <c r="M31" s="17">
        <f>SUM(M30:M30)</f>
        <v>20805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Двадцать тысяч восемьсот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7" sqref="A7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20805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тысяч восемьсот пять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45879</v>
      </c>
      <c r="O3" s="176"/>
      <c r="P3">
        <f ca="1">DAY(N3)</f>
        <v>10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Двадцать тысяч восемьсот пять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10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тысяч восемьсот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тысяч восемьсот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восемьсот пять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45879</v>
      </c>
    </row>
    <row r="13" spans="1:19" s="43" customFormat="1" x14ac:dyDescent="0.25">
      <c r="A13" s="49"/>
      <c r="D13" s="51"/>
      <c r="E13" s="52">
        <f>TRUNC(E2)</f>
        <v>20805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208</v>
      </c>
      <c r="B27" s="47">
        <f>TRUNC(RIGHT(A27))</f>
        <v>8</v>
      </c>
      <c r="C27" s="51">
        <f>B27</f>
        <v>8</v>
      </c>
      <c r="E27" s="55" t="str">
        <f>IF(B27=1,E43,IF(B27=2,G35,IF(B27=3,G36,IF(B27=4,G37,IF(B27=5,G38,IF(B27=6,G39,IF(B27=7,G40,IF(B27=8,G41,G42))))))))</f>
        <v xml:space="preserve">восемьсот </v>
      </c>
    </row>
    <row r="28" spans="1:9" s="43" customFormat="1" x14ac:dyDescent="0.25">
      <c r="A28" s="54">
        <f>TRUNC(A29/10)</f>
        <v>2080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20805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805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2025-08-10T13:58:44Z</cp:lastPrinted>
  <dcterms:created xsi:type="dcterms:W3CDTF">1996-10-14T23:33:28Z</dcterms:created>
  <dcterms:modified xsi:type="dcterms:W3CDTF">2025-08-10T13:58:46Z</dcterms:modified>
</cp:coreProperties>
</file>