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E806E4-2F1D-4CB0-85D1-34D44199D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<sst xmlns="http://schemas.openxmlformats.org/spreadsheetml/2006/main" count="211" uniqueCount="164">
  <si>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</si>
  <si>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</si>
  <si>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</si>
  <si>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</si>
  <si>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</si>
  <si>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</si>
  <si>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</si>
  <si>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</si>
  <si>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</si>
  <si>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</si>
  <si>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</si>
  <si>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</si>
  <si>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</si>
  <si>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</si>
  <si>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</si>
  <si>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</si>
  <si>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</si>
  <si>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</si>
  <si>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</si>
  <si>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</si>
  <si>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</si>
  <si>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</si>
  <si>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</si>
  <si>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</si>
  <si>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</si>
  <si>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</si>
  <si>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</si>
  <si>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</si>
  <si>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</si>
  <si>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</si>
  <si>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</si>
  <si>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</si>
  <si>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</si>
  <si>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</si>
  <si>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</si>
  <si>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</si>
  <si>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</si>
  <si>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</si>
  <si>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</si>
  <si>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</si>
  <si>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</si>
  <si>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</si>
  <si>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</si>
  <si>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</si>
  <si>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</si>
  <si>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</si>
  <si>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</si>
  <si>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</si>
  <si>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</si>
  <si>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</si>
  <si>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</si>
  <si>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</si>
  <si>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</si>
  <si>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</si>
  <si>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</si>
  <si>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</si>
  <si>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</si>
  <si>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</si>
  <si>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</si>
  <si>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</si>
  <si>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</si>
  <si>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</si>
  <si>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</si>
  <si>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</si>
  <si>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</si>
  <si>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</si>
  <si>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</si>
  <si>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</si>
  <si>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</si>
  <si>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</si>
  <si>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</si>
  <si>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</si>
  <si>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</si>
  <si>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</si>
  <si>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</si>
  <si>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</si>
  <si>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</si>
  <si>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</si>
  <si>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</si>
  <si>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</si>
  <si>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</si>
  <si>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</si>
  <si>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</si>
  <si>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</si>
  <si>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</si>
  <si>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</si>
  <si>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</si>
  <si>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</si>
  <si>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</si>
  <si>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</si>
  <si>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</si>
  <si>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</si>
  <si>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</si>
  <si>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</si>
  <si>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</si>
  <si>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</si>
  <si>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</si>
  <si>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</si>
  <si>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</si>
  <si>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</si>
  <si>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</si>
  <si>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</si>
  <si>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</si>
  <si>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</si>
  <si>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</si>
  <si>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</si>
  <si>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</si>
  <si>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</si>
  <si>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</si>
  <si>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</si>
  <si>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</si>
  <si>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</si>
  <si>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</si>
  <si>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</si>
  <si>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</si>
  <si>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</si>
  <si>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</si>
  <si>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</si>
  <si>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</si>
  <si>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</si>
  <si>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</si>
  <si>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</si>
  <si>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</si>
  <si>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</si>
  <si>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</si>
  <si>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</si>
  <si>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</si>
  <si>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</si>
  <si>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</si>
  <si>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</si>
  <si>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</si>
  <si>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</si>
  <si>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</si>
  <si>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</si>
  <si>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</si>
  <si>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</si>
  <si>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</si>
  <si>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</si>
  <si>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</si>
  <si>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</si>
  <si>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</si>
  <si>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</si>
  <si>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</si>
  <si>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</si>
  <si>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</si>
  <si>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</si>
  <si>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</si>
  <si>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</si>
  <si>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</si>
  <si>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</si>
  <si>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</si>
  <si>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</si>
  <si>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</si>
  <si>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</si>
  <si>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</si>
  <si>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</si>
  <si>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</si>
  <si>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</si>
  <si>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</si>
  <si>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</si>
  <si>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EXG-F-23 от </t>
  </si>
  <si>
    <t xml:space="preserve"> 30.08.2025г.</t>
  </si>
  <si>
    <t>30474LBA/014913BA</t>
  </si>
  <si>
    <t xml:space="preserve">СПЕЦИФИКАЦИЯ № EXG-F-23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</si>
</sst>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149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150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151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149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150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151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980</v>
      </c>
      <c r="F30" s="110" t="s">
        <v>27</v>
      </c>
      <c r="G30" s="106">
        <v>23500</v>
      </c>
      <c r="H30" s="106">
        <v>21736</v>
      </c>
      <c r="I30" s="108">
        <v>0.25</v>
      </c>
      <c r="J30" s="13">
        <f t="shared" ref="J30" si="0">H30*I30</f>
        <v>5434</v>
      </c>
      <c r="K30" s="12">
        <v>0</v>
      </c>
      <c r="L30" s="12">
        <v>0</v>
      </c>
      <c r="M30" s="13">
        <f t="shared" ref="M30" si="1">J30</f>
        <v>5434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5434</v>
      </c>
      <c r="K31" s="16"/>
      <c r="L31" s="16"/>
      <c r="M31" s="17">
        <f>SUM(M30:M30)</f>
        <v>5434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четыреста тридцать четыре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K31" sqref="K3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EXG-F-23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30474LBA/014913BA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4" sqref="G24:H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30474LBA/014913BA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EXG-F-23 от  30.08.2025г.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980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C35" sqref="C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30.08.2025г.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30474LBA/014913BA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3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23500</v>
      </c>
      <c r="H30" s="106">
        <f>+Инвойс!H30</f>
        <v>21736</v>
      </c>
      <c r="I30" s="108">
        <f>+Инвойс!I30</f>
        <v>0.25</v>
      </c>
      <c r="J30" s="13">
        <f>+Инвойс!J30</f>
        <v>5434</v>
      </c>
      <c r="K30" s="12">
        <v>0</v>
      </c>
      <c r="L30" s="12">
        <v>0</v>
      </c>
      <c r="M30" s="13">
        <f>+Инвойс!M30</f>
        <v>5434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5434</v>
      </c>
      <c r="K31" s="16"/>
      <c r="L31" s="16"/>
      <c r="M31" s="17">
        <f>SUM(M30:M30)</f>
        <v>5434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четыреста тридцать четыре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5434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тридцать четыре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четыреста тридцать четыре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тридцать четыре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тридцать четыре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четыреста тридцать четыре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5434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5434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434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2025-08-30T13:52:18Z</cp:lastPrinted>
  <dcterms:created xsi:type="dcterms:W3CDTF">1996-10-14T23:33:28Z</dcterms:created>
  <dcterms:modified xsi:type="dcterms:W3CDTF">2025-08-30T13:52:24Z</dcterms:modified>
</cp:coreProperties>
</file>