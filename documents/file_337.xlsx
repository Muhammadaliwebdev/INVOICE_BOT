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7B4927F-9ABE-4241-A96D-659EB06F24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<sst xmlns="http://schemas.openxmlformats.org/spreadsheetml/2006/main" count="209" uniqueCount="163">
  <si>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</si>
  <si>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</si>
  <si>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</si>
  <si>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</si>
  <si>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</si>
  <si>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</si>
  <si>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</si>
  <si>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</si>
  <si>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</si>
  <si>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</si>
  <si>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</si>
  <si>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</si>
  <si>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</si>
  <si>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</si>
  <si>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</si>
  <si>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</si>
  <si>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</si>
  <si>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</si>
  <si>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</si>
  <si>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</si>
  <si>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</si>
  <si>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</si>
  <si>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</si>
  <si>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</si>
  <si>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</si>
  <si>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</si>
  <si>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</si>
  <si>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</si>
  <si>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</si>
  <si>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</si>
  <si>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</si>
  <si>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</si>
  <si>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</si>
  <si>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</si>
  <si>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</si>
  <si>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</si>
  <si>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</si>
  <si>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</si>
  <si>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</si>
  <si>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</si>
  <si>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</si>
  <si>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</si>
  <si>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</si>
  <si>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</si>
  <si>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</si>
  <si>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</si>
  <si>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</si>
  <si>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</si>
  <si>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</si>
  <si>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</si>
  <si>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</si>
  <si>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</si>
  <si>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</si>
  <si>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</si>
  <si>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</si>
  <si>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</si>
  <si>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</si>
  <si>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</si>
  <si>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</si>
  <si>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</si>
  <si>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</si>
  <si>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</si>
  <si>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</si>
  <si>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</si>
  <si>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</si>
  <si>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</si>
  <si>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</si>
  <si>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</si>
  <si>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</si>
  <si>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</si>
  <si>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</si>
  <si>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</si>
  <si>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</si>
  <si>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</si>
  <si>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</si>
  <si>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</si>
  <si>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</si>
  <si>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</si>
  <si>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</si>
  <si>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</si>
  <si>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</si>
  <si>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</si>
  <si>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</si>
  <si>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</si>
  <si>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</si>
  <si>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</si>
  <si>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</si>
  <si>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</si>
  <si>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</si>
  <si>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</si>
  <si>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</si>
  <si>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</si>
  <si>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</si>
  <si>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</si>
  <si>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</si>
  <si>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</si>
  <si>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</si>
  <si>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</si>
  <si>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</si>
  <si>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</si>
  <si>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</si>
  <si>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</si>
  <si>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</si>
  <si>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</si>
  <si>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</si>
  <si>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</si>
  <si>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</si>
  <si>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</si>
  <si>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</si>
  <si>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</si>
  <si>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</si>
  <si>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</si>
  <si>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</si>
  <si>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</si>
  <si>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</si>
  <si>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</si>
  <si>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</si>
  <si>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</si>
  <si>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</si>
  <si>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</si>
  <si>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</si>
  <si>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</si>
  <si>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</si>
  <si>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</si>
  <si>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</si>
  <si>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</si>
  <si>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</si>
  <si>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</si>
  <si>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</si>
  <si>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</si>
  <si>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</si>
  <si>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</si>
  <si>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</si>
  <si>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</si>
  <si>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</si>
  <si>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</si>
  <si>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</si>
  <si>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</si>
  <si>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</si>
  <si>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</si>
  <si>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</si>
  <si>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</si>
  <si>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</si>
  <si>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</si>
  <si>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</si>
  <si>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</si>
  <si>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</si>
  <si>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</si>
  <si>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</si>
  <si>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</si>
  <si>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</si>
  <si>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</si>
  <si>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</si>
  <si>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</si>
  <si>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</si>
  <si>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</si>
  <si>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</si>
  <si>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</si>
  <si>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</si>
  <si>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GWG-A-3 от </t>
  </si>
  <si>
    <t xml:space="preserve"> 01.09.2025г.</t>
  </si>
  <si>
    <t>90X639XA/905278BA</t>
  </si>
  <si>
    <t xml:space="preserve">СПЕЦИФИКАЦИЯ № GWG-A-3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</si>
</sst>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148</v>
      </c>
      <c r="B5" s="154"/>
      <c r="C5" s="154"/>
      <c r="D5" s="154"/>
      <c r="E5" s="154"/>
      <c r="F5" s="6"/>
      <c r="G5" s="147" t="s">
        <v>130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2" t="s">
        <v>131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2" t="s">
        <v>132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137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148</v>
      </c>
      <c r="B14" s="154"/>
      <c r="C14" s="154"/>
      <c r="D14" s="154"/>
      <c r="E14" s="154"/>
      <c r="F14" s="6"/>
      <c r="G14" s="147" t="s">
        <v>130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2" t="s">
        <v>131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2" t="s">
        <v>132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137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126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146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161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920</v>
      </c>
      <c r="F30" s="110" t="s">
        <v>27</v>
      </c>
      <c r="G30" s="106">
        <v>22500</v>
      </c>
      <c r="H30" s="106">
        <v>20844</v>
      </c>
      <c r="I30" s="108">
        <v>0.25</v>
      </c>
      <c r="J30" s="13">
        <f t="shared" ref="J30" si="0">H30*I30</f>
        <v>5211</v>
      </c>
      <c r="K30" s="12">
        <v>0</v>
      </c>
      <c r="L30" s="12">
        <v>0</v>
      </c>
      <c r="M30" s="13">
        <f t="shared" ref="M30" si="1">J30</f>
        <v>5211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22500</v>
      </c>
      <c r="H31" s="64">
        <f>SUM(H30:H30)</f>
        <v>20844</v>
      </c>
      <c r="I31" s="102"/>
      <c r="J31" s="17">
        <f>SUM(J30:J30)</f>
        <v>5211</v>
      </c>
      <c r="K31" s="16"/>
      <c r="L31" s="16"/>
      <c r="M31" s="17">
        <f>SUM(M30:M30)</f>
        <v>5211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одиннадцать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G36" sqref="G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GWG-A-3 от  01.09.2025г.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01.09.2025г.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90X639XA/905278BA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9" zoomScaleNormal="100" workbookViewId="0">
      <selection activeCell="G24" sqref="G24:H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90X639XA/905278BA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GWG-A-3 от  01.09.2025г.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920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 xml:space="preserve"> 01.09.2025г.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">
        <v>146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90X639XA/905278BA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8.2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22500</v>
      </c>
      <c r="H30" s="106">
        <f>+Инвойс!H30</f>
        <v>20844</v>
      </c>
      <c r="I30" s="108">
        <f>+Инвойс!I30</f>
        <v>0.25</v>
      </c>
      <c r="J30" s="13">
        <f>+Инвойс!J30</f>
        <v>5211</v>
      </c>
      <c r="K30" s="12">
        <v>0</v>
      </c>
      <c r="L30" s="12">
        <v>0</v>
      </c>
      <c r="M30" s="13">
        <f>+Инвойс!M30</f>
        <v>5211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22500</v>
      </c>
      <c r="H31" s="64">
        <f>SUM(H30:H30)</f>
        <v>20844</v>
      </c>
      <c r="I31" s="102"/>
      <c r="J31" s="17">
        <f>SUM(J30:J30)</f>
        <v>5211</v>
      </c>
      <c r="K31" s="16"/>
      <c r="L31" s="16"/>
      <c r="M31" s="17">
        <f>SUM(M30:M30)</f>
        <v>5211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одиннадцать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8" zoomScale="115" zoomScaleNormal="115" workbookViewId="0">
      <selection activeCell="E12" sqref="E12:F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5211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одиннадцать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45901</v>
      </c>
      <c r="O3" s="178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одиннадцать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1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одиннадцать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одиннадцать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одиннадцать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5211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5211</v>
      </c>
      <c r="B29" s="47">
        <f>TRUNC(RIGHT(A29))</f>
        <v>1</v>
      </c>
      <c r="C29" s="51">
        <f>IF(B28=1,B29+10,IF(B29=0,0,B29))</f>
        <v>11</v>
      </c>
      <c r="D29" s="43" t="str">
        <f>IF(AND(C29&gt;9,C29&lt;16),IF(C29=10,D34,IF(C29=11,D35,IF(C29=12,D36,IF(C29=13,D37,IF(C29=14,D38,IF(C29=15,D39,)))))),"")</f>
        <v xml:space="preserve">одиннадцать </v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211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2025-09-01T06:04:33Z</cp:lastPrinted>
  <dcterms:created xsi:type="dcterms:W3CDTF">1996-10-14T23:33:28Z</dcterms:created>
  <dcterms:modified xsi:type="dcterms:W3CDTF">2025-09-01T06:04:35Z</dcterms:modified>
</cp:coreProperties>
</file>