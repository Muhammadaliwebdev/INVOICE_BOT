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BC69972-F92F-4727-99A4-7BEDAB09D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<sst xmlns="http://schemas.openxmlformats.org/spreadsheetml/2006/main" count="201" uniqueCount="163">
  <si>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</si>
  <si>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</si>
  <si>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</si>
  <si>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</si>
  <si>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</si>
  <si>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</si>
  <si>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</si>
  <si>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</si>
  <si>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</si>
  <si>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</si>
  <si>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</si>
  <si>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</si>
  <si>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</si>
  <si>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</si>
  <si>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</si>
  <si>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</si>
  <si>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</si>
  <si>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</si>
  <si>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</si>
  <si>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</si>
  <si>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</si>
  <si>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</si>
  <si>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</si>
  <si>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</si>
  <si>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</si>
  <si>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</si>
  <si>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</si>
  <si>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</si>
  <si>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</si>
  <si>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</si>
  <si>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</si>
  <si>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</si>
  <si>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</si>
  <si>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</si>
  <si>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</si>
  <si>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</si>
  <si>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</si>
  <si>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</si>
  <si>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</si>
  <si>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</si>
  <si>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</si>
  <si>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</si>
  <si>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</si>
  <si>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</si>
  <si>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</si>
  <si>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</si>
  <si>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</si>
  <si>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</si>
  <si>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</si>
  <si>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</si>
  <si>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</si>
  <si>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</si>
  <si>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</si>
  <si>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</si>
  <si>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</si>
  <si>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</si>
  <si>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</si>
  <si>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</si>
  <si>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</si>
  <si>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</si>
  <si>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</si>
  <si>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</si>
  <si>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</si>
  <si>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</si>
  <si>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</si>
  <si>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</si>
  <si>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</si>
  <si>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</si>
  <si>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</si>
  <si>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</si>
  <si>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</si>
  <si>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</si>
  <si>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</si>
  <si>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</si>
  <si>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</si>
  <si>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</si>
  <si>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</si>
  <si>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</si>
  <si>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</si>
  <si>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</si>
  <si>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</si>
  <si>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</si>
  <si>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</si>
  <si>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</si>
  <si>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</si>
  <si>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</si>
  <si>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</si>
  <si>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</si>
  <si>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</si>
  <si>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</si>
  <si>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</si>
  <si>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</si>
  <si>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</si>
  <si>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</si>
  <si>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</si>
  <si>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</si>
  <si>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</si>
  <si>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</si>
  <si>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</si>
  <si>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</si>
  <si>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</si>
  <si>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</si>
  <si>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</si>
  <si>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</si>
  <si>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</si>
  <si>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</si>
  <si>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</si>
  <si>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</si>
  <si>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</si>
  <si>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</si>
  <si>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</si>
  <si>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</si>
  <si>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</si>
  <si>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</si>
  <si>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</si>
  <si>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</si>
  <si>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</si>
  <si>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</si>
  <si>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</si>
  <si>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</si>
  <si>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</si>
  <si>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</si>
  <si>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</si>
  <si>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</si>
  <si>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</si>
  <si>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</si>
  <si>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</si>
  <si>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</si>
  <si>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</si>
  <si>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</si>
  <si>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</si>
  <si>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</si>
  <si>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</si>
  <si>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</si>
  <si>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</si>
  <si>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</si>
  <si>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</si>
  <si>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</si>
  <si>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</si>
  <si>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</si>
  <si>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</si>
  <si>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</si>
  <si>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</si>
  <si>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</si>
  <si>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</si>
  <si>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</si>
  <si>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</si>
  <si>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</si>
  <si>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</si>
  <si>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</si>
  <si>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</si>
  <si>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</si>
  <si>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</si>
  <si>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</si>
  <si>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</si>
  <si>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</si>
  <si>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</si>
  <si>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BEZ-A-79 от </t>
  </si>
  <si>
    <t xml:space="preserve"> 12.08.2025г.</t>
  </si>
  <si>
    <t>DAP - с Амандык , Республика Казахстан</t>
  </si>
  <si>
    <t>70266SAA/701190AA</t>
  </si>
  <si>
    <t xml:space="preserve">СПЕЦИФИКАЦИЯ № BEZ-A-79 от 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</si>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</sst>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157</v>
      </c>
      <c r="D1" s="132"/>
      <c r="E1" s="132"/>
      <c r="F1" s="131" t="s">
        <v>158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147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148</v>
      </c>
      <c r="B5" s="133"/>
      <c r="C5" s="133"/>
      <c r="D5" s="133"/>
      <c r="E5" s="133"/>
      <c r="F5" s="6"/>
      <c r="G5" s="135" t="s">
        <v>137</v>
      </c>
      <c r="H5" s="135"/>
      <c r="I5" s="135"/>
      <c r="J5" s="135"/>
      <c r="K5" s="135"/>
      <c r="L5" s="135"/>
      <c r="M5" s="135"/>
    </row>
    <row r="6" spans="1:15" ht="13.8" x14ac:dyDescent="0.25">
      <c r="A6" s="124" t="s">
        <v>149</v>
      </c>
      <c r="B6" s="124"/>
      <c r="C6" s="124"/>
      <c r="D6" s="124"/>
      <c r="E6" s="124"/>
      <c r="F6" s="7"/>
      <c r="G6" s="137" t="s">
        <v>138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4" t="s">
        <v>150</v>
      </c>
      <c r="B7" s="124"/>
      <c r="C7" s="124"/>
      <c r="D7" s="124"/>
      <c r="E7" s="124"/>
      <c r="F7" s="63"/>
      <c r="G7" s="137" t="s">
        <v>139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153</v>
      </c>
      <c r="B10" s="124"/>
      <c r="C10" s="124"/>
      <c r="D10" s="124"/>
      <c r="E10" s="124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">
        <v>148</v>
      </c>
      <c r="B14" s="133"/>
      <c r="C14" s="133"/>
      <c r="D14" s="133"/>
      <c r="E14" s="133"/>
      <c r="F14" s="6"/>
      <c r="G14" s="135" t="s">
        <v>124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4" t="s">
        <v>149</v>
      </c>
      <c r="B15" s="124"/>
      <c r="C15" s="124"/>
      <c r="D15" s="124"/>
      <c r="E15" s="124"/>
      <c r="F15" s="7"/>
      <c r="G15" s="137" t="s">
        <v>125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150</v>
      </c>
      <c r="B16" s="124"/>
      <c r="C16" s="124"/>
      <c r="D16" s="124"/>
      <c r="E16" s="124"/>
      <c r="F16" s="63"/>
      <c r="G16" s="137" t="s">
        <v>126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153</v>
      </c>
      <c r="B19" s="124"/>
      <c r="C19" s="124"/>
      <c r="D19" s="124"/>
      <c r="E19" s="124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122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160</v>
      </c>
      <c r="F26" s="152"/>
      <c r="G26" s="152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6">
        <v>1</v>
      </c>
      <c r="B30" s="101" t="s">
        <v>132</v>
      </c>
      <c r="C30" s="107" t="s">
        <v>131</v>
      </c>
      <c r="D30" s="109" t="s">
        <v>111</v>
      </c>
      <c r="E30" s="101">
        <v>2678</v>
      </c>
      <c r="F30" s="115" t="s">
        <v>27</v>
      </c>
      <c r="G30" s="106">
        <v>22650</v>
      </c>
      <c r="H30" s="106">
        <v>20775</v>
      </c>
      <c r="I30" s="108">
        <v>1</v>
      </c>
      <c r="J30" s="13">
        <f t="shared" ref="J30" si="0">H30*I30</f>
        <v>20775</v>
      </c>
      <c r="K30" s="12">
        <v>0</v>
      </c>
      <c r="L30" s="12">
        <v>0</v>
      </c>
      <c r="M30" s="13">
        <f t="shared" ref="M30" si="1">J30</f>
        <v>20775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2678</v>
      </c>
      <c r="F31" s="15"/>
      <c r="G31" s="64">
        <f>SUM(G30:G30)</f>
        <v>22650</v>
      </c>
      <c r="H31" s="64">
        <f>SUM(H30:H30)</f>
        <v>20775</v>
      </c>
      <c r="I31" s="102"/>
      <c r="J31" s="17">
        <f>SUM(J30:J30)</f>
        <v>20775</v>
      </c>
      <c r="K31" s="16"/>
      <c r="L31" s="16"/>
      <c r="M31" s="17">
        <f>SUM(M30:M30)</f>
        <v>20775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Двадцать тысяч семьсот семьдесят пять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162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5" zoomScale="115" zoomScaleNormal="115" workbookViewId="0">
      <selection activeCell="C56" sqref="C5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BEZ-A-79 от  12.08.2025г.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2678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6" t="str">
        <f>+C22</f>
        <v xml:space="preserve"> 12.08.2025г.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70266SAA/701190AA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M28" sqref="M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70266SAA/701190AA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BEZ-A-79 от  12.08.2025г.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2678</v>
      </c>
      <c r="G18" s="163" t="str">
        <f>+CMR!F30</f>
        <v>Виноград свежий столовых сортов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57" t="str">
        <f>+Инвойс!C30</f>
        <v>0806101001</v>
      </c>
      <c r="H19" s="158"/>
      <c r="I19" s="121" t="s">
        <v>103</v>
      </c>
      <c r="J19" s="119">
        <f>+Инвойс!G30</f>
        <v>22650</v>
      </c>
    </row>
    <row r="20" spans="2:10" ht="13.5" customHeight="1" x14ac:dyDescent="0.3">
      <c r="B20" s="83"/>
      <c r="E20" s="122"/>
      <c r="F20" s="117"/>
      <c r="G20" s="163"/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2678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zoomScale="85" zoomScaleNormal="85" workbookViewId="0">
      <selection activeCell="R26" sqref="Q26:R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31" t="str">
        <f>+Инвойс!F1</f>
        <v xml:space="preserve"> 12.08.2025г.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134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115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70266SAA/701190AA</v>
      </c>
      <c r="F26" s="152"/>
      <c r="G26" s="152"/>
      <c r="J26" s="21"/>
    </row>
    <row r="27" spans="1:17" ht="34.5" customHeight="1" x14ac:dyDescent="0.25">
      <c r="A27" s="67" t="s">
        <v>135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2678</v>
      </c>
      <c r="F30" s="115" t="str">
        <f>+Инвойс!F30</f>
        <v>кг</v>
      </c>
      <c r="G30" s="106">
        <f>+Инвойс!G30</f>
        <v>22650</v>
      </c>
      <c r="H30" s="106">
        <f>+Инвойс!H30</f>
        <v>20775</v>
      </c>
      <c r="I30" s="108">
        <f>+Инвойс!I30</f>
        <v>1</v>
      </c>
      <c r="J30" s="13">
        <f>+Инвойс!J30</f>
        <v>20775</v>
      </c>
      <c r="K30" s="12">
        <v>0</v>
      </c>
      <c r="L30" s="12">
        <v>0</v>
      </c>
      <c r="M30" s="13">
        <f>+Инвойс!M30</f>
        <v>20775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2678</v>
      </c>
      <c r="F31" s="15"/>
      <c r="G31" s="64">
        <f>SUM(G30:G30)</f>
        <v>22650</v>
      </c>
      <c r="H31" s="64">
        <f>SUM(H30:H30)</f>
        <v>20775</v>
      </c>
      <c r="I31" s="102"/>
      <c r="J31" s="17">
        <f>SUM(J30:J30)</f>
        <v>20775</v>
      </c>
      <c r="K31" s="16"/>
      <c r="L31" s="16"/>
      <c r="M31" s="17">
        <f>SUM(M30:M30)</f>
        <v>20775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Двадцать тысяч семьсот семьдесят пять долларов США, 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8" t="s">
        <v>144</v>
      </c>
      <c r="H36" t="str">
        <f>Инвойс!G5</f>
        <v>ООО ТД «РЕСУРС»</v>
      </c>
      <c r="K36" s="129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7"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5" t="s">
        <v>116</v>
      </c>
    </row>
    <row r="3" spans="1:1" ht="52.8" x14ac:dyDescent="0.25">
      <c r="A3" s="130" t="s">
        <v>136</v>
      </c>
    </row>
    <row r="5" spans="1:1" ht="39.6" x14ac:dyDescent="0.25">
      <c r="A5" s="125" t="s">
        <v>117</v>
      </c>
    </row>
    <row r="7" spans="1:1" ht="52.8" x14ac:dyDescent="0.25">
      <c r="A7" s="125" t="s">
        <v>118</v>
      </c>
    </row>
    <row r="9" spans="1:1" ht="52.8" x14ac:dyDescent="0.25">
      <c r="A9" s="125" t="s">
        <v>119</v>
      </c>
    </row>
    <row r="10" spans="1:1" x14ac:dyDescent="0.25">
      <c r="A10" s="125"/>
    </row>
    <row r="11" spans="1:1" ht="52.8" x14ac:dyDescent="0.25">
      <c r="A11" s="125" t="s">
        <v>120</v>
      </c>
    </row>
    <row r="13" spans="1:1" ht="52.8" x14ac:dyDescent="0.25">
      <c r="A13" s="125" t="s">
        <v>121</v>
      </c>
    </row>
    <row r="15" spans="1:1" ht="39.6" x14ac:dyDescent="0.25">
      <c r="A15" s="125" t="s">
        <v>122</v>
      </c>
    </row>
    <row r="17" spans="1:1" ht="39.6" x14ac:dyDescent="0.25">
      <c r="A17" s="125" t="s">
        <v>123</v>
      </c>
    </row>
    <row r="19" spans="1:1" ht="39.6" x14ac:dyDescent="0.25">
      <c r="A19" s="127" t="s">
        <v>133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20775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семьсот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45881</v>
      </c>
      <c r="O3" s="175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тысяч семьсот семьдесят пять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12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семьсот 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семьсот 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семьдесят пять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20775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2077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20775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2025-08-12T15:56:37Z</cp:lastPrinted>
  <dcterms:created xsi:type="dcterms:W3CDTF">1996-10-14T23:33:28Z</dcterms:created>
  <dcterms:modified xsi:type="dcterms:W3CDTF">2025-08-12T15:57:10Z</dcterms:modified>
</cp:coreProperties>
</file>