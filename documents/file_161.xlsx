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7D57A50-9645-4383-BF97-965A290BD2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<sst xmlns="http://schemas.openxmlformats.org/spreadsheetml/2006/main" count="201" uniqueCount="163">
  <si>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</si>
  <si>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</si>
  <si>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</si>
  <si>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</si>
  <si>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</si>
  <si>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</si>
  <si>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</si>
  <si>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</si>
  <si>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</si>
  <si>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</si>
  <si>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</si>
  <si>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</si>
  <si>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</si>
  <si>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</si>
  <si>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</si>
  <si>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</si>
  <si>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</si>
  <si>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</si>
  <si>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</si>
  <si>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</si>
  <si>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</si>
  <si>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</si>
  <si>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</si>
  <si>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</si>
  <si>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</si>
  <si>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</si>
  <si>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</si>
  <si>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</si>
  <si>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</si>
  <si>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</si>
  <si>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</si>
  <si>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</si>
  <si>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</si>
  <si>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</si>
  <si>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</si>
  <si>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</si>
  <si>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</si>
  <si>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</si>
  <si>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</si>
  <si>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</si>
  <si>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</si>
  <si>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</si>
  <si>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</si>
  <si>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</si>
  <si>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</si>
  <si>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</si>
  <si>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</si>
  <si>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</si>
  <si>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</si>
  <si>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</si>
  <si>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</si>
  <si>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</si>
  <si>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</si>
  <si>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</si>
  <si>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</si>
  <si>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</si>
  <si>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</si>
  <si>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</si>
  <si>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</si>
  <si>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</si>
  <si>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</si>
  <si>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</si>
  <si>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</si>
  <si>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</si>
  <si>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</si>
  <si>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</si>
  <si>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</si>
  <si>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</si>
  <si>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</si>
  <si>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</si>
  <si>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</si>
  <si>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</si>
  <si>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</si>
  <si>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</si>
  <si>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</si>
  <si>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</si>
  <si>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</si>
  <si>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</si>
  <si>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</si>
  <si>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</si>
  <si>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</si>
  <si>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</si>
  <si>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</si>
  <si>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</si>
  <si>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</si>
  <si>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</si>
  <si>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</si>
  <si>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</si>
  <si>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</si>
  <si>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</si>
  <si>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</si>
  <si>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</si>
  <si>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</si>
  <si>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</si>
  <si>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</si>
  <si>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</si>
  <si>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</si>
  <si>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</si>
  <si>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</si>
  <si>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</si>
  <si>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</si>
  <si>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</si>
  <si>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</si>
  <si>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</si>
  <si>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</si>
  <si>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</si>
  <si>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</si>
  <si>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</si>
  <si>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</si>
  <si>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</si>
  <si>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</si>
  <si>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</si>
  <si>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</si>
  <si>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</si>
  <si>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</si>
  <si>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</si>
  <si>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</si>
  <si>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</si>
  <si>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</si>
  <si>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</si>
  <si>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</si>
  <si>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</si>
  <si>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</si>
  <si>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</si>
  <si>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</si>
  <si>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</si>
  <si>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</si>
  <si>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</si>
  <si>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</si>
  <si>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</si>
  <si>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</si>
  <si>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</si>
  <si>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</si>
  <si>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</si>
  <si>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</si>
  <si>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</si>
  <si>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</si>
  <si>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</si>
  <si>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</si>
  <si>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</si>
  <si>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</si>
  <si>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</si>
  <si>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</si>
  <si>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</si>
  <si>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</si>
  <si>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</si>
  <si>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</si>
  <si>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</si>
  <si>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</si>
  <si>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</si>
  <si>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</si>
  <si>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</si>
  <si>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</si>
  <si>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</si>
  <si>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</si>
  <si>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</si>
  <si>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</si>
  <si>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</si>
  <si>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BEZ-A-61 от </t>
  </si>
  <si>
    <t xml:space="preserve"> 11.08.2025г.</t>
  </si>
  <si>
    <t>30N570LB/307267AA</t>
  </si>
  <si>
    <t>DAP - с Амандык , Республика Казахстан</t>
  </si>
  <si>
    <t xml:space="preserve">СПЕЦИФИКАЦИЯ № BEZ-A-61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</si>
</sst>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9" t="s">
        <v>119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75" x14ac:dyDescent="0.25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22500</v>
      </c>
      <c r="H30" s="106">
        <v>20700</v>
      </c>
      <c r="I30" s="108">
        <v>0.2</v>
      </c>
      <c r="J30" s="13">
        <f t="shared" ref="J30" si="0">H30*I30</f>
        <v>4140</v>
      </c>
      <c r="K30" s="12">
        <v>0</v>
      </c>
      <c r="L30" s="12">
        <v>0</v>
      </c>
      <c r="M30" s="13">
        <f t="shared" ref="M30" si="1">J30</f>
        <v>4140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22500</v>
      </c>
      <c r="H31" s="64">
        <f>SUM(H30:H30)</f>
        <v>20700</v>
      </c>
      <c r="I31" s="102"/>
      <c r="J31" s="17">
        <f>SUM(J30:J30)</f>
        <v>4140</v>
      </c>
      <c r="K31" s="16"/>
      <c r="L31" s="16"/>
      <c r="M31" s="17">
        <f>SUM(M30:M30)</f>
        <v>4140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сто сорок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BEZ-A-61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30N570LB/307267AA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30N570LB/307267AA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11.08.2025г.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BEZ-A-61 от  11.08.2025г.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1000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22500</v>
      </c>
    </row>
    <row r="20" spans="2:10" ht="13.5" customHeight="1" x14ac:dyDescent="0.25">
      <c r="B20" s="83"/>
      <c r="E20" s="123"/>
      <c r="F20" s="118"/>
      <c r="G20" s="160"/>
      <c r="H20" s="160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0"/>
      <c r="H22" s="160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0"/>
      <c r="H24" s="160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0"/>
      <c r="H26" s="160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0"/>
      <c r="H28" s="160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0"/>
      <c r="H30" s="160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0"/>
      <c r="H32" s="160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0"/>
      <c r="H34" s="160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0"/>
      <c r="H36" s="160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0"/>
      <c r="H38" s="160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0"/>
      <c r="H42" s="160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2"/>
      <c r="H44" s="162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f>+F18+F20+F22+F24+F26+F28+F30+F32+F34+F36+F38+F40+F42</f>
        <v>1000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9" t="s">
        <v>162</v>
      </c>
      <c r="C1" s="169"/>
      <c r="D1" s="169"/>
      <c r="E1" s="169"/>
      <c r="F1" s="149" t="str">
        <f>+Инвойс!F1</f>
        <v xml:space="preserve"> 11.08.2025г.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36" t="s">
        <v>116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30N570LB/307267AA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22500</v>
      </c>
      <c r="H30" s="106">
        <f>+Инвойс!H30</f>
        <v>20700</v>
      </c>
      <c r="I30" s="108">
        <f>+Инвойс!I30</f>
        <v>0.2</v>
      </c>
      <c r="J30" s="13">
        <f>+Инвойс!J30</f>
        <v>4140</v>
      </c>
      <c r="K30" s="12">
        <v>0</v>
      </c>
      <c r="L30" s="12">
        <v>0</v>
      </c>
      <c r="M30" s="13">
        <f>+Инвойс!M30</f>
        <v>4140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22500</v>
      </c>
      <c r="H31" s="64">
        <f>SUM(H30:H30)</f>
        <v>20700</v>
      </c>
      <c r="I31" s="102"/>
      <c r="J31" s="17">
        <f>SUM(J30:J30)</f>
        <v>4140</v>
      </c>
      <c r="K31" s="16"/>
      <c r="L31" s="16"/>
      <c r="M31" s="17">
        <f>SUM(M30:M30)</f>
        <v>4140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сто сорок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4140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сто сорок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45880</v>
      </c>
      <c r="O3" s="175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сто сорок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11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сто сорок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сто сорок долларов США, 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сто сорок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">
      <c r="A13" s="49"/>
      <c r="D13" s="51"/>
      <c r="E13" s="52">
        <f>TRUNC(E2)</f>
        <v>4140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414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4140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2025-08-11T04:01:26Z</cp:lastPrinted>
  <dcterms:created xsi:type="dcterms:W3CDTF">1996-10-14T23:33:28Z</dcterms:created>
  <dcterms:modified xsi:type="dcterms:W3CDTF">2025-08-11T04:01:28Z</dcterms:modified>
</cp:coreProperties>
</file>