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770" windowHeight="12270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62913" calcMode="autoNoTable"/>
</workbook>
</file>

<file path=xl/calcChain.xml><?xml version="1.0" encoding="utf-8"?>
<calcChain xmlns="http://schemas.openxmlformats.org/spreadsheetml/2006/main">
  <c r="D37" i="7" l="1"/>
  <c r="H37" i="7" l="1"/>
  <c r="I31" i="4" l="1"/>
  <c r="G31" i="4"/>
  <c r="F31" i="4"/>
  <c r="B31" i="4"/>
  <c r="C31" i="4"/>
  <c r="D31" i="4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1" i="7" l="1"/>
  <c r="C30" i="7"/>
  <c r="A31" i="7"/>
  <c r="B31" i="7"/>
  <c r="D31" i="7"/>
  <c r="E31" i="7"/>
  <c r="F31" i="7"/>
  <c r="G31" i="7"/>
  <c r="H31" i="7"/>
  <c r="I31" i="7"/>
  <c r="I30" i="7"/>
  <c r="H30" i="7"/>
  <c r="F30" i="7"/>
  <c r="G30" i="7"/>
  <c r="E30" i="7"/>
  <c r="D30" i="7"/>
  <c r="B30" i="7"/>
  <c r="A30" i="7"/>
  <c r="E26" i="7"/>
  <c r="C24" i="7"/>
  <c r="F1" i="7"/>
  <c r="G32" i="7" l="1"/>
  <c r="E32" i="7"/>
  <c r="H32" i="7" l="1"/>
  <c r="E32" i="2" l="1"/>
  <c r="G32" i="2" l="1"/>
  <c r="H32" i="2"/>
  <c r="G21" i="5"/>
  <c r="G19" i="5"/>
  <c r="J21" i="5"/>
  <c r="F21" i="5"/>
  <c r="F20" i="5"/>
  <c r="F19" i="5"/>
  <c r="F18" i="5"/>
  <c r="J19" i="5"/>
  <c r="G30" i="4"/>
  <c r="G20" i="5"/>
  <c r="I30" i="4"/>
  <c r="F30" i="4"/>
  <c r="G18" i="5" s="1"/>
  <c r="D30" i="4"/>
  <c r="C30" i="4"/>
  <c r="B30" i="4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1" i="2"/>
  <c r="J30" i="2"/>
  <c r="M30" i="2" l="1"/>
  <c r="M30" i="7" s="1"/>
  <c r="J30" i="7"/>
  <c r="M31" i="2"/>
  <c r="M31" i="7" s="1"/>
  <c r="J31" i="7"/>
  <c r="J32" i="2"/>
  <c r="S3" i="3"/>
  <c r="S4" i="3"/>
  <c r="P3" i="3"/>
  <c r="R3" i="3"/>
  <c r="Q3" i="3" l="1"/>
  <c r="K4" i="3" s="1"/>
  <c r="J32" i="7"/>
  <c r="M32" i="7"/>
  <c r="M32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3" i="2" l="1"/>
  <c r="E33" i="7"/>
</calcChain>
</file>

<file path=xl/comments1.xml><?xml version="1.0" encoding="utf-8"?>
<comments xmlns="http://schemas.openxmlformats.org/spreadsheetml/2006/main">
  <authors>
    <author>Ok</author>
  </authors>
  <commentList>
    <comment ref="E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<sst xmlns="http://schemas.openxmlformats.org/spreadsheetml/2006/main" count="215" uniqueCount="165">
  <si>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</si>
  <si>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</si>
  <si>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</si>
  <si>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</si>
  <si>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</si>
  <si>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</si>
  <si>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</si>
  <si>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</si>
  <si>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</si>
  <si>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</si>
  <si>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</si>
  <si>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</si>
  <si>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</si>
  <si>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</si>
  <si>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</si>
  <si>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</si>
  <si>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</si>
  <si>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</si>
  <si>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</si>
  <si>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</si>
  <si>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</si>
  <si>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</si>
  <si>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</si>
  <si>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</si>
  <si>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</si>
  <si>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</si>
  <si>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</si>
  <si>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</si>
  <si>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</si>
  <si>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</si>
  <si>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</si>
  <si>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</si>
  <si>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</si>
  <si>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</si>
  <si>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</si>
  <si>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</si>
  <si>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</si>
  <si>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</si>
  <si>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</si>
  <si>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</si>
  <si>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</si>
  <si>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</si>
  <si>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</si>
  <si>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</si>
  <si>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</si>
  <si>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</si>
  <si>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</si>
  <si>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</si>
  <si>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</si>
  <si>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</si>
  <si>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</si>
  <si>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</si>
  <si>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</si>
  <si>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</si>
  <si>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</si>
  <si>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</si>
  <si>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</si>
  <si>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</si>
  <si>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</si>
  <si>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</si>
  <si>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</si>
  <si>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</si>
  <si>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</si>
  <si>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</si>
  <si>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</si>
  <si>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</si>
  <si>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</si>
  <si>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</si>
  <si>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</si>
  <si>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</si>
  <si>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</si>
  <si>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</si>
  <si>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</si>
  <si>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</si>
  <si>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</si>
  <si>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</si>
  <si>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</si>
  <si>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</si>
  <si>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</si>
  <si>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</si>
  <si>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</si>
  <si>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</si>
  <si>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</si>
  <si>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</si>
  <si>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</si>
  <si>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</si>
  <si>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</si>
  <si>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</si>
  <si>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</si>
  <si>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</si>
  <si>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</si>
  <si>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</si>
  <si>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</si>
  <si>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</si>
  <si>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</si>
  <si>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</si>
  <si>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</si>
  <si>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</si>
  <si>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</si>
  <si>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</si>
  <si>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</si>
  <si>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</si>
  <si>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</si>
  <si>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</si>
  <si>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</si>
  <si>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</si>
  <si>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</si>
  <si>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</si>
  <si>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</si>
  <si>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</si>
  <si>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</si>
  <si>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</si>
  <si>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</si>
  <si>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</si>
  <si>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</si>
  <si>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</si>
  <si>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</si>
  <si>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</si>
  <si>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</si>
  <si>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</si>
  <si>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</si>
  <si>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</si>
  <si>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</si>
  <si>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</si>
  <si>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</si>
  <si>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</si>
  <si>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</si>
  <si>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</si>
  <si>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</si>
  <si>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</si>
  <si>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</si>
  <si>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</si>
  <si>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</si>
  <si>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</si>
  <si>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</si>
  <si>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</si>
  <si>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</si>
  <si>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</si>
  <si>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</si>
  <si>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</si>
  <si>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«VISTOTRADE»</t>
  </si>
  <si>
    <t xml:space="preserve">Республика Узбекистан. Кашкадарьинская область, </t>
  </si>
  <si>
    <t>в АКБ «KAPITAL BANK» МФО: 01158</t>
  </si>
  <si>
    <t>р/с: 20208840407263267001 (доллар США)</t>
  </si>
  <si>
    <t>SWIFT: KACHUZ22</t>
  </si>
  <si>
    <t>ИНН: 312236782</t>
  </si>
  <si>
    <t>Авазов К.Ф</t>
  </si>
  <si>
    <t>Директор:  ООО «VISTOTRADE»</t>
  </si>
  <si>
    <t>Г. Гулам, МФУ, улица Гузара, дом 14</t>
  </si>
  <si>
    <t>к контракту № GR-VT-01 от 22.08.2025 года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</si>
  <si>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</si>
  <si>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</si>
  <si>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</si>
  <si>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</si>
  <si>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</si>
  <si>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</si>
  <si>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</si>
  <si>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</si>
  <si>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г.Челябинский таможенный пост г.Челябинск ул. Ениссйская, 87А код поста 10504080   ООО "ГРИН ВОРЛД" 
RU/0237/2 от 27.12.2024</t>
  </si>
  <si>
    <t xml:space="preserve"> 29.08.2025г.</t>
  </si>
  <si>
    <t xml:space="preserve">ИНВОЙС № VG-N-41 от </t>
  </si>
  <si>
    <t>40866TBA/406013AA</t>
  </si>
  <si>
    <t>-</t>
  </si>
  <si>
    <t xml:space="preserve">СПЕЦИФИКАЦИЯ № VG-N-41 от </t>
  </si>
  <si>
    <t>Навалом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</si>
</sst>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1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/>
    <cellStyle name="Обычный 2 2 2_MEGA SYSTEMS GROUP_2013 Saidahror_PARTNERS ORIGINAL TRADE_авто Saidaxror_Фум" xfId="3"/>
    <cellStyle name="Обычный 3" xfId="4"/>
    <cellStyle name="Обычный 4" xfId="5"/>
    <cellStyle name="Обычный 4 2" xfId="6"/>
    <cellStyle name="Обычный 4 2 2" xfId="8"/>
    <cellStyle name="Обычный 4 2 3" xfId="10"/>
    <cellStyle name="Обычный 4 2 4" xfId="12"/>
    <cellStyle name="Обычный 4 3" xfId="7"/>
    <cellStyle name="Обычный 4 4" xfId="9"/>
    <cellStyle name="Обычный 4 5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89649</xdr:colOff>
      <xdr:row>37</xdr:row>
      <xdr:rowOff>89647</xdr:rowOff>
    </xdr:from>
    <xdr:to>
      <xdr:col>4</xdr:col>
      <xdr:colOff>166394</xdr:colOff>
      <xdr:row>40</xdr:row>
      <xdr:rowOff>179294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A72503EC-7FB5-41AD-F313-3C4E70CCB5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60914" y="20428323"/>
          <a:ext cx="805127" cy="6611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739588</xdr:colOff>
      <xdr:row>37</xdr:row>
      <xdr:rowOff>100852</xdr:rowOff>
    </xdr:from>
    <xdr:to>
      <xdr:col>3</xdr:col>
      <xdr:colOff>47624</xdr:colOff>
      <xdr:row>49</xdr:row>
      <xdr:rowOff>147917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433AF74A-0D5C-A2D4-104B-AEBBDF1339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8176" y="20439528"/>
          <a:ext cx="2120713" cy="20977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504267</xdr:colOff>
      <xdr:row>37</xdr:row>
      <xdr:rowOff>145677</xdr:rowOff>
    </xdr:from>
    <xdr:to>
      <xdr:col>3</xdr:col>
      <xdr:colOff>569805</xdr:colOff>
      <xdr:row>41</xdr:row>
      <xdr:rowOff>44824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D272AFB-9F9E-491E-95FD-0A1ADD6695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5943" y="19363765"/>
          <a:ext cx="805127" cy="6611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414617</xdr:colOff>
      <xdr:row>37</xdr:row>
      <xdr:rowOff>156882</xdr:rowOff>
    </xdr:from>
    <xdr:to>
      <xdr:col>2</xdr:col>
      <xdr:colOff>462242</xdr:colOff>
      <xdr:row>50</xdr:row>
      <xdr:rowOff>47065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811BB9AD-03DF-4FBE-852B-33837A4DDB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3205" y="19374970"/>
          <a:ext cx="2120713" cy="20977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448235</xdr:colOff>
      <xdr:row>37</xdr:row>
      <xdr:rowOff>145676</xdr:rowOff>
    </xdr:from>
    <xdr:to>
      <xdr:col>9</xdr:col>
      <xdr:colOff>634813</xdr:colOff>
      <xdr:row>49</xdr:row>
      <xdr:rowOff>72929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7F2FC92E-0823-4DFC-9CDB-86FF17136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22794" y="19173264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5"/>
    <pageSetUpPr fitToPage="1"/>
  </sheetPr>
  <dimension ref="A1:Q43"/>
  <sheetViews>
    <sheetView tabSelected="1"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34" t="s">
        <v>160</v>
      </c>
      <c r="D1" s="134"/>
      <c r="E1" s="134"/>
      <c r="F1" s="133" t="s">
        <v>159</v>
      </c>
      <c r="G1" s="133"/>
      <c r="H1" s="133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40" t="s">
        <v>149</v>
      </c>
      <c r="D2" s="140"/>
      <c r="E2" s="140"/>
      <c r="F2" s="140"/>
      <c r="G2" s="140"/>
      <c r="H2" s="140"/>
      <c r="I2" s="140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6" t="s">
        <v>19</v>
      </c>
      <c r="B4" s="136"/>
      <c r="C4" s="136"/>
      <c r="D4" s="136"/>
      <c r="E4" s="136"/>
      <c r="G4" s="136" t="s">
        <v>20</v>
      </c>
      <c r="H4" s="136"/>
      <c r="I4" s="136"/>
      <c r="J4" s="136"/>
      <c r="K4" s="136"/>
      <c r="L4" s="136"/>
      <c r="M4" s="136"/>
    </row>
    <row r="5" spans="1:15" ht="14.25" customHeight="1" x14ac:dyDescent="0.2">
      <c r="A5" s="135" t="s">
        <v>140</v>
      </c>
      <c r="B5" s="135"/>
      <c r="C5" s="135"/>
      <c r="D5" s="135"/>
      <c r="E5" s="135"/>
      <c r="F5" s="6"/>
      <c r="G5" s="137" t="s">
        <v>150</v>
      </c>
      <c r="H5" s="137"/>
      <c r="I5" s="137"/>
      <c r="J5" s="137"/>
      <c r="K5" s="137"/>
      <c r="L5" s="137"/>
      <c r="M5" s="137"/>
    </row>
    <row r="6" spans="1:15" ht="15" x14ac:dyDescent="0.25">
      <c r="A6" s="141" t="s">
        <v>141</v>
      </c>
      <c r="B6" s="142"/>
      <c r="C6" s="142"/>
      <c r="D6" s="142"/>
      <c r="E6" s="142"/>
      <c r="F6" s="7"/>
      <c r="G6" s="139" t="s">
        <v>151</v>
      </c>
      <c r="H6" s="139"/>
      <c r="I6" s="139"/>
      <c r="J6" s="139"/>
      <c r="K6" s="139"/>
      <c r="L6" s="139"/>
      <c r="M6" s="139"/>
      <c r="N6" s="4"/>
    </row>
    <row r="7" spans="1:15" ht="15" x14ac:dyDescent="0.25">
      <c r="A7" s="142" t="s">
        <v>148</v>
      </c>
      <c r="B7" s="142"/>
      <c r="C7" s="142"/>
      <c r="D7" s="142"/>
      <c r="E7" s="142"/>
      <c r="F7" s="63"/>
      <c r="G7" s="139" t="s">
        <v>152</v>
      </c>
      <c r="H7" s="139"/>
      <c r="I7" s="139"/>
      <c r="J7" s="139"/>
      <c r="K7" s="139"/>
      <c r="L7" s="139"/>
      <c r="M7" s="139"/>
    </row>
    <row r="8" spans="1:15" ht="15" customHeight="1" x14ac:dyDescent="0.25">
      <c r="A8" s="8" t="s">
        <v>142</v>
      </c>
      <c r="B8" s="8"/>
      <c r="C8" s="8"/>
      <c r="D8" s="8"/>
      <c r="E8" s="8"/>
      <c r="F8" s="63"/>
      <c r="G8" s="7" t="s">
        <v>153</v>
      </c>
      <c r="H8" s="23"/>
      <c r="I8" s="23"/>
      <c r="J8" s="23"/>
      <c r="K8" s="23"/>
      <c r="L8" s="23"/>
      <c r="M8" s="23"/>
    </row>
    <row r="9" spans="1:15" ht="15" x14ac:dyDescent="0.25">
      <c r="A9" s="8" t="s">
        <v>143</v>
      </c>
      <c r="B9" s="8"/>
      <c r="C9" s="8"/>
      <c r="D9" s="8"/>
      <c r="E9" s="8"/>
      <c r="F9" s="7"/>
      <c r="G9" s="7" t="s">
        <v>154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4" t="s">
        <v>144</v>
      </c>
      <c r="B10" s="124"/>
      <c r="C10" s="124"/>
      <c r="D10" s="124"/>
      <c r="E10" s="124"/>
      <c r="F10" s="7"/>
      <c r="G10" s="7" t="s">
        <v>139</v>
      </c>
      <c r="H10" s="23"/>
      <c r="I10" s="23"/>
      <c r="J10" s="23"/>
      <c r="K10" s="23"/>
      <c r="L10" s="23"/>
      <c r="M10" s="23"/>
    </row>
    <row r="11" spans="1:15" ht="15" x14ac:dyDescent="0.25">
      <c r="A11" s="8" t="s">
        <v>145</v>
      </c>
      <c r="B11" s="8"/>
      <c r="C11" s="8"/>
      <c r="D11" s="8"/>
      <c r="E11" s="8"/>
      <c r="F11" s="7"/>
      <c r="G11" s="7" t="s">
        <v>155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38" t="s">
        <v>156</v>
      </c>
      <c r="H12" s="138"/>
      <c r="I12" s="138"/>
      <c r="J12" s="138"/>
      <c r="K12" s="138"/>
      <c r="L12" s="138"/>
      <c r="M12" s="138"/>
    </row>
    <row r="13" spans="1:15" ht="24" customHeight="1" x14ac:dyDescent="0.25">
      <c r="A13" s="136" t="s">
        <v>31</v>
      </c>
      <c r="B13" s="136"/>
      <c r="C13" s="136"/>
      <c r="D13" s="136"/>
      <c r="E13" s="136"/>
      <c r="G13" s="136" t="s">
        <v>21</v>
      </c>
      <c r="H13" s="144"/>
      <c r="I13" s="144"/>
      <c r="J13" s="144"/>
      <c r="K13" s="144"/>
      <c r="L13" s="144"/>
      <c r="M13" s="144"/>
    </row>
    <row r="14" spans="1:15" ht="14.25" customHeight="1" x14ac:dyDescent="0.2">
      <c r="A14" s="135" t="s">
        <v>140</v>
      </c>
      <c r="B14" s="135"/>
      <c r="C14" s="135"/>
      <c r="D14" s="135"/>
      <c r="E14" s="135"/>
      <c r="F14" s="6"/>
      <c r="G14" s="137" t="s">
        <v>150</v>
      </c>
      <c r="H14" s="137"/>
      <c r="I14" s="137"/>
      <c r="J14" s="137"/>
      <c r="K14" s="137"/>
      <c r="L14" s="137"/>
      <c r="M14" s="137"/>
    </row>
    <row r="15" spans="1:15" ht="13.9" customHeight="1" x14ac:dyDescent="0.25">
      <c r="A15" s="141" t="s">
        <v>141</v>
      </c>
      <c r="B15" s="142"/>
      <c r="C15" s="142"/>
      <c r="D15" s="142"/>
      <c r="E15" s="142"/>
      <c r="F15" s="7"/>
      <c r="G15" s="139" t="s">
        <v>151</v>
      </c>
      <c r="H15" s="139"/>
      <c r="I15" s="139"/>
      <c r="J15" s="139"/>
      <c r="K15" s="139"/>
      <c r="L15" s="139"/>
      <c r="M15" s="139"/>
    </row>
    <row r="16" spans="1:15" ht="15" x14ac:dyDescent="0.25">
      <c r="A16" s="142" t="s">
        <v>148</v>
      </c>
      <c r="B16" s="142"/>
      <c r="C16" s="142"/>
      <c r="D16" s="142"/>
      <c r="E16" s="142"/>
      <c r="F16" s="63"/>
      <c r="G16" s="139" t="s">
        <v>152</v>
      </c>
      <c r="H16" s="139"/>
      <c r="I16" s="139"/>
      <c r="J16" s="139"/>
      <c r="K16" s="139"/>
      <c r="L16" s="139"/>
      <c r="M16" s="139"/>
    </row>
    <row r="17" spans="1:17" ht="15" customHeight="1" x14ac:dyDescent="0.25">
      <c r="A17" s="8" t="s">
        <v>142</v>
      </c>
      <c r="B17" s="8"/>
      <c r="C17" s="8"/>
      <c r="D17" s="8"/>
      <c r="E17" s="8"/>
      <c r="F17" s="63"/>
      <c r="G17" s="7" t="s">
        <v>153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143</v>
      </c>
      <c r="B18" s="8"/>
      <c r="C18" s="8"/>
      <c r="D18" s="8"/>
      <c r="E18" s="8"/>
      <c r="F18" s="7"/>
      <c r="G18" s="7" t="s">
        <v>154</v>
      </c>
      <c r="H18" s="23"/>
      <c r="I18" s="23"/>
      <c r="J18" s="23"/>
      <c r="K18" s="23"/>
      <c r="L18" s="23"/>
      <c r="M18" s="23"/>
    </row>
    <row r="19" spans="1:17" ht="15" x14ac:dyDescent="0.25">
      <c r="A19" s="124" t="s">
        <v>144</v>
      </c>
      <c r="B19" s="124"/>
      <c r="C19" s="124"/>
      <c r="D19" s="124"/>
      <c r="E19" s="124"/>
      <c r="F19" s="7"/>
      <c r="G19" s="7" t="s">
        <v>139</v>
      </c>
      <c r="H19" s="23"/>
      <c r="I19" s="23"/>
      <c r="J19" s="23"/>
      <c r="K19" s="23"/>
      <c r="L19" s="23"/>
      <c r="M19" s="23"/>
    </row>
    <row r="20" spans="1:17" ht="15" x14ac:dyDescent="0.25">
      <c r="A20" s="8" t="s">
        <v>145</v>
      </c>
      <c r="B20" s="8"/>
      <c r="C20" s="8"/>
      <c r="D20" s="8"/>
      <c r="E20" s="8"/>
      <c r="F20" s="7"/>
      <c r="G20" s="7" t="s">
        <v>155</v>
      </c>
      <c r="H20" s="23"/>
      <c r="I20" s="23"/>
      <c r="J20" s="23"/>
      <c r="K20" s="23"/>
      <c r="L20" s="23"/>
      <c r="M20" s="23"/>
    </row>
    <row r="21" spans="1:17" ht="15" x14ac:dyDescent="0.25">
      <c r="A21" s="99"/>
      <c r="B21" s="8"/>
      <c r="C21" s="8"/>
      <c r="D21" s="8"/>
      <c r="E21" s="8"/>
      <c r="G21" s="138" t="s">
        <v>156</v>
      </c>
      <c r="H21" s="138"/>
      <c r="I21" s="138"/>
      <c r="J21" s="138"/>
      <c r="K21" s="138"/>
      <c r="L21" s="138"/>
      <c r="M21" s="138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53" t="s">
        <v>123</v>
      </c>
      <c r="D23" s="153"/>
      <c r="E23" s="153"/>
      <c r="F23" s="153"/>
      <c r="G23" s="153"/>
      <c r="H23" s="153"/>
      <c r="I23" s="153"/>
      <c r="J23" s="153"/>
      <c r="K23" s="153"/>
      <c r="L23" s="153"/>
      <c r="M23" s="153"/>
    </row>
    <row r="24" spans="1:17" ht="15.75" x14ac:dyDescent="0.25">
      <c r="A24" s="20" t="s">
        <v>22</v>
      </c>
      <c r="C24" s="18" t="s">
        <v>138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54" t="s">
        <v>161</v>
      </c>
      <c r="F26" s="155"/>
      <c r="G26" s="155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">
      <c r="A28" s="147" t="s">
        <v>1</v>
      </c>
      <c r="B28" s="147" t="s">
        <v>2</v>
      </c>
      <c r="C28" s="147" t="s">
        <v>3</v>
      </c>
      <c r="D28" s="147" t="s">
        <v>4</v>
      </c>
      <c r="E28" s="147" t="s">
        <v>5</v>
      </c>
      <c r="F28" s="147" t="s">
        <v>6</v>
      </c>
      <c r="G28" s="151" t="s">
        <v>7</v>
      </c>
      <c r="H28" s="152"/>
      <c r="I28" s="147" t="s">
        <v>8</v>
      </c>
      <c r="J28" s="110" t="s">
        <v>9</v>
      </c>
      <c r="K28" s="151" t="s">
        <v>10</v>
      </c>
      <c r="L28" s="152"/>
      <c r="M28" s="147" t="s">
        <v>11</v>
      </c>
    </row>
    <row r="29" spans="1:17" ht="32.25" x14ac:dyDescent="0.2">
      <c r="A29" s="148"/>
      <c r="B29" s="148"/>
      <c r="C29" s="148"/>
      <c r="D29" s="148"/>
      <c r="E29" s="148"/>
      <c r="F29" s="148"/>
      <c r="G29" s="110" t="s">
        <v>12</v>
      </c>
      <c r="H29" s="110" t="s">
        <v>13</v>
      </c>
      <c r="I29" s="148"/>
      <c r="J29" s="111" t="s">
        <v>14</v>
      </c>
      <c r="K29" s="10" t="s">
        <v>15</v>
      </c>
      <c r="L29" s="10" t="s">
        <v>16</v>
      </c>
      <c r="M29" s="148"/>
    </row>
    <row r="30" spans="1:17" ht="30" x14ac:dyDescent="0.2">
      <c r="A30" s="126">
        <v>1</v>
      </c>
      <c r="B30" s="101" t="s">
        <v>126</v>
      </c>
      <c r="C30" s="107" t="s">
        <v>127</v>
      </c>
      <c r="D30" s="109" t="s">
        <v>112</v>
      </c>
      <c r="E30" s="101">
        <v>883</v>
      </c>
      <c r="F30" s="115" t="s">
        <v>27</v>
      </c>
      <c r="G30" s="106">
        <v>22700</v>
      </c>
      <c r="H30" s="106">
        <v>21111</v>
      </c>
      <c r="I30" s="108">
        <v>0.25</v>
      </c>
      <c r="J30" s="13">
        <f t="shared" ref="J30:J31" si="0">H30*I30</f>
        <v>5277.75</v>
      </c>
      <c r="K30" s="12">
        <v>0</v>
      </c>
      <c r="L30" s="12">
        <v>0</v>
      </c>
      <c r="M30" s="13">
        <f t="shared" ref="M30:M31" si="1">J30</f>
        <v>5277.75</v>
      </c>
      <c r="O30" s="100"/>
      <c r="Q30" s="100"/>
    </row>
    <row r="31" spans="1:17" ht="15" x14ac:dyDescent="0.2">
      <c r="A31" s="126">
        <v>2</v>
      </c>
      <c r="B31" s="101" t="s">
        <v>126</v>
      </c>
      <c r="C31" s="107" t="s">
        <v>127</v>
      </c>
      <c r="D31" s="109" t="s">
        <v>164</v>
      </c>
      <c r="E31" s="101" t="s">
        <v>162</v>
      </c>
      <c r="F31" s="115" t="s">
        <v>27</v>
      </c>
      <c r="G31" s="106">
        <v>300</v>
      </c>
      <c r="H31" s="106">
        <v>300</v>
      </c>
      <c r="I31" s="108">
        <v>0.25</v>
      </c>
      <c r="J31" s="13">
        <f t="shared" si="0"/>
        <v>75</v>
      </c>
      <c r="K31" s="12">
        <v>0</v>
      </c>
      <c r="L31" s="12">
        <v>0</v>
      </c>
      <c r="M31" s="13">
        <f t="shared" si="1"/>
        <v>75</v>
      </c>
      <c r="O31" s="100"/>
      <c r="Q31" s="100"/>
    </row>
    <row r="32" spans="1:17" ht="14.25" x14ac:dyDescent="0.2">
      <c r="A32" s="149" t="s">
        <v>0</v>
      </c>
      <c r="B32" s="150"/>
      <c r="C32" s="14"/>
      <c r="D32" s="15"/>
      <c r="E32" s="64">
        <f>SUM(E30:E31)</f>
        <v>883</v>
      </c>
      <c r="F32" s="15"/>
      <c r="G32" s="64">
        <f>SUM(G30:G31)</f>
        <v>23000</v>
      </c>
      <c r="H32" s="64">
        <f>SUM(H30:H31)</f>
        <v>21411</v>
      </c>
      <c r="I32" s="102"/>
      <c r="J32" s="17">
        <f>SUM(J30:J31)</f>
        <v>5352.75</v>
      </c>
      <c r="K32" s="16"/>
      <c r="L32" s="16"/>
      <c r="M32" s="17">
        <f>SUM(M30:M31)</f>
        <v>5352.75</v>
      </c>
      <c r="P32" s="66"/>
    </row>
    <row r="33" spans="1:14" ht="13.5" x14ac:dyDescent="0.25">
      <c r="A33" s="2" t="s">
        <v>17</v>
      </c>
      <c r="B33" s="3"/>
      <c r="C33" s="11"/>
      <c r="D33" s="11"/>
      <c r="E33" s="145" t="str">
        <f>Лист1!B3</f>
        <v>Пять тысяч триста пятьдесят два доллара США,75 центов.</v>
      </c>
      <c r="F33" s="146"/>
      <c r="G33" s="146"/>
      <c r="H33" s="146"/>
      <c r="I33" s="146"/>
      <c r="J33" s="146"/>
      <c r="K33" s="146"/>
      <c r="L33" s="146"/>
      <c r="M33" s="146"/>
    </row>
    <row r="34" spans="1:14" ht="20.25" customHeight="1" x14ac:dyDescent="0.2">
      <c r="A34" s="143"/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</row>
    <row r="35" spans="1:14" ht="25.5" customHeight="1" x14ac:dyDescent="0.2">
      <c r="A35" s="143" t="s">
        <v>109</v>
      </c>
      <c r="B35" s="143"/>
      <c r="C35" s="143"/>
      <c r="D35" s="143"/>
      <c r="E35" s="143"/>
      <c r="F35" s="143"/>
      <c r="G35" s="143"/>
      <c r="H35" s="143"/>
      <c r="I35" s="143"/>
      <c r="J35" s="143"/>
      <c r="K35" s="143"/>
      <c r="L35" s="143"/>
      <c r="M35" s="143"/>
      <c r="N35" s="26"/>
    </row>
    <row r="37" spans="1:14" ht="15" x14ac:dyDescent="0.25">
      <c r="A37" s="7" t="s">
        <v>28</v>
      </c>
      <c r="B37" s="7"/>
      <c r="D37" s="25" t="s">
        <v>146</v>
      </c>
      <c r="E37" s="24"/>
    </row>
    <row r="38" spans="1:14" ht="15" x14ac:dyDescent="0.25">
      <c r="A38" s="7"/>
      <c r="B38" s="9"/>
    </row>
    <row r="39" spans="1:14" ht="15" x14ac:dyDescent="0.25">
      <c r="A39" s="7" t="s">
        <v>18</v>
      </c>
      <c r="B39" s="9"/>
    </row>
    <row r="40" spans="1:14" ht="15" x14ac:dyDescent="0.25">
      <c r="A40" s="7"/>
      <c r="B40" s="9"/>
    </row>
    <row r="41" spans="1:14" ht="15" x14ac:dyDescent="0.25">
      <c r="A41" s="7" t="s">
        <v>29</v>
      </c>
      <c r="B41" s="9"/>
    </row>
    <row r="42" spans="1:14" ht="15" x14ac:dyDescent="0.25">
      <c r="A42" s="8"/>
      <c r="B42" s="9"/>
    </row>
    <row r="43" spans="1:14" x14ac:dyDescent="0.2">
      <c r="A43" s="4"/>
    </row>
  </sheetData>
  <mergeCells count="37">
    <mergeCell ref="I28:I29"/>
    <mergeCell ref="G28:H28"/>
    <mergeCell ref="C23:M23"/>
    <mergeCell ref="E26:G26"/>
    <mergeCell ref="G7:M7"/>
    <mergeCell ref="A7:E7"/>
    <mergeCell ref="A15:E15"/>
    <mergeCell ref="A16:E16"/>
    <mergeCell ref="G21:M21"/>
    <mergeCell ref="A35:M35"/>
    <mergeCell ref="G15:M15"/>
    <mergeCell ref="G13:M13"/>
    <mergeCell ref="G14:M14"/>
    <mergeCell ref="E33:M33"/>
    <mergeCell ref="E28:E29"/>
    <mergeCell ref="C28:C29"/>
    <mergeCell ref="D28:D29"/>
    <mergeCell ref="A34:M34"/>
    <mergeCell ref="A32:B32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</mergeCells>
  <phoneticPr fontId="8" type="noConversion"/>
  <pageMargins left="0.26" right="0.28000000000000003" top="0.26" bottom="0.19" header="0.35" footer="0.12"/>
  <pageSetup paperSize="9" scale="7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topLeftCell="A7" zoomScale="115" zoomScaleNormal="115" workbookViewId="0">
      <selection activeCell="B32" sqref="B32:I40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>ООО «VISTOTRADE»</v>
      </c>
    </row>
    <row r="3" spans="1:11" ht="11.25" customHeight="1" x14ac:dyDescent="0.2">
      <c r="B3" s="70" t="str">
        <f>+Инвойс!A6</f>
        <v xml:space="preserve">Республика Узбекистан. Кашкадарьинская область, </v>
      </c>
    </row>
    <row r="4" spans="1:11" ht="11.25" customHeight="1" x14ac:dyDescent="0.2">
      <c r="B4" s="70" t="str">
        <f>+Инвойс!A7</f>
        <v>Г. Гулам, МФУ, улица Гузара, дом 14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111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131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29.08.2025г.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6" t="str">
        <f>+CONCATENATE(Инвойс!C1,Инвойс!F1)</f>
        <v>ИНВОЙС № VG-N-41 от  29.08.2025г.</v>
      </c>
      <c r="C24" s="156"/>
      <c r="D24" s="156"/>
      <c r="E24" s="73"/>
      <c r="F24" s="73"/>
      <c r="G24" s="73"/>
      <c r="H24" s="73"/>
      <c r="I24" s="73"/>
    </row>
    <row r="25" spans="1:9" x14ac:dyDescent="0.2">
      <c r="B25" s="157" t="s">
        <v>106</v>
      </c>
      <c r="C25" s="157"/>
      <c r="D25" s="157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883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22700</v>
      </c>
    </row>
    <row r="31" spans="1:9" ht="9" customHeight="1" x14ac:dyDescent="0.2">
      <c r="A31" s="74"/>
      <c r="B31" s="103">
        <f>+Инвойс!A31</f>
        <v>2</v>
      </c>
      <c r="C31" s="103" t="str">
        <f>+Инвойс!E31</f>
        <v>-</v>
      </c>
      <c r="D31" s="103" t="str">
        <f>+Инвойс!D31</f>
        <v>Навалом</v>
      </c>
      <c r="E31" s="103"/>
      <c r="F31" s="103" t="str">
        <f>+Инвойс!B31</f>
        <v>Дыни свежие</v>
      </c>
      <c r="G31" s="104" t="str">
        <f>+Инвойс!C31</f>
        <v>0807190001</v>
      </c>
      <c r="H31" s="103"/>
      <c r="I31" s="105">
        <f>+Инвойс!G31</f>
        <v>300</v>
      </c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8" t="str">
        <f>+Инвойс!C23</f>
        <v>СВХ ООО "ОМАС" 10610050 - т/п Омский 
644117, Омская обл., г. Омск, ул. 3-я Молодежная, д. 6</v>
      </c>
      <c r="C45" s="158"/>
      <c r="D45" s="158"/>
    </row>
    <row r="46" spans="1:9" ht="11.25" customHeight="1" x14ac:dyDescent="0.2">
      <c r="B46" s="158"/>
      <c r="C46" s="158"/>
      <c r="D46" s="158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59" t="str">
        <f>+C22</f>
        <v xml:space="preserve"> 29.08.2025г.</v>
      </c>
      <c r="E49" s="159"/>
      <c r="F49" s="159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40866TBA/406013AA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1"/>
  <sheetViews>
    <sheetView topLeftCell="A14" zoomScaleNormal="100" workbookViewId="0">
      <selection activeCell="D47" sqref="D47:E47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62" t="s">
        <v>96</v>
      </c>
      <c r="C2" s="162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63" t="str">
        <f>+Инвойс!E26</f>
        <v>40866TBA/406013AA</v>
      </c>
      <c r="C14" s="163"/>
      <c r="D14" s="163"/>
      <c r="E14" s="163"/>
      <c r="F14" s="163"/>
      <c r="G14" s="163"/>
      <c r="H14" s="164" t="s">
        <v>107</v>
      </c>
      <c r="I14" s="164"/>
      <c r="J14" s="88" t="str">
        <f>+Инвойс!F1</f>
        <v xml:space="preserve"> 29.08.2025г.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65" t="str">
        <f>+CMR!B24</f>
        <v>ИНВОЙС № VG-N-41 от  29.08.2025г.</v>
      </c>
      <c r="I15" s="165"/>
      <c r="J15" s="165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6"/>
      <c r="F18" s="117">
        <f>+Инвойс!E30</f>
        <v>883</v>
      </c>
      <c r="G18" s="166" t="str">
        <f>+CMR!F30</f>
        <v>Дыни свежие</v>
      </c>
      <c r="H18" s="166"/>
      <c r="I18" s="118"/>
      <c r="J18" s="119"/>
    </row>
    <row r="19" spans="2:10" ht="11.25" customHeight="1" x14ac:dyDescent="0.25">
      <c r="B19" s="91"/>
      <c r="E19" s="116"/>
      <c r="F19" s="120" t="str">
        <f>+Инвойс!D30</f>
        <v>Карт.Коробок</v>
      </c>
      <c r="G19" s="160" t="str">
        <f>+Инвойс!C30</f>
        <v>0807190001</v>
      </c>
      <c r="H19" s="161"/>
      <c r="I19" s="121" t="s">
        <v>103</v>
      </c>
      <c r="J19" s="119">
        <f>+Инвойс!G30</f>
        <v>22700</v>
      </c>
    </row>
    <row r="20" spans="2:10" ht="13.5" customHeight="1" x14ac:dyDescent="0.25">
      <c r="B20" s="83"/>
      <c r="E20" s="122"/>
      <c r="F20" s="117" t="str">
        <f>+Инвойс!E31</f>
        <v>-</v>
      </c>
      <c r="G20" s="166" t="str">
        <f>+CMR!F31</f>
        <v>Дыни свежие</v>
      </c>
      <c r="H20" s="166"/>
      <c r="I20" s="118"/>
      <c r="J20" s="119"/>
    </row>
    <row r="21" spans="2:10" ht="13.5" customHeight="1" x14ac:dyDescent="0.25">
      <c r="B21" s="83" t="s">
        <v>104</v>
      </c>
      <c r="E21" s="122"/>
      <c r="F21" s="120" t="str">
        <f>+Инвойс!D31</f>
        <v>Навалом</v>
      </c>
      <c r="G21" s="160" t="str">
        <f>+Инвойс!C31</f>
        <v>0807190001</v>
      </c>
      <c r="H21" s="161"/>
      <c r="I21" s="121" t="s">
        <v>103</v>
      </c>
      <c r="J21" s="119">
        <f>+Инвойс!G31</f>
        <v>300</v>
      </c>
    </row>
    <row r="22" spans="2:10" ht="12.75" customHeight="1" x14ac:dyDescent="0.25">
      <c r="B22" s="83"/>
      <c r="E22" s="122"/>
      <c r="F22" s="117"/>
      <c r="G22" s="166"/>
      <c r="H22" s="166"/>
      <c r="I22" s="118"/>
      <c r="J22" s="119"/>
    </row>
    <row r="23" spans="2:10" ht="14.25" customHeight="1" x14ac:dyDescent="0.25">
      <c r="B23" s="83"/>
      <c r="E23" s="122"/>
      <c r="F23" s="120"/>
      <c r="G23" s="160"/>
      <c r="H23" s="161"/>
      <c r="I23" s="121"/>
      <c r="J23" s="119"/>
    </row>
    <row r="24" spans="2:10" ht="12.75" customHeight="1" x14ac:dyDescent="0.25">
      <c r="B24" s="87"/>
      <c r="E24" s="122"/>
      <c r="F24" s="117"/>
      <c r="G24" s="166"/>
      <c r="H24" s="166"/>
      <c r="I24" s="118"/>
      <c r="J24" s="119"/>
    </row>
    <row r="25" spans="2:10" ht="12.75" customHeight="1" x14ac:dyDescent="0.25">
      <c r="B25" s="87"/>
      <c r="E25" s="122"/>
      <c r="F25" s="120"/>
      <c r="G25" s="160"/>
      <c r="H25" s="161"/>
      <c r="I25" s="121"/>
      <c r="J25" s="119"/>
    </row>
    <row r="26" spans="2:10" ht="12" customHeight="1" x14ac:dyDescent="0.25">
      <c r="B26" s="87"/>
      <c r="E26" s="122"/>
      <c r="F26" s="117"/>
      <c r="G26" s="166"/>
      <c r="H26" s="166"/>
      <c r="I26" s="118"/>
      <c r="J26" s="119"/>
    </row>
    <row r="27" spans="2:10" ht="14.25" customHeight="1" x14ac:dyDescent="0.25">
      <c r="B27" s="87"/>
      <c r="E27" s="122"/>
      <c r="F27" s="120"/>
      <c r="G27" s="160"/>
      <c r="H27" s="161"/>
      <c r="I27" s="121"/>
      <c r="J27" s="119"/>
    </row>
    <row r="28" spans="2:10" ht="12.75" customHeight="1" x14ac:dyDescent="0.25">
      <c r="B28" s="87"/>
      <c r="E28" s="122"/>
      <c r="F28" s="117"/>
      <c r="G28" s="166"/>
      <c r="H28" s="166"/>
      <c r="I28" s="118"/>
      <c r="J28" s="119"/>
    </row>
    <row r="29" spans="2:10" ht="12.75" customHeight="1" x14ac:dyDescent="0.25">
      <c r="B29" s="87"/>
      <c r="E29" s="122"/>
      <c r="F29" s="120"/>
      <c r="G29" s="160"/>
      <c r="H29" s="161"/>
      <c r="I29" s="121"/>
      <c r="J29" s="119"/>
    </row>
    <row r="30" spans="2:10" ht="12.75" customHeight="1" x14ac:dyDescent="0.25">
      <c r="B30" s="87"/>
      <c r="E30" s="122"/>
      <c r="F30" s="117"/>
      <c r="G30" s="166"/>
      <c r="H30" s="166"/>
      <c r="I30" s="118"/>
      <c r="J30" s="119"/>
    </row>
    <row r="31" spans="2:10" ht="13.5" customHeight="1" x14ac:dyDescent="0.25">
      <c r="B31" s="87"/>
      <c r="E31" s="122"/>
      <c r="F31" s="120"/>
      <c r="G31" s="160"/>
      <c r="H31" s="161"/>
      <c r="I31" s="121"/>
      <c r="J31" s="119"/>
    </row>
    <row r="32" spans="2:10" ht="13.5" customHeight="1" x14ac:dyDescent="0.25">
      <c r="B32" s="87"/>
      <c r="E32" s="122"/>
      <c r="F32" s="117"/>
      <c r="G32" s="166"/>
      <c r="H32" s="166"/>
      <c r="I32" s="118"/>
      <c r="J32" s="119"/>
    </row>
    <row r="33" spans="2:10" ht="13.5" customHeight="1" x14ac:dyDescent="0.25">
      <c r="B33" s="87"/>
      <c r="E33" s="122"/>
      <c r="F33" s="120"/>
      <c r="G33" s="160"/>
      <c r="H33" s="161"/>
      <c r="I33" s="121"/>
      <c r="J33" s="119"/>
    </row>
    <row r="34" spans="2:10" ht="13.5" customHeight="1" x14ac:dyDescent="0.25">
      <c r="B34" s="87"/>
      <c r="E34" s="122"/>
      <c r="F34" s="117"/>
      <c r="G34" s="166"/>
      <c r="H34" s="166"/>
      <c r="I34" s="118"/>
      <c r="J34" s="119"/>
    </row>
    <row r="35" spans="2:10" ht="12.75" customHeight="1" x14ac:dyDescent="0.25">
      <c r="B35" s="87"/>
      <c r="E35" s="122"/>
      <c r="F35" s="120"/>
      <c r="G35" s="160"/>
      <c r="H35" s="161"/>
      <c r="I35" s="121"/>
      <c r="J35" s="119"/>
    </row>
    <row r="36" spans="2:10" x14ac:dyDescent="0.25">
      <c r="B36" s="87"/>
      <c r="E36" s="122"/>
      <c r="F36" s="117"/>
      <c r="G36" s="166"/>
      <c r="H36" s="166"/>
      <c r="I36" s="118"/>
      <c r="J36" s="119"/>
    </row>
    <row r="37" spans="2:10" ht="13.5" customHeight="1" x14ac:dyDescent="0.25">
      <c r="B37" s="87"/>
      <c r="E37" s="122"/>
      <c r="F37" s="120"/>
      <c r="G37" s="160"/>
      <c r="H37" s="161"/>
      <c r="I37" s="121"/>
      <c r="J37" s="119"/>
    </row>
    <row r="38" spans="2:10" x14ac:dyDescent="0.25">
      <c r="B38" s="87"/>
      <c r="E38" s="122"/>
      <c r="F38" s="117"/>
      <c r="G38" s="166"/>
      <c r="H38" s="166"/>
      <c r="I38" s="118"/>
      <c r="J38" s="119"/>
    </row>
    <row r="39" spans="2:10" ht="13.5" customHeight="1" x14ac:dyDescent="0.25">
      <c r="B39" s="87"/>
      <c r="E39" s="122"/>
      <c r="F39" s="120"/>
      <c r="G39" s="160"/>
      <c r="H39" s="161"/>
      <c r="I39" s="121"/>
      <c r="J39" s="119"/>
    </row>
    <row r="40" spans="2:10" ht="14.25" hidden="1" customHeight="1" x14ac:dyDescent="0.25">
      <c r="B40" s="87"/>
      <c r="E40" s="122"/>
      <c r="F40" s="117"/>
      <c r="G40" s="166"/>
      <c r="H40" s="166"/>
      <c r="I40" s="118"/>
      <c r="J40" s="119"/>
    </row>
    <row r="41" spans="2:10" ht="14.25" hidden="1" customHeight="1" x14ac:dyDescent="0.25">
      <c r="B41" s="87"/>
      <c r="E41" s="122"/>
      <c r="F41" s="120"/>
      <c r="G41" s="160"/>
      <c r="H41" s="161"/>
      <c r="I41" s="121"/>
      <c r="J41" s="119"/>
    </row>
    <row r="42" spans="2:10" hidden="1" x14ac:dyDescent="0.25">
      <c r="B42" s="87"/>
      <c r="E42" s="122"/>
      <c r="F42" s="117"/>
      <c r="G42" s="166"/>
      <c r="H42" s="166"/>
      <c r="I42" s="118"/>
      <c r="J42" s="119"/>
    </row>
    <row r="43" spans="2:10" x14ac:dyDescent="0.25">
      <c r="B43" s="87"/>
      <c r="E43" s="122"/>
      <c r="F43" s="120"/>
      <c r="G43" s="160"/>
      <c r="H43" s="161"/>
      <c r="I43" s="121"/>
      <c r="J43" s="119"/>
    </row>
    <row r="44" spans="2:10" ht="9" customHeight="1" x14ac:dyDescent="0.25">
      <c r="B44" s="87"/>
      <c r="E44" s="95"/>
      <c r="F44" s="92"/>
      <c r="G44" s="168"/>
      <c r="H44" s="168"/>
      <c r="I44" s="94"/>
      <c r="J44" s="123"/>
    </row>
    <row r="45" spans="2:10" ht="15" customHeight="1" x14ac:dyDescent="0.25">
      <c r="B45" s="87"/>
      <c r="E45" s="95"/>
      <c r="F45" s="92"/>
      <c r="G45" s="93"/>
      <c r="H45" s="94"/>
      <c r="I45" s="121"/>
      <c r="J45" s="119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69">
        <v>883</v>
      </c>
      <c r="E47" s="170"/>
    </row>
    <row r="48" spans="2:10" ht="17.25" customHeight="1" x14ac:dyDescent="0.25">
      <c r="B48" s="167" t="s">
        <v>105</v>
      </c>
      <c r="C48" s="167"/>
      <c r="D48" s="167"/>
      <c r="E48" s="167"/>
    </row>
    <row r="49" spans="2:5" ht="21.75" customHeight="1" x14ac:dyDescent="0.25">
      <c r="B49" s="167"/>
      <c r="C49" s="167"/>
      <c r="D49" s="167"/>
      <c r="E49" s="167"/>
    </row>
    <row r="50" spans="2:5" x14ac:dyDescent="0.25">
      <c r="B50" s="98"/>
    </row>
    <row r="51" spans="2:5" x14ac:dyDescent="0.25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3"/>
  <sheetViews>
    <sheetView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73" t="s">
        <v>163</v>
      </c>
      <c r="C1" s="173"/>
      <c r="D1" s="173"/>
      <c r="E1" s="173"/>
      <c r="F1" s="133" t="str">
        <f>+Инвойс!F1</f>
        <v xml:space="preserve"> 29.08.2025г.</v>
      </c>
      <c r="G1" s="133"/>
      <c r="H1" s="133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40" t="str">
        <f>+Инвойс!C2</f>
        <v>к контракту № GR-VT-01 от 22.08.2025 года</v>
      </c>
      <c r="D2" s="140"/>
      <c r="E2" s="140"/>
      <c r="F2" s="140"/>
      <c r="G2" s="140"/>
      <c r="H2" s="140"/>
      <c r="I2" s="140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6" t="s">
        <v>19</v>
      </c>
      <c r="B4" s="136"/>
      <c r="C4" s="136"/>
      <c r="D4" s="136"/>
      <c r="E4" s="136"/>
      <c r="G4" s="136" t="s">
        <v>20</v>
      </c>
      <c r="H4" s="136"/>
      <c r="I4" s="136"/>
      <c r="J4" s="136"/>
      <c r="K4" s="136"/>
      <c r="L4" s="136"/>
      <c r="M4" s="136"/>
    </row>
    <row r="5" spans="1:15" ht="14.25" customHeight="1" x14ac:dyDescent="0.2">
      <c r="A5" s="135" t="str">
        <f>+Инвойс!A5</f>
        <v>ООО «VISTOTRADE»</v>
      </c>
      <c r="B5" s="135"/>
      <c r="C5" s="135"/>
      <c r="D5" s="135"/>
      <c r="E5" s="135"/>
      <c r="F5" s="6"/>
      <c r="G5" s="137" t="str">
        <f>+Инвойс!G5</f>
        <v>ООО «ГРИН ВОРЛД»</v>
      </c>
      <c r="H5" s="137"/>
      <c r="I5" s="137"/>
      <c r="J5" s="137"/>
      <c r="K5" s="137"/>
      <c r="L5" s="137"/>
      <c r="M5" s="137"/>
    </row>
    <row r="6" spans="1:15" ht="15" x14ac:dyDescent="0.25">
      <c r="A6" s="141" t="str">
        <f>+Инвойс!A6</f>
        <v xml:space="preserve">Республика Узбекистан. Кашкадарьинская область, </v>
      </c>
      <c r="B6" s="141"/>
      <c r="C6" s="141"/>
      <c r="D6" s="141"/>
      <c r="E6" s="141"/>
      <c r="F6" s="7"/>
      <c r="G6" s="171" t="str">
        <f>+Инвойс!G6</f>
        <v xml:space="preserve">454106, ЧЕЛЯБИНСКАЯ ОБЛАСТЬ, Г ЧЕЛЯБИНСК, </v>
      </c>
      <c r="H6" s="171"/>
      <c r="I6" s="171"/>
      <c r="J6" s="171"/>
      <c r="K6" s="171"/>
      <c r="L6" s="171"/>
      <c r="M6" s="171"/>
      <c r="N6" s="4"/>
    </row>
    <row r="7" spans="1:15" ht="15" x14ac:dyDescent="0.25">
      <c r="A7" s="141" t="str">
        <f>+Инвойс!A7</f>
        <v>Г. Гулам, МФУ, улица Гузара, дом 14</v>
      </c>
      <c r="B7" s="141"/>
      <c r="C7" s="141"/>
      <c r="D7" s="141"/>
      <c r="E7" s="141"/>
      <c r="F7" s="63"/>
      <c r="G7" s="171" t="str">
        <f>+Инвойс!G7</f>
        <v>УЛ ОСТРОВСКОГО, Д. 36, КВ. 176</v>
      </c>
      <c r="H7" s="171"/>
      <c r="I7" s="171"/>
      <c r="J7" s="171"/>
      <c r="K7" s="171"/>
      <c r="L7" s="171"/>
      <c r="M7" s="171"/>
    </row>
    <row r="8" spans="1:15" ht="15" customHeight="1" x14ac:dyDescent="0.25">
      <c r="A8" s="141" t="str">
        <f>+Инвойс!A8</f>
        <v>в АКБ «KAPITAL BANK» МФО: 01158</v>
      </c>
      <c r="B8" s="141"/>
      <c r="C8" s="141"/>
      <c r="D8" s="141"/>
      <c r="E8" s="141"/>
      <c r="F8" s="63"/>
      <c r="G8" s="171" t="str">
        <f>+Инвойс!G8</f>
        <v>ИНН/ КПП 7448223299 / 744801001</v>
      </c>
      <c r="H8" s="171"/>
      <c r="I8" s="171"/>
      <c r="J8" s="171"/>
      <c r="K8" s="171"/>
      <c r="L8" s="171"/>
      <c r="M8" s="171"/>
    </row>
    <row r="9" spans="1:15" ht="15" x14ac:dyDescent="0.25">
      <c r="A9" s="141" t="str">
        <f>+Инвойс!A9</f>
        <v>р/с: 20208840407263267001 (доллар США)</v>
      </c>
      <c r="B9" s="141"/>
      <c r="C9" s="141"/>
      <c r="D9" s="141"/>
      <c r="E9" s="141"/>
      <c r="F9" s="7"/>
      <c r="G9" s="171" t="str">
        <f>+Инвойс!G9</f>
        <v>р/с 40702810000000024357</v>
      </c>
      <c r="H9" s="171"/>
      <c r="I9" s="171"/>
      <c r="J9" s="171"/>
      <c r="K9" s="171"/>
      <c r="L9" s="171"/>
      <c r="M9" s="171"/>
      <c r="O9" s="7"/>
    </row>
    <row r="10" spans="1:15" ht="15" x14ac:dyDescent="0.25">
      <c r="A10" s="141" t="str">
        <f>+Инвойс!A10</f>
        <v>SWIFT: KACHUZ22</v>
      </c>
      <c r="B10" s="141"/>
      <c r="C10" s="141"/>
      <c r="D10" s="141"/>
      <c r="E10" s="141"/>
      <c r="F10" s="7"/>
      <c r="G10" s="171" t="str">
        <f>+Инвойс!G10</f>
        <v>Корр. счет: 30101810445250000234</v>
      </c>
      <c r="H10" s="171"/>
      <c r="I10" s="171"/>
      <c r="J10" s="171"/>
      <c r="K10" s="171"/>
      <c r="L10" s="171"/>
      <c r="M10" s="171"/>
    </row>
    <row r="11" spans="1:15" ht="15" x14ac:dyDescent="0.25">
      <c r="A11" s="141" t="str">
        <f>+Инвойс!A11</f>
        <v>ИНН: 312236782</v>
      </c>
      <c r="B11" s="141"/>
      <c r="C11" s="141"/>
      <c r="D11" s="141"/>
      <c r="E11" s="141"/>
      <c r="F11" s="7"/>
      <c r="G11" s="171" t="str">
        <f>+Инвойс!G11</f>
        <v>Азия-Инвест Банк (АО) г. Москва</v>
      </c>
      <c r="H11" s="171"/>
      <c r="I11" s="171"/>
      <c r="J11" s="171"/>
      <c r="K11" s="171"/>
      <c r="L11" s="171"/>
      <c r="M11" s="171"/>
    </row>
    <row r="12" spans="1:15" ht="36" customHeight="1" x14ac:dyDescent="0.25">
      <c r="A12" s="138"/>
      <c r="B12" s="138"/>
      <c r="C12" s="138"/>
      <c r="D12" s="138"/>
      <c r="E12" s="138"/>
      <c r="F12" s="7"/>
      <c r="G12" s="138"/>
      <c r="H12" s="138"/>
      <c r="I12" s="138"/>
      <c r="J12" s="138"/>
      <c r="K12" s="138"/>
      <c r="L12" s="138"/>
      <c r="M12" s="138"/>
    </row>
    <row r="13" spans="1:15" ht="24" customHeight="1" x14ac:dyDescent="0.25">
      <c r="A13" s="136" t="s">
        <v>31</v>
      </c>
      <c r="B13" s="136"/>
      <c r="C13" s="136"/>
      <c r="D13" s="136"/>
      <c r="E13" s="136"/>
      <c r="G13" s="136" t="s">
        <v>21</v>
      </c>
      <c r="H13" s="144"/>
      <c r="I13" s="144"/>
      <c r="J13" s="144"/>
      <c r="K13" s="144"/>
      <c r="L13" s="144"/>
      <c r="M13" s="144"/>
    </row>
    <row r="14" spans="1:15" ht="14.25" customHeight="1" x14ac:dyDescent="0.2">
      <c r="A14" s="135" t="str">
        <f>+Инвойс!A14</f>
        <v>ООО «VISTOTRADE»</v>
      </c>
      <c r="B14" s="135"/>
      <c r="C14" s="135"/>
      <c r="D14" s="135"/>
      <c r="E14" s="135"/>
      <c r="F14" s="6"/>
      <c r="G14" s="137" t="str">
        <f>+Инвойс!G14</f>
        <v>ООО «ГРИН ВОРЛД»</v>
      </c>
      <c r="H14" s="137"/>
      <c r="I14" s="137"/>
      <c r="J14" s="137"/>
      <c r="K14" s="137"/>
      <c r="L14" s="137"/>
      <c r="M14" s="137"/>
    </row>
    <row r="15" spans="1:15" ht="13.9" customHeight="1" x14ac:dyDescent="0.25">
      <c r="A15" s="141" t="str">
        <f>+Инвойс!A15</f>
        <v xml:space="preserve">Республика Узбекистан. Кашкадарьинская область, </v>
      </c>
      <c r="B15" s="141"/>
      <c r="C15" s="141"/>
      <c r="D15" s="141"/>
      <c r="E15" s="141"/>
      <c r="F15" s="7"/>
      <c r="G15" s="171" t="str">
        <f>+Инвойс!G15</f>
        <v xml:space="preserve">454106, ЧЕЛЯБИНСКАЯ ОБЛАСТЬ, Г ЧЕЛЯБИНСК, </v>
      </c>
      <c r="H15" s="171"/>
      <c r="I15" s="171"/>
      <c r="J15" s="171"/>
      <c r="K15" s="171"/>
      <c r="L15" s="171"/>
      <c r="M15" s="171"/>
    </row>
    <row r="16" spans="1:15" ht="15" x14ac:dyDescent="0.25">
      <c r="A16" s="141" t="str">
        <f>+Инвойс!A16</f>
        <v>Г. Гулам, МФУ, улица Гузара, дом 14</v>
      </c>
      <c r="B16" s="141"/>
      <c r="C16" s="141"/>
      <c r="D16" s="141"/>
      <c r="E16" s="141"/>
      <c r="F16" s="63"/>
      <c r="G16" s="171" t="str">
        <f>+Инвойс!G16</f>
        <v>УЛ ОСТРОВСКОГО, Д. 36, КВ. 176</v>
      </c>
      <c r="H16" s="171"/>
      <c r="I16" s="171"/>
      <c r="J16" s="171"/>
      <c r="K16" s="171"/>
      <c r="L16" s="171"/>
      <c r="M16" s="171"/>
    </row>
    <row r="17" spans="1:17" ht="15" customHeight="1" x14ac:dyDescent="0.25">
      <c r="A17" s="141" t="str">
        <f>+Инвойс!A17</f>
        <v>в АКБ «KAPITAL BANK» МФО: 01158</v>
      </c>
      <c r="B17" s="141"/>
      <c r="C17" s="141"/>
      <c r="D17" s="141"/>
      <c r="E17" s="141"/>
      <c r="F17" s="63"/>
      <c r="G17" s="171" t="str">
        <f>+Инвойс!G17</f>
        <v>ИНН/ КПП 7448223299 / 744801001</v>
      </c>
      <c r="H17" s="171"/>
      <c r="I17" s="171"/>
      <c r="J17" s="171"/>
      <c r="K17" s="171"/>
      <c r="L17" s="171"/>
      <c r="M17" s="171"/>
    </row>
    <row r="18" spans="1:17" ht="15" x14ac:dyDescent="0.25">
      <c r="A18" s="141" t="str">
        <f>+Инвойс!A18</f>
        <v>р/с: 20208840407263267001 (доллар США)</v>
      </c>
      <c r="B18" s="141"/>
      <c r="C18" s="141"/>
      <c r="D18" s="141"/>
      <c r="E18" s="141"/>
      <c r="F18" s="7"/>
      <c r="G18" s="171" t="str">
        <f>+Инвойс!G18</f>
        <v>р/с 40702810000000024357</v>
      </c>
      <c r="H18" s="171"/>
      <c r="I18" s="171"/>
      <c r="J18" s="171"/>
      <c r="K18" s="171"/>
      <c r="L18" s="171"/>
      <c r="M18" s="171"/>
    </row>
    <row r="19" spans="1:17" ht="15" x14ac:dyDescent="0.25">
      <c r="A19" s="141" t="str">
        <f>+Инвойс!A19</f>
        <v>SWIFT: KACHUZ22</v>
      </c>
      <c r="B19" s="141"/>
      <c r="C19" s="141"/>
      <c r="D19" s="141"/>
      <c r="E19" s="141"/>
      <c r="F19" s="7"/>
      <c r="G19" s="171" t="str">
        <f>+Инвойс!G19</f>
        <v>Корр. счет: 30101810445250000234</v>
      </c>
      <c r="H19" s="171"/>
      <c r="I19" s="171"/>
      <c r="J19" s="171"/>
      <c r="K19" s="171"/>
      <c r="L19" s="171"/>
      <c r="M19" s="171"/>
    </row>
    <row r="20" spans="1:17" ht="15" x14ac:dyDescent="0.25">
      <c r="A20" s="141" t="str">
        <f>+Инвойс!A20</f>
        <v>ИНН: 312236782</v>
      </c>
      <c r="B20" s="141"/>
      <c r="C20" s="141"/>
      <c r="D20" s="141"/>
      <c r="E20" s="141"/>
      <c r="F20" s="7"/>
      <c r="G20" s="171" t="str">
        <f>+Инвойс!G20</f>
        <v>Азия-Инвест Банк (АО) г. Москва</v>
      </c>
      <c r="H20" s="171"/>
      <c r="I20" s="171"/>
      <c r="J20" s="171"/>
      <c r="K20" s="171"/>
      <c r="L20" s="171"/>
      <c r="M20" s="171"/>
    </row>
    <row r="21" spans="1:17" ht="15" x14ac:dyDescent="0.25">
      <c r="A21" s="141"/>
      <c r="B21" s="141"/>
      <c r="C21" s="141"/>
      <c r="D21" s="141"/>
      <c r="E21" s="141"/>
      <c r="G21" s="7"/>
      <c r="H21" s="23"/>
      <c r="I21" s="23"/>
      <c r="J21" s="23"/>
    </row>
    <row r="22" spans="1:17" ht="43.5" customHeight="1" x14ac:dyDescent="0.25">
      <c r="A22" s="1" t="s">
        <v>124</v>
      </c>
      <c r="C22" s="65"/>
      <c r="F22" s="1"/>
    </row>
    <row r="23" spans="1:17" ht="26.25" hidden="1" customHeight="1" x14ac:dyDescent="0.2">
      <c r="A23" s="69" t="s">
        <v>87</v>
      </c>
      <c r="B23" s="68"/>
      <c r="C23" s="172" t="s">
        <v>115</v>
      </c>
      <c r="D23" s="172"/>
      <c r="E23" s="172"/>
      <c r="F23" s="172"/>
      <c r="G23" s="172"/>
      <c r="H23" s="172"/>
      <c r="I23" s="172"/>
      <c r="J23" s="172"/>
      <c r="K23" s="172"/>
      <c r="L23" s="172"/>
      <c r="M23" s="172"/>
    </row>
    <row r="24" spans="1:17" ht="15.75" x14ac:dyDescent="0.25">
      <c r="A24" s="20" t="s">
        <v>22</v>
      </c>
      <c r="C24" s="18" t="str">
        <f>+Инвойс!C24</f>
        <v>DAP - с Амандык, Республика Казахстан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54" t="str">
        <f>+Инвойс!E26</f>
        <v>40866TBA/406013AA</v>
      </c>
      <c r="F26" s="155"/>
      <c r="G26" s="155"/>
      <c r="J26" s="21"/>
    </row>
    <row r="27" spans="1:17" ht="34.5" customHeight="1" x14ac:dyDescent="0.25">
      <c r="A27" s="67" t="s">
        <v>125</v>
      </c>
      <c r="C27" s="18"/>
      <c r="E27" s="22"/>
      <c r="F27" s="22"/>
      <c r="G27" s="22"/>
      <c r="J27" s="21"/>
    </row>
    <row r="28" spans="1:17" ht="24" customHeight="1" x14ac:dyDescent="0.2">
      <c r="A28" s="147" t="s">
        <v>1</v>
      </c>
      <c r="B28" s="147" t="s">
        <v>2</v>
      </c>
      <c r="C28" s="147" t="s">
        <v>3</v>
      </c>
      <c r="D28" s="147" t="s">
        <v>4</v>
      </c>
      <c r="E28" s="147" t="s">
        <v>5</v>
      </c>
      <c r="F28" s="147" t="s">
        <v>6</v>
      </c>
      <c r="G28" s="151" t="s">
        <v>7</v>
      </c>
      <c r="H28" s="152"/>
      <c r="I28" s="147" t="s">
        <v>8</v>
      </c>
      <c r="J28" s="110" t="s">
        <v>9</v>
      </c>
      <c r="K28" s="151" t="s">
        <v>10</v>
      </c>
      <c r="L28" s="152"/>
      <c r="M28" s="147" t="s">
        <v>11</v>
      </c>
    </row>
    <row r="29" spans="1:17" ht="32.25" x14ac:dyDescent="0.2">
      <c r="A29" s="148"/>
      <c r="B29" s="148"/>
      <c r="C29" s="148"/>
      <c r="D29" s="148"/>
      <c r="E29" s="148"/>
      <c r="F29" s="148"/>
      <c r="G29" s="110" t="s">
        <v>12</v>
      </c>
      <c r="H29" s="110" t="s">
        <v>13</v>
      </c>
      <c r="I29" s="148"/>
      <c r="J29" s="111" t="s">
        <v>14</v>
      </c>
      <c r="K29" s="10" t="s">
        <v>15</v>
      </c>
      <c r="L29" s="10" t="s">
        <v>16</v>
      </c>
      <c r="M29" s="148"/>
    </row>
    <row r="30" spans="1:17" ht="36.75" customHeight="1" x14ac:dyDescent="0.2">
      <c r="A30" s="126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4" t="str">
        <f>+Инвойс!D30</f>
        <v>Карт.Коробок</v>
      </c>
      <c r="E30" s="101">
        <f>+Инвойс!E30</f>
        <v>883</v>
      </c>
      <c r="F30" s="115" t="str">
        <f>+Инвойс!F30</f>
        <v>кг</v>
      </c>
      <c r="G30" s="106">
        <f>+Инвойс!G30</f>
        <v>22700</v>
      </c>
      <c r="H30" s="106">
        <f>+Инвойс!H30</f>
        <v>21111</v>
      </c>
      <c r="I30" s="108">
        <f>+Инвойс!I30</f>
        <v>0.25</v>
      </c>
      <c r="J30" s="13">
        <f>+Инвойс!J30</f>
        <v>5277.75</v>
      </c>
      <c r="K30" s="12">
        <v>0</v>
      </c>
      <c r="L30" s="12">
        <v>0</v>
      </c>
      <c r="M30" s="13">
        <f>+Инвойс!M30</f>
        <v>5277.75</v>
      </c>
      <c r="O30" s="100"/>
      <c r="Q30" s="100"/>
    </row>
    <row r="31" spans="1:17" ht="15" x14ac:dyDescent="0.2">
      <c r="A31" s="126">
        <f>+Инвойс!A31</f>
        <v>2</v>
      </c>
      <c r="B31" s="101" t="str">
        <f>+Инвойс!B31</f>
        <v>Дыни свежие</v>
      </c>
      <c r="C31" s="107" t="str">
        <f>+Инвойс!C31</f>
        <v>0807190001</v>
      </c>
      <c r="D31" s="114" t="str">
        <f>+Инвойс!D31</f>
        <v>Навалом</v>
      </c>
      <c r="E31" s="101" t="str">
        <f>+Инвойс!E31</f>
        <v>-</v>
      </c>
      <c r="F31" s="115" t="str">
        <f>+Инвойс!F31</f>
        <v>кг</v>
      </c>
      <c r="G31" s="106">
        <f>+Инвойс!G31</f>
        <v>300</v>
      </c>
      <c r="H31" s="106">
        <f>+Инвойс!H31</f>
        <v>300</v>
      </c>
      <c r="I31" s="108">
        <f>+Инвойс!I31</f>
        <v>0.25</v>
      </c>
      <c r="J31" s="13">
        <f>+Инвойс!J31</f>
        <v>75</v>
      </c>
      <c r="K31" s="12">
        <v>0</v>
      </c>
      <c r="L31" s="12">
        <v>0</v>
      </c>
      <c r="M31" s="13">
        <f>+Инвойс!M31</f>
        <v>75</v>
      </c>
      <c r="O31" s="100"/>
      <c r="Q31" s="100"/>
    </row>
    <row r="32" spans="1:17" ht="14.25" x14ac:dyDescent="0.2">
      <c r="A32" s="149" t="s">
        <v>0</v>
      </c>
      <c r="B32" s="150"/>
      <c r="C32" s="14"/>
      <c r="D32" s="15"/>
      <c r="E32" s="64">
        <f>SUM(E30:E31)</f>
        <v>883</v>
      </c>
      <c r="F32" s="15"/>
      <c r="G32" s="64">
        <f>SUM(G30:G31)</f>
        <v>23000</v>
      </c>
      <c r="H32" s="64">
        <f>SUM(H30:H31)</f>
        <v>21411</v>
      </c>
      <c r="I32" s="102"/>
      <c r="J32" s="17">
        <f>SUM(J30:J31)</f>
        <v>5352.75</v>
      </c>
      <c r="K32" s="16"/>
      <c r="L32" s="16"/>
      <c r="M32" s="17">
        <f>SUM(M30:M31)</f>
        <v>5352.75</v>
      </c>
      <c r="P32" s="66"/>
    </row>
    <row r="33" spans="1:14" ht="13.5" x14ac:dyDescent="0.25">
      <c r="A33" s="2" t="s">
        <v>17</v>
      </c>
      <c r="B33" s="3"/>
      <c r="C33" s="11"/>
      <c r="D33" s="11"/>
      <c r="E33" s="145" t="str">
        <f>Лист1!B3</f>
        <v>Пять тысяч триста пятьдесят два доллара США,75 центов.</v>
      </c>
      <c r="F33" s="146"/>
      <c r="G33" s="146"/>
      <c r="H33" s="146"/>
      <c r="I33" s="146"/>
      <c r="J33" s="146"/>
      <c r="K33" s="146"/>
      <c r="L33" s="146"/>
      <c r="M33" s="146"/>
    </row>
    <row r="34" spans="1:14" ht="20.25" customHeight="1" x14ac:dyDescent="0.2">
      <c r="A34" s="143"/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</row>
    <row r="35" spans="1:14" ht="25.5" customHeight="1" x14ac:dyDescent="0.2">
      <c r="A35" s="143"/>
      <c r="B35" s="143"/>
      <c r="C35" s="143"/>
      <c r="D35" s="143"/>
      <c r="E35" s="143"/>
      <c r="F35" s="143"/>
      <c r="G35" s="143"/>
      <c r="H35" s="143"/>
      <c r="I35" s="143"/>
      <c r="J35" s="143"/>
      <c r="K35" s="143"/>
      <c r="L35" s="143"/>
      <c r="M35" s="143"/>
      <c r="N35" s="26"/>
    </row>
    <row r="37" spans="1:14" s="18" customFormat="1" ht="15.75" x14ac:dyDescent="0.25">
      <c r="A37" s="130" t="s">
        <v>147</v>
      </c>
      <c r="B37" s="130"/>
      <c r="D37" s="18" t="str">
        <f>+Инвойс!D37</f>
        <v>Авазов К.Ф</v>
      </c>
      <c r="E37" s="131"/>
      <c r="G37" s="128" t="s">
        <v>130</v>
      </c>
      <c r="H37" s="18" t="str">
        <f>Инвойс!G5</f>
        <v>ООО «ГРИН ВОРЛД»</v>
      </c>
      <c r="K37" s="132" t="s">
        <v>157</v>
      </c>
    </row>
    <row r="38" spans="1:14" ht="15" x14ac:dyDescent="0.25">
      <c r="A38" s="7"/>
      <c r="B38" s="9"/>
    </row>
    <row r="39" spans="1:14" ht="15" x14ac:dyDescent="0.25">
      <c r="A39" s="7"/>
      <c r="B39" s="9"/>
    </row>
    <row r="40" spans="1:14" ht="15" x14ac:dyDescent="0.25">
      <c r="A40" s="7"/>
      <c r="B40" s="9"/>
    </row>
    <row r="41" spans="1:14" ht="15" x14ac:dyDescent="0.25">
      <c r="A41" s="7"/>
      <c r="B41" s="9"/>
    </row>
    <row r="42" spans="1:14" ht="15" x14ac:dyDescent="0.25">
      <c r="A42" s="8"/>
      <c r="B42" s="9"/>
    </row>
    <row r="43" spans="1:14" x14ac:dyDescent="0.2">
      <c r="A43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4:M34"/>
    <mergeCell ref="A35:M35"/>
    <mergeCell ref="G28:H28"/>
    <mergeCell ref="I28:I29"/>
    <mergeCell ref="K28:L28"/>
    <mergeCell ref="M28:M29"/>
    <mergeCell ref="A32:B32"/>
    <mergeCell ref="E33:M33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5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zoomScale="85" zoomScaleNormal="85" workbookViewId="0">
      <selection activeCell="E8" sqref="E8"/>
    </sheetView>
  </sheetViews>
  <sheetFormatPr defaultRowHeight="12.75" x14ac:dyDescent="0.2"/>
  <cols>
    <col min="1" max="1" width="48.7109375" bestFit="1" customWidth="1"/>
  </cols>
  <sheetData>
    <row r="1" spans="1:10" ht="38.25" x14ac:dyDescent="0.2">
      <c r="A1" s="125" t="s">
        <v>116</v>
      </c>
    </row>
    <row r="3" spans="1:10" ht="51" x14ac:dyDescent="0.2">
      <c r="A3" s="129" t="s">
        <v>128</v>
      </c>
    </row>
    <row r="5" spans="1:10" ht="38.25" x14ac:dyDescent="0.2">
      <c r="A5" s="125" t="s">
        <v>117</v>
      </c>
    </row>
    <row r="6" spans="1:10" x14ac:dyDescent="0.2">
      <c r="E6" s="18" t="s">
        <v>129</v>
      </c>
      <c r="J6" s="25" t="s">
        <v>132</v>
      </c>
    </row>
    <row r="7" spans="1:10" ht="51" x14ac:dyDescent="0.2">
      <c r="A7" s="125" t="s">
        <v>118</v>
      </c>
    </row>
    <row r="8" spans="1:10" x14ac:dyDescent="0.2">
      <c r="E8" s="18" t="s">
        <v>138</v>
      </c>
      <c r="J8" s="25" t="s">
        <v>133</v>
      </c>
    </row>
    <row r="9" spans="1:10" ht="51" x14ac:dyDescent="0.2">
      <c r="A9" s="125" t="s">
        <v>119</v>
      </c>
    </row>
    <row r="10" spans="1:10" x14ac:dyDescent="0.2">
      <c r="A10" s="125"/>
      <c r="E10" s="18" t="s">
        <v>134</v>
      </c>
      <c r="J10" s="25" t="s">
        <v>135</v>
      </c>
    </row>
    <row r="11" spans="1:10" ht="51" x14ac:dyDescent="0.2">
      <c r="A11" s="125" t="s">
        <v>158</v>
      </c>
    </row>
    <row r="12" spans="1:10" x14ac:dyDescent="0.2">
      <c r="E12" s="18" t="s">
        <v>136</v>
      </c>
      <c r="J12" s="25" t="s">
        <v>137</v>
      </c>
    </row>
    <row r="13" spans="1:10" ht="51" x14ac:dyDescent="0.2">
      <c r="A13" s="125" t="s">
        <v>120</v>
      </c>
    </row>
    <row r="15" spans="1:10" ht="38.25" x14ac:dyDescent="0.2">
      <c r="A15" s="125" t="s">
        <v>121</v>
      </c>
    </row>
    <row r="17" spans="1:1" ht="38.25" x14ac:dyDescent="0.2">
      <c r="A17" s="125" t="s">
        <v>122</v>
      </c>
    </row>
    <row r="19" spans="1:1" ht="38.25" x14ac:dyDescent="0.2">
      <c r="A19" s="127" t="s">
        <v>123</v>
      </c>
    </row>
    <row r="21" spans="1:1" ht="12.75" customHeight="1" x14ac:dyDescent="0.2"/>
    <row r="25" spans="1:1" ht="12.75" customHeight="1" x14ac:dyDescent="0.2"/>
    <row r="29" spans="1:1" ht="12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6" t="s">
        <v>32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9" ht="15.75" x14ac:dyDescent="0.25">
      <c r="E2" s="27">
        <f>Инвойс!M32</f>
        <v>5352.75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Пять тысяч триста пятьдесят два доллара США,75 центов.</v>
      </c>
      <c r="E3" s="31"/>
      <c r="H3" s="32"/>
      <c r="J3" s="32"/>
      <c r="K3" s="32"/>
      <c r="L3" s="32"/>
      <c r="M3" s="33" t="s">
        <v>34</v>
      </c>
      <c r="N3" s="177">
        <f ca="1">TODAY()</f>
        <v>45898</v>
      </c>
      <c r="O3" s="177"/>
      <c r="P3">
        <f ca="1">DAY(N3)</f>
        <v>29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">
      <c r="A4" s="29" t="s">
        <v>35</v>
      </c>
      <c r="B4" s="36" t="str">
        <f>SUBSTITUTE(B6,F9,F10,1)</f>
        <v>Пять тысяч триста пятьдесят два доллара США,75 центов. (в т.ч. НДС - 357,79)</v>
      </c>
      <c r="H4" s="32"/>
      <c r="I4" s="32"/>
      <c r="J4" s="32"/>
      <c r="K4" s="178" t="str">
        <f ca="1">CONCATENATE(" «  ",P3,"  »  ",Q3,"  ",R3," г.")</f>
        <v xml:space="preserve"> «  29  »  августа  2025 г.</v>
      </c>
      <c r="L4" s="178"/>
      <c r="M4" s="178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пять тысяч триста пятьдесят два доллара США,75 центов.</v>
      </c>
    </row>
    <row r="6" spans="1:19" s="36" customFormat="1" x14ac:dyDescent="0.2">
      <c r="A6" s="38" t="s">
        <v>37</v>
      </c>
      <c r="B6" s="36" t="str">
        <f>CONCATENATE(A8,A9,A10,A11,A12,B8,B9,C9)</f>
        <v>пять тысяч триста пятьдесят два доллара США,75 центов. (в т.ч. НДС - 357,79)</v>
      </c>
      <c r="C6"/>
      <c r="D6"/>
      <c r="E6"/>
      <c r="H6" s="39"/>
    </row>
    <row r="7" spans="1:19" x14ac:dyDescent="0.2">
      <c r="D7" s="33"/>
      <c r="H7" s="179" t="s">
        <v>38</v>
      </c>
      <c r="I7" s="179"/>
      <c r="J7" s="179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79"/>
      <c r="I8" s="179"/>
      <c r="J8" s="179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79"/>
      <c r="I9" s="179"/>
      <c r="J9" s="179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79"/>
      <c r="I10" s="179"/>
      <c r="J10" s="179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>триста пятьдесят два доллара США,</v>
      </c>
      <c r="D11" s="47"/>
      <c r="E11" s="48"/>
      <c r="H11" s="179"/>
      <c r="I11" s="179"/>
      <c r="J11" s="179"/>
    </row>
    <row r="12" spans="1:19" s="43" customFormat="1" x14ac:dyDescent="0.2">
      <c r="A12" s="49" t="str">
        <f>CONCATENATE(IF(C31=0,"0",C31),IF(C32=0,"0",C32)," ",F33)</f>
        <v>75 центов.</v>
      </c>
      <c r="D12" s="47"/>
      <c r="E12" s="48"/>
      <c r="M12" s="50">
        <f ca="1">TODAY()</f>
        <v>45898</v>
      </c>
    </row>
    <row r="13" spans="1:19" s="43" customFormat="1" x14ac:dyDescent="0.2">
      <c r="A13" s="49"/>
      <c r="D13" s="51"/>
      <c r="E13" s="52">
        <f>TRUNC(E2)</f>
        <v>5352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">
      <c r="A27" s="54">
        <f>TRUNC(A28/10)</f>
        <v>53</v>
      </c>
      <c r="B27" s="47">
        <f>TRUNC(RIGHT(A27))</f>
        <v>3</v>
      </c>
      <c r="C27" s="51">
        <f>B27</f>
        <v>3</v>
      </c>
      <c r="E27" s="55" t="str">
        <f>IF(B27=1,E43,IF(B27=2,G35,IF(B27=3,G36,IF(B27=4,G37,IF(B27=5,G38,IF(B27=6,G39,IF(B27=7,G40,IF(B27=8,G41,G42))))))))</f>
        <v xml:space="preserve">триста </v>
      </c>
    </row>
    <row r="28" spans="1:9" s="43" customFormat="1" x14ac:dyDescent="0.2">
      <c r="A28" s="54">
        <f>TRUNC(A29/10)</f>
        <v>535</v>
      </c>
      <c r="B28" s="58">
        <f>TRUNC(RIGHT(A28))</f>
        <v>5</v>
      </c>
      <c r="C28" s="51">
        <f>IF(B28=1,"",B28)</f>
        <v>5</v>
      </c>
      <c r="E28" s="56" t="str">
        <f>IF(OR(C28=0,B28=1),"",IF(C28=2,E35,IF(C28=3,E36,IF(C28=4,E37,IF(C28=5,E38,IF(C28=6,E39,IF(C28=7,E40,IF(C28=8,E41,E42))))))))</f>
        <v xml:space="preserve">пятьдесят </v>
      </c>
      <c r="G28" s="47"/>
    </row>
    <row r="29" spans="1:9" s="43" customFormat="1" x14ac:dyDescent="0.2">
      <c r="A29" s="54">
        <f>E13</f>
        <v>5352</v>
      </c>
      <c r="B29" s="47">
        <f>TRUNC(RIGHT(A29))</f>
        <v>2</v>
      </c>
      <c r="C29" s="51">
        <f>IF(B28=1,B29+10,IF(B29=0,0,B29))</f>
        <v>2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два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352</v>
      </c>
      <c r="F30" s="43" t="str">
        <f>IF(E30+E26+E22+E18=0,"ноль долларов США,",IF(C29=1,"доллар США,",IF(OR(C29=2,C29=3,C29=4),"доллара США,","долларов США, ")))</f>
        <v>доллара США,</v>
      </c>
      <c r="G30" s="47"/>
    </row>
    <row r="31" spans="1:9" s="43" customFormat="1" x14ac:dyDescent="0.2">
      <c r="A31" s="60">
        <f>ROUND(100*(E2-E13),0)</f>
        <v>75</v>
      </c>
      <c r="C31" s="59">
        <f>TRUNC(A31/10)</f>
        <v>7</v>
      </c>
      <c r="E31" s="56" t="str">
        <f>IF(OR(C31=1,C31=0),"",IF(C31=2,E35,IF(C31=3,E36,IF(C31=4,E37,IF(C31=5,E38,IF(C31=6,E39,IF(C31=7,E40,IF(C31=8,E41,E42))))))))</f>
        <v xml:space="preserve">семьдесят </v>
      </c>
      <c r="H31" s="47"/>
    </row>
    <row r="32" spans="1:9" s="43" customFormat="1" x14ac:dyDescent="0.2">
      <c r="C32" s="59">
        <f>TRUNC(A31-C31*10)</f>
        <v>5</v>
      </c>
      <c r="E32" s="56" t="str">
        <f>IF(C32=1,B34,IF(C32=2,B35,IF(C32=3,A36,IF(C32=4,A37,IF(C32=5,A38,IF(C32=6,A39,IF(C32=7,A40,IF(C32=8,A41,A42))))))))</f>
        <v xml:space="preserve">пять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80" t="s">
        <v>81</v>
      </c>
      <c r="B44" s="180"/>
      <c r="C44" s="180"/>
      <c r="D44" s="180"/>
      <c r="E44" s="180"/>
      <c r="F44" s="180"/>
      <c r="G44" s="180"/>
      <c r="H44" s="180"/>
      <c r="I44" s="180"/>
      <c r="J44" s="175" t="s">
        <v>82</v>
      </c>
      <c r="K44" s="175"/>
    </row>
    <row r="45" spans="1:11" s="43" customFormat="1" x14ac:dyDescent="0.2">
      <c r="A45" s="180"/>
      <c r="B45" s="180"/>
      <c r="C45" s="180"/>
      <c r="D45" s="180"/>
      <c r="E45" s="180"/>
      <c r="F45" s="180"/>
      <c r="G45" s="180"/>
      <c r="H45" s="180"/>
      <c r="I45" s="180"/>
      <c r="J45" s="175"/>
      <c r="K45" s="175"/>
    </row>
    <row r="46" spans="1:11" s="43" customFormat="1" x14ac:dyDescent="0.2">
      <c r="B46" s="61"/>
      <c r="C46" s="61"/>
      <c r="G46" s="174" t="s">
        <v>83</v>
      </c>
      <c r="H46" s="174"/>
      <c r="I46" s="174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5" t="s">
        <v>85</v>
      </c>
      <c r="B100" s="175"/>
      <c r="C100" s="175"/>
      <c r="D100" s="175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/>
    <hyperlink ref="J44" r:id="rId2"/>
    <hyperlink ref="J46" r:id="rId3" tooltip="Замечания о программе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2025-08-29T17:49:38Z</cp:lastPrinted>
  <dcterms:created xsi:type="dcterms:W3CDTF">1996-10-14T23:33:28Z</dcterms:created>
  <dcterms:modified xsi:type="dcterms:W3CDTF">2025-08-29T17:49:40Z</dcterms:modified>
</cp:coreProperties>
</file>