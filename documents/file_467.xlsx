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4BE2D12-9C81-4F98-B6D0-EA3D3AD13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<sst xmlns="http://schemas.openxmlformats.org/spreadsheetml/2006/main" count="202" uniqueCount="164">
  <si>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</si>
  <si>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</si>
  <si>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</si>
  <si>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</si>
  <si>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</si>
  <si>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</si>
  <si>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</si>
  <si>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</si>
  <si>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</si>
  <si>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</si>
  <si>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</si>
  <si>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</si>
  <si>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</si>
  <si>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</si>
  <si>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</si>
  <si>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</si>
  <si>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</si>
  <si>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</si>
  <si>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</si>
  <si>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</si>
  <si>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</si>
  <si>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</si>
  <si>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</si>
  <si>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</si>
  <si>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</si>
  <si>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</si>
  <si>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</si>
  <si>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</si>
  <si>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</si>
  <si>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</si>
  <si>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</si>
  <si>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</si>
  <si>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</si>
  <si>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</si>
  <si>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</si>
  <si>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</si>
  <si>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</si>
  <si>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</si>
  <si>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</si>
  <si>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</si>
  <si>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</si>
  <si>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</si>
  <si>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</si>
  <si>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</si>
  <si>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</si>
  <si>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</si>
  <si>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</si>
  <si>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</si>
  <si>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</si>
  <si>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</si>
  <si>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</si>
  <si>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</si>
  <si>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</si>
  <si>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</si>
  <si>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</si>
  <si>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</si>
  <si>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</si>
  <si>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</si>
  <si>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</si>
  <si>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</si>
  <si>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</si>
  <si>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</si>
  <si>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</si>
  <si>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</si>
  <si>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</si>
  <si>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</si>
  <si>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</si>
  <si>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</si>
  <si>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</si>
  <si>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</si>
  <si>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</si>
  <si>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</si>
  <si>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</si>
  <si>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</si>
  <si>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</si>
  <si>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</si>
  <si>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</si>
  <si>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</si>
  <si>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</si>
  <si>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</si>
  <si>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</si>
  <si>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</si>
  <si>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</si>
  <si>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</si>
  <si>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</si>
  <si>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</si>
  <si>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</si>
  <si>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</si>
  <si>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</si>
  <si>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</si>
  <si>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</si>
  <si>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</si>
  <si>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</si>
  <si>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</si>
  <si>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</si>
  <si>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</si>
  <si>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</si>
  <si>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</si>
  <si>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</si>
  <si>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</si>
  <si>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</si>
  <si>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</si>
  <si>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</si>
  <si>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</si>
  <si>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</si>
  <si>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</si>
  <si>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</si>
  <si>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</si>
  <si>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</si>
  <si>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</si>
  <si>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</si>
  <si>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</si>
  <si>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</si>
  <si>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</si>
  <si>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</si>
  <si>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</si>
  <si>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</si>
  <si>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</si>
  <si>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</si>
  <si>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</si>
  <si>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</si>
  <si>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</si>
  <si>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</si>
  <si>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</si>
  <si>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</si>
  <si>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</si>
  <si>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</si>
  <si>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</si>
  <si>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</si>
  <si>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</si>
  <si>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</si>
  <si>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</si>
  <si>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</si>
  <si>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</si>
  <si>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</si>
  <si>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</si>
  <si>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</si>
  <si>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</si>
  <si>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</si>
  <si>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</si>
  <si>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</si>
  <si>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</si>
  <si>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</si>
  <si>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</si>
  <si>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</si>
  <si>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</si>
  <si>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</si>
  <si>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</si>
  <si>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</si>
  <si>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</si>
  <si>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</si>
  <si>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</si>
  <si>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</si>
  <si>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</si>
  <si>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</si>
  <si>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</si>
  <si>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</si>
  <si>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</si>
  <si>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</si>
  <si>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</si>
  <si>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EXZ-A-1 от </t>
  </si>
  <si>
    <t xml:space="preserve"> 07.09.2025г.</t>
  </si>
  <si>
    <t>20761VAA/203256AA</t>
  </si>
  <si>
    <t xml:space="preserve">СПЕЦИФИКАЦИЯ № EXZ-A-1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</si>
</sst>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141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130</v>
      </c>
      <c r="B5" s="136"/>
      <c r="C5" s="136"/>
      <c r="D5" s="136"/>
      <c r="E5" s="136"/>
      <c r="F5" s="6"/>
      <c r="G5" s="138" t="s">
        <v>142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131</v>
      </c>
      <c r="B6" s="143"/>
      <c r="C6" s="143"/>
      <c r="D6" s="143"/>
      <c r="E6" s="14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132</v>
      </c>
      <c r="B7" s="143"/>
      <c r="C7" s="143"/>
      <c r="D7" s="143"/>
      <c r="E7" s="14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130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131</v>
      </c>
      <c r="B15" s="143"/>
      <c r="C15" s="143"/>
      <c r="D15" s="143"/>
      <c r="E15" s="143"/>
      <c r="F15" s="7"/>
      <c r="G15" s="140" t="s">
        <v>150</v>
      </c>
      <c r="H15" s="143"/>
      <c r="I15" s="143"/>
      <c r="J15" s="143"/>
      <c r="K15" s="143"/>
      <c r="L15" s="143"/>
      <c r="M15" s="143"/>
    </row>
    <row r="16" spans="1:15" ht="13.8" x14ac:dyDescent="0.25">
      <c r="A16" s="143" t="s">
        <v>132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3.8" x14ac:dyDescent="0.25">
      <c r="A21" s="99" t="s">
        <v>137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950</v>
      </c>
      <c r="F30" s="110" t="s">
        <v>27</v>
      </c>
      <c r="G30" s="106">
        <v>22900</v>
      </c>
      <c r="H30" s="106">
        <v>21190</v>
      </c>
      <c r="I30" s="108">
        <v>0.2</v>
      </c>
      <c r="J30" s="13">
        <f t="shared" ref="J30" si="0">H30*I30</f>
        <v>4238</v>
      </c>
      <c r="K30" s="12">
        <v>0</v>
      </c>
      <c r="L30" s="12">
        <v>0</v>
      </c>
      <c r="M30" s="13">
        <f t="shared" ref="M30" si="1">J30</f>
        <v>4238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4238</v>
      </c>
      <c r="K31" s="16"/>
      <c r="L31" s="16"/>
      <c r="M31" s="17">
        <f>SUM(M30:M30)</f>
        <v>4238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двести тридцать восемь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138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K39" sqref="K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EXZ-A-1 от  07.09.2025г.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20761VAA/203256AA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L39" sqref="L3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20761VAA/203256AA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EXZ-A-1 от  07.09.2025г.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22900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950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163</v>
      </c>
      <c r="C1" s="173"/>
      <c r="D1" s="173"/>
      <c r="E1" s="173"/>
      <c r="F1" s="134" t="str">
        <f>+Инвойс!F1</f>
        <v xml:space="preserve"> 07.09.2025г.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20761VAA/203256AA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22900</v>
      </c>
      <c r="H30" s="106">
        <f>+Инвойс!H30</f>
        <v>21190</v>
      </c>
      <c r="I30" s="108">
        <f>+Инвойс!I30</f>
        <v>0.2</v>
      </c>
      <c r="J30" s="13">
        <f>+Инвойс!J30</f>
        <v>4238</v>
      </c>
      <c r="K30" s="12">
        <v>0</v>
      </c>
      <c r="L30" s="12">
        <v>0</v>
      </c>
      <c r="M30" s="13">
        <f>+Инвойс!M30</f>
        <v>4238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4238</v>
      </c>
      <c r="K31" s="16"/>
      <c r="L31" s="16"/>
      <c r="M31" s="17">
        <f>SUM(M30:M30)</f>
        <v>4238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двести тридцать восемь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140</v>
      </c>
    </row>
    <row r="6" spans="1:10" x14ac:dyDescent="0.25">
      <c r="E6" s="18"/>
      <c r="J6" s="25"/>
    </row>
    <row r="7" spans="1:10" ht="52.8" x14ac:dyDescent="0.25">
      <c r="A7" s="126" t="s">
        <v>117</v>
      </c>
    </row>
    <row r="8" spans="1:10" x14ac:dyDescent="0.25">
      <c r="E8" s="18"/>
      <c r="J8" s="25"/>
    </row>
    <row r="9" spans="1:10" ht="52.8" x14ac:dyDescent="0.25">
      <c r="A9" s="126" t="s">
        <v>118</v>
      </c>
    </row>
    <row r="10" spans="1:10" x14ac:dyDescent="0.25">
      <c r="A10" s="126"/>
      <c r="E10" s="18"/>
      <c r="J10" s="25"/>
    </row>
    <row r="11" spans="1:10" ht="52.8" x14ac:dyDescent="0.25">
      <c r="A11" s="126" t="s">
        <v>158</v>
      </c>
    </row>
    <row r="12" spans="1:10" x14ac:dyDescent="0.25">
      <c r="E12" s="18"/>
      <c r="J12" s="25"/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4238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тридцать восемь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45907</v>
      </c>
      <c r="O3" s="177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Четыре тысячи двести тридцать восемь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7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тридцать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тридцать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тридцать восемь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4238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4238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238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2025-09-07T10:28:02Z</cp:lastPrinted>
  <dcterms:created xsi:type="dcterms:W3CDTF">1996-10-14T23:33:28Z</dcterms:created>
  <dcterms:modified xsi:type="dcterms:W3CDTF">2025-09-07T10:28:16Z</dcterms:modified>
</cp:coreProperties>
</file>