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0949405-7956-4516-8401-A9DF99D7E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<sst xmlns="http://schemas.openxmlformats.org/spreadsheetml/2006/main" count="209" uniqueCount="162">
  <si>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</si>
  <si>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</si>
  <si>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</si>
  <si>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</si>
  <si>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</si>
  <si>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</si>
  <si>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</si>
  <si>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</si>
  <si>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</si>
  <si>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</si>
  <si>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</si>
  <si>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</si>
  <si>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</si>
  <si>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</si>
  <si>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</si>
  <si>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</si>
  <si>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</si>
  <si>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</si>
  <si>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</si>
  <si>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</si>
  <si>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</si>
  <si>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</si>
  <si>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</si>
  <si>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</si>
  <si>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</si>
  <si>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</si>
  <si>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</si>
  <si>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</si>
  <si>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</si>
  <si>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</si>
  <si>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</si>
  <si>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</si>
  <si>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</si>
  <si>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</si>
  <si>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</si>
  <si>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</si>
  <si>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</si>
  <si>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</si>
  <si>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</si>
  <si>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</si>
  <si>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</si>
  <si>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</si>
  <si>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</si>
  <si>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</si>
  <si>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</si>
  <si>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</si>
  <si>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</si>
  <si>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</si>
  <si>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</si>
  <si>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</si>
  <si>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</si>
  <si>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</si>
  <si>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</si>
  <si>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</si>
  <si>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</si>
  <si>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</si>
  <si>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</si>
  <si>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</si>
  <si>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</si>
  <si>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</si>
  <si>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</si>
  <si>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</si>
  <si>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</si>
  <si>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</si>
  <si>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</si>
  <si>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</si>
  <si>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</si>
  <si>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</si>
  <si>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</si>
  <si>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</si>
  <si>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</si>
  <si>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</si>
  <si>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</si>
  <si>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</si>
  <si>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</si>
  <si>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</si>
  <si>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</si>
  <si>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</si>
  <si>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</si>
  <si>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</si>
  <si>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</si>
  <si>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</si>
  <si>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</si>
  <si>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</si>
  <si>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</si>
  <si>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</si>
  <si>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</si>
  <si>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</si>
  <si>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</si>
  <si>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</si>
  <si>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</si>
  <si>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</si>
  <si>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</si>
  <si>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</si>
  <si>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</si>
  <si>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</si>
  <si>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</si>
  <si>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</si>
  <si>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</si>
  <si>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</si>
  <si>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</si>
  <si>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</si>
  <si>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</si>
  <si>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</si>
  <si>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</si>
  <si>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</si>
  <si>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</si>
  <si>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</si>
  <si>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</si>
  <si>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</si>
  <si>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</si>
  <si>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</si>
  <si>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</si>
  <si>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</si>
  <si>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</si>
  <si>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</si>
  <si>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</si>
  <si>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</si>
  <si>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</si>
  <si>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</si>
  <si>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</si>
  <si>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</si>
  <si>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</si>
  <si>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</si>
  <si>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</si>
  <si>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</si>
  <si>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</si>
  <si>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</si>
  <si>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</si>
  <si>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</si>
  <si>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</si>
  <si>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</si>
  <si>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</si>
  <si>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</si>
  <si>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</si>
  <si>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</si>
  <si>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</si>
  <si>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</si>
  <si>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</si>
  <si>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</si>
  <si>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</si>
  <si>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</si>
  <si>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</si>
  <si>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</si>
  <si>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</si>
  <si>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</si>
  <si>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</si>
  <si>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</si>
  <si>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</si>
  <si>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</si>
  <si>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</si>
  <si>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</si>
  <si>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</si>
  <si>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</si>
  <si>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</si>
  <si>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</si>
  <si>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</si>
  <si>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</si>
  <si>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PLG-A-54 от </t>
  </si>
  <si>
    <t xml:space="preserve"> 07.09.2025г.</t>
  </si>
  <si>
    <t>80F837NA/805792AA</t>
  </si>
  <si>
    <t xml:space="preserve">СПЕЦИФИКАЦИЯ № PLG-A-54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</si>
</sst>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2668</v>
      </c>
      <c r="F30" s="110" t="s">
        <v>27</v>
      </c>
      <c r="G30" s="106">
        <v>22500</v>
      </c>
      <c r="H30" s="106">
        <v>20632</v>
      </c>
      <c r="I30" s="108">
        <v>1.2</v>
      </c>
      <c r="J30" s="13">
        <f t="shared" ref="J30" si="0">H30*I30</f>
        <v>24758.399999999998</v>
      </c>
      <c r="K30" s="12">
        <v>0</v>
      </c>
      <c r="L30" s="12">
        <v>0</v>
      </c>
      <c r="M30" s="13">
        <f t="shared" ref="M30" si="1">J30</f>
        <v>24758.399999999998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2668</v>
      </c>
      <c r="F31" s="15"/>
      <c r="G31" s="64">
        <f>SUM(G30:G30)</f>
        <v>22500</v>
      </c>
      <c r="H31" s="64">
        <f>SUM(H30:H30)</f>
        <v>20632</v>
      </c>
      <c r="I31" s="102"/>
      <c r="J31" s="17">
        <f>SUM(J30:J30)</f>
        <v>24758.399999999998</v>
      </c>
      <c r="K31" s="16"/>
      <c r="L31" s="16"/>
      <c r="M31" s="17">
        <f>SUM(M30:M30)</f>
        <v>24758.399999999998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Двадцать четыре тысячи семьсот пятьдесят восемь долларов США, 40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PLG-A-54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2668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80F837NA/805792AA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I32" sqref="I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80F837NA/805792AA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PLG-A-54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2668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2668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GR-POL-01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«POLARIUM»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ООО «POLARIUM»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Шымкент,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80F837NA/805792AA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2668</v>
      </c>
      <c r="F30" s="116" t="str">
        <f>+Инвойс!F30</f>
        <v>кг</v>
      </c>
      <c r="G30" s="106">
        <f>+Инвойс!G30</f>
        <v>22500</v>
      </c>
      <c r="H30" s="106">
        <f>+Инвойс!H30</f>
        <v>20632</v>
      </c>
      <c r="I30" s="108">
        <f>+Инвойс!I30</f>
        <v>1.2</v>
      </c>
      <c r="J30" s="13">
        <f>+Инвойс!J30</f>
        <v>24758.399999999998</v>
      </c>
      <c r="K30" s="12">
        <v>0</v>
      </c>
      <c r="L30" s="12">
        <v>0</v>
      </c>
      <c r="M30" s="13">
        <f>+Инвойс!M30</f>
        <v>24758.399999999998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2668</v>
      </c>
      <c r="F31" s="15"/>
      <c r="G31" s="64">
        <f>SUM(G30:G30)</f>
        <v>22500</v>
      </c>
      <c r="H31" s="64">
        <f>SUM(H30:H30)</f>
        <v>20632</v>
      </c>
      <c r="I31" s="102"/>
      <c r="J31" s="17">
        <f>SUM(J30:J30)</f>
        <v>24758.399999999998</v>
      </c>
      <c r="K31" s="16"/>
      <c r="L31" s="16"/>
      <c r="M31" s="17">
        <f>SUM(M30:M30)</f>
        <v>24758.399999999998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Двадцать четыре тысячи семьсот пятьдесят восемь долларов США, 40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152</v>
      </c>
      <c r="B36" s="131"/>
      <c r="D36" s="18" t="str">
        <f>+Инвойс!D36</f>
        <v>Юнусов Х.Р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6" sqref="E6:F6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154</v>
      </c>
    </row>
    <row r="6" spans="1:10" x14ac:dyDescent="0.25">
      <c r="E6" s="18" t="s">
        <v>155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156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156</v>
      </c>
      <c r="J10" s="25" t="s">
        <v>132</v>
      </c>
    </row>
    <row r="11" spans="1:10" ht="52.8" x14ac:dyDescent="0.25">
      <c r="A11" s="126" t="s">
        <v>153</v>
      </c>
    </row>
    <row r="12" spans="1:10" x14ac:dyDescent="0.25">
      <c r="E12" s="18" t="s">
        <v>157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24758.399999999998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четыре тысячи семьсот пятьдесят восемь долларов США, 40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четыре тысячи семьсот пятьдесят восемь долларов США, 40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четыре тысячи семьсот пятьдесят восемь долларов США, 40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четыре тысячи семьсот пятьдесят восемь долларов США, 40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четыре тысячи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пятьдесят восемь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24758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247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2475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24758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2025-09-07T08:43:44Z</cp:lastPrinted>
  <dcterms:created xsi:type="dcterms:W3CDTF">1996-10-14T23:33:28Z</dcterms:created>
  <dcterms:modified xsi:type="dcterms:W3CDTF">2025-09-07T08:43:48Z</dcterms:modified>
</cp:coreProperties>
</file>