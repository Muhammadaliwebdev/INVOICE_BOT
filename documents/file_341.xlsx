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7E4C8E-C1BA-4A3C-A27C-E13BF961B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<sst xmlns="http://schemas.openxmlformats.org/spreadsheetml/2006/main" count="217" uniqueCount="166">
  <si>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</si>
  <si>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</si>
  <si>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</si>
  <si>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</si>
  <si>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</si>
  <si>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</si>
  <si>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</si>
  <si>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</si>
  <si>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</si>
  <si>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</si>
  <si>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</si>
  <si>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</si>
  <si>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</si>
  <si>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</si>
  <si>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</si>
  <si>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</si>
  <si>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</si>
  <si>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</si>
  <si>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</si>
  <si>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</si>
  <si>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</si>
  <si>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</si>
  <si>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</si>
  <si>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</si>
  <si>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</si>
  <si>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</si>
  <si>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</si>
  <si>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</si>
  <si>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</si>
  <si>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</si>
  <si>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</si>
  <si>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</si>
  <si>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</si>
  <si>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</si>
  <si>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</si>
  <si>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</si>
  <si>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</si>
  <si>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</si>
  <si>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</si>
  <si>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</si>
  <si>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</si>
  <si>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</si>
  <si>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</si>
  <si>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</si>
  <si>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</si>
  <si>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</si>
  <si>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</si>
  <si>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</si>
  <si>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</si>
  <si>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</si>
  <si>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</si>
  <si>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</si>
  <si>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</si>
  <si>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</si>
  <si>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</si>
  <si>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</si>
  <si>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</si>
  <si>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</si>
  <si>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</si>
  <si>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</si>
  <si>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</si>
  <si>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</si>
  <si>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</si>
  <si>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</si>
  <si>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</si>
  <si>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</si>
  <si>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</si>
  <si>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</si>
  <si>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</si>
  <si>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</si>
  <si>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</si>
  <si>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</si>
  <si>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</si>
  <si>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</si>
  <si>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</si>
  <si>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</si>
  <si>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</si>
  <si>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</si>
  <si>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</si>
  <si>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</si>
  <si>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</si>
  <si>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</si>
  <si>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</si>
  <si>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</si>
  <si>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</si>
  <si>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</si>
  <si>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</si>
  <si>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</si>
  <si>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</si>
  <si>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</si>
  <si>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</si>
  <si>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</si>
  <si>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</si>
  <si>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</si>
  <si>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</si>
  <si>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</si>
  <si>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</si>
  <si>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</si>
  <si>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</si>
  <si>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</si>
  <si>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</si>
  <si>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</si>
  <si>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</si>
  <si>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</si>
  <si>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</si>
  <si>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</si>
  <si>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</si>
  <si>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</si>
  <si>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</si>
  <si>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</si>
  <si>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</si>
  <si>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</si>
  <si>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</si>
  <si>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</si>
  <si>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</si>
  <si>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</si>
  <si>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</si>
  <si>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</si>
  <si>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</si>
  <si>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</si>
  <si>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</si>
  <si>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</si>
  <si>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</si>
  <si>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</si>
  <si>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</si>
  <si>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</si>
  <si>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</si>
  <si>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</si>
  <si>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</si>
  <si>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</si>
  <si>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</si>
  <si>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</si>
  <si>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</si>
  <si>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</si>
  <si>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</si>
  <si>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</si>
  <si>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</si>
  <si>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</si>
  <si>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</si>
  <si>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</si>
  <si>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</si>
  <si>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</si>
  <si>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</si>
  <si>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</si>
  <si>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</si>
  <si>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</si>
  <si>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</si>
  <si>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</si>
  <si>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</si>
  <si>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</si>
  <si>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</si>
  <si>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</si>
  <si>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</si>
  <si>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</si>
  <si>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</si>
  <si>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</si>
  <si>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</si>
  <si>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</si>
  <si>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</si>
  <si>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</si>
  <si>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UFG-M-44 от </t>
  </si>
  <si>
    <t xml:space="preserve"> 01.09.2025г.</t>
  </si>
  <si>
    <t>10M155MB/108576AA</t>
  </si>
  <si>
    <t>навалом</t>
  </si>
  <si>
    <t>-</t>
  </si>
  <si>
    <t xml:space="preserve">СПЕЦИФИКАЦИЯ № UFG-M-44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</si>
</sst>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159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111</v>
      </c>
      <c r="E30" s="101">
        <v>1000</v>
      </c>
      <c r="F30" s="110" t="s">
        <v>27</v>
      </c>
      <c r="G30" s="106">
        <v>21350</v>
      </c>
      <c r="H30" s="106">
        <v>20350</v>
      </c>
      <c r="I30" s="108">
        <v>0.25</v>
      </c>
      <c r="J30" s="13">
        <f t="shared" ref="J30:J31" si="0">H30*I30</f>
        <v>5087.5</v>
      </c>
      <c r="K30" s="12">
        <v>0</v>
      </c>
      <c r="L30" s="12">
        <v>0</v>
      </c>
      <c r="M30" s="13">
        <f t="shared" ref="M30:M31" si="1">J30</f>
        <v>5087.5</v>
      </c>
      <c r="O30" s="100"/>
      <c r="Q30" s="100"/>
    </row>
    <row r="31" spans="1:17" ht="13.8" x14ac:dyDescent="0.25">
      <c r="A31" s="127">
        <v>2</v>
      </c>
      <c r="B31" s="101" t="s">
        <v>126</v>
      </c>
      <c r="C31" s="107" t="s">
        <v>127</v>
      </c>
      <c r="D31" s="109" t="s">
        <v>163</v>
      </c>
      <c r="E31" s="101" t="s">
        <v>164</v>
      </c>
      <c r="F31" s="116" t="s">
        <v>27</v>
      </c>
      <c r="G31" s="106">
        <v>650</v>
      </c>
      <c r="H31" s="106">
        <v>650</v>
      </c>
      <c r="I31" s="108">
        <v>0.25</v>
      </c>
      <c r="J31" s="13">
        <f t="shared" si="0"/>
        <v>162.5</v>
      </c>
      <c r="K31" s="12">
        <v>0</v>
      </c>
      <c r="L31" s="12">
        <v>0</v>
      </c>
      <c r="M31" s="13">
        <f t="shared" si="1"/>
        <v>162.5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1000</v>
      </c>
      <c r="F32" s="15"/>
      <c r="G32" s="64">
        <f>SUM(G30:G31)</f>
        <v>22000</v>
      </c>
      <c r="H32" s="64">
        <f>SUM(H30:H31)</f>
        <v>21000</v>
      </c>
      <c r="I32" s="102"/>
      <c r="J32" s="17">
        <f>SUM(J30:J31)</f>
        <v>5250</v>
      </c>
      <c r="K32" s="16"/>
      <c r="L32" s="16"/>
      <c r="M32" s="17">
        <f>SUM(M30:M31)</f>
        <v>5250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двести пятьдесят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3.8" x14ac:dyDescent="0.25">
      <c r="A37" s="7" t="s">
        <v>28</v>
      </c>
      <c r="B37" s="7"/>
      <c r="D37" s="25" t="s">
        <v>157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UFG-M-44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21350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650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10M155MB/108576AA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9" sqref="G39:H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10M155MB/108576AA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UFG-M-44 от  01.09.2025г.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21350</v>
      </c>
    </row>
    <row r="20" spans="2:10" ht="13.5" customHeight="1" x14ac:dyDescent="0.3">
      <c r="B20" s="83"/>
      <c r="E20" s="123"/>
      <c r="F20" s="118" t="str">
        <f>+Инвойс!E31</f>
        <v>-</v>
      </c>
      <c r="G20" s="163" t="str">
        <f>+CMR!F31</f>
        <v>Дыни свежие</v>
      </c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650</v>
      </c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v>1000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165</v>
      </c>
      <c r="C1" s="171"/>
      <c r="D1" s="171"/>
      <c r="E1" s="171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10M155MB/108576AA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Пласт. ящик</v>
      </c>
      <c r="E30" s="101">
        <f>+Инвойс!E30</f>
        <v>1000</v>
      </c>
      <c r="F30" s="116" t="str">
        <f>+Инвойс!F30</f>
        <v>кг</v>
      </c>
      <c r="G30" s="106">
        <f>+Инвойс!G30</f>
        <v>21350</v>
      </c>
      <c r="H30" s="106">
        <f>+Инвойс!H30</f>
        <v>20350</v>
      </c>
      <c r="I30" s="108">
        <f>+Инвойс!I30</f>
        <v>0.25</v>
      </c>
      <c r="J30" s="13">
        <f>+Инвойс!J30</f>
        <v>5087.5</v>
      </c>
      <c r="K30" s="12">
        <v>0</v>
      </c>
      <c r="L30" s="12">
        <v>0</v>
      </c>
      <c r="M30" s="13">
        <f>+Инвойс!M30</f>
        <v>5087.5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650</v>
      </c>
      <c r="H31" s="106">
        <f>+Инвойс!H31</f>
        <v>650</v>
      </c>
      <c r="I31" s="108">
        <f>+Инвойс!I31</f>
        <v>0.25</v>
      </c>
      <c r="J31" s="13">
        <f>+Инвойс!J31</f>
        <v>162.5</v>
      </c>
      <c r="K31" s="12">
        <v>0</v>
      </c>
      <c r="L31" s="12">
        <v>0</v>
      </c>
      <c r="M31" s="13">
        <f>+Инвойс!M31</f>
        <v>162.5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1000</v>
      </c>
      <c r="F32" s="15"/>
      <c r="G32" s="64">
        <f>SUM(G30:G31)</f>
        <v>22000</v>
      </c>
      <c r="H32" s="64">
        <f>SUM(H30:H31)</f>
        <v>21000</v>
      </c>
      <c r="I32" s="102"/>
      <c r="J32" s="17">
        <f>SUM(J30:J31)</f>
        <v>5250</v>
      </c>
      <c r="K32" s="16"/>
      <c r="L32" s="16"/>
      <c r="M32" s="17">
        <f>SUM(M30:M31)</f>
        <v>5250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двести пятьдесят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6" x14ac:dyDescent="0.3">
      <c r="A37" s="131" t="s">
        <v>158</v>
      </c>
      <c r="B37" s="131"/>
      <c r="D37" s="18" t="str">
        <f>+Инвойс!D37</f>
        <v>ЭШТЕМИРОВ Х.Х</v>
      </c>
      <c r="E37" s="132"/>
      <c r="G37" s="129" t="s">
        <v>130</v>
      </c>
      <c r="H37" s="18" t="str">
        <f>Инвойс!G5</f>
        <v>ООО «ГРИН ВОРЛД»</v>
      </c>
      <c r="K37" s="133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5250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2025-09-01T06:22:20Z</cp:lastPrinted>
  <dcterms:created xsi:type="dcterms:W3CDTF">1996-10-14T23:33:28Z</dcterms:created>
  <dcterms:modified xsi:type="dcterms:W3CDTF">2025-09-01T06:22:33Z</dcterms:modified>
</cp:coreProperties>
</file>