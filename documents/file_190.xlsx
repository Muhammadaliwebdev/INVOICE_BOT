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507DE1F-DB9D-4F1B-988A-3520181FB2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<sst xmlns="http://schemas.openxmlformats.org/spreadsheetml/2006/main" count="201" uniqueCount="163">
  <si>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</si>
  <si>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</si>
  <si>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</si>
  <si>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</si>
  <si>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</si>
  <si>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</si>
  <si>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</si>
  <si>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</si>
  <si>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</si>
  <si>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</si>
  <si>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</si>
  <si>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</si>
  <si>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</si>
  <si>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</si>
  <si>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</si>
  <si>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</si>
  <si>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</si>
  <si>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</si>
  <si>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</si>
  <si>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</si>
  <si>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</si>
  <si>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</si>
  <si>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</si>
  <si>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</si>
  <si>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</si>
  <si>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</si>
  <si>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</si>
  <si>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</si>
  <si>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</si>
  <si>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</si>
  <si>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</si>
  <si>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</si>
  <si>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</si>
  <si>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</si>
  <si>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</si>
  <si>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</si>
  <si>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</si>
  <si>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</si>
  <si>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</si>
  <si>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</si>
  <si>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</si>
  <si>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</si>
  <si>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</si>
  <si>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</si>
  <si>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</si>
  <si>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</si>
  <si>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</si>
  <si>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</si>
  <si>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</si>
  <si>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</si>
  <si>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</si>
  <si>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</si>
  <si>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</si>
  <si>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</si>
  <si>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</si>
  <si>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</si>
  <si>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</si>
  <si>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</si>
  <si>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</si>
  <si>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</si>
  <si>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</si>
  <si>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</si>
  <si>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</si>
  <si>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</si>
  <si>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</si>
  <si>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</si>
  <si>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</si>
  <si>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</si>
  <si>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</si>
  <si>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</si>
  <si>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</si>
  <si>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</si>
  <si>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</si>
  <si>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</si>
  <si>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</si>
  <si>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</si>
  <si>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</si>
  <si>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</si>
  <si>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</si>
  <si>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</si>
  <si>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</si>
  <si>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</si>
  <si>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</si>
  <si>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</si>
  <si>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</si>
  <si>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</si>
  <si>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</si>
  <si>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</si>
  <si>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</si>
  <si>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</si>
  <si>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</si>
  <si>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</si>
  <si>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</si>
  <si>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</si>
  <si>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</si>
  <si>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</si>
  <si>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</si>
  <si>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</si>
  <si>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</si>
  <si>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</si>
  <si>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</si>
  <si>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</si>
  <si>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</si>
  <si>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</si>
  <si>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</si>
  <si>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</si>
  <si>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</si>
  <si>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</si>
  <si>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</si>
  <si>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</si>
  <si>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</si>
  <si>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</si>
  <si>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</si>
  <si>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</si>
  <si>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</si>
  <si>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</si>
  <si>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</si>
  <si>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</si>
  <si>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</si>
  <si>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</si>
  <si>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</si>
  <si>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</si>
  <si>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</si>
  <si>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</si>
  <si>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</si>
  <si>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</si>
  <si>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</si>
  <si>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</si>
  <si>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</si>
  <si>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</si>
  <si>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</si>
  <si>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</si>
  <si>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</si>
  <si>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</si>
  <si>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</si>
  <si>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</si>
  <si>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</si>
  <si>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</si>
  <si>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</si>
  <si>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</si>
  <si>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</si>
  <si>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</si>
  <si>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</si>
  <si>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</si>
  <si>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</si>
  <si>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</si>
  <si>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</si>
  <si>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</si>
  <si>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</si>
  <si>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</si>
  <si>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</si>
  <si>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</si>
  <si>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</si>
  <si>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</si>
  <si>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</si>
  <si>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</si>
  <si>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</si>
  <si>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</si>
  <si>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BEZ-M-12 от </t>
  </si>
  <si>
    <t xml:space="preserve"> 12.08.2025г.</t>
  </si>
  <si>
    <t>20952TAA/013695BA</t>
  </si>
  <si>
    <t>DAP - с Амандык , Республика Казахстан</t>
  </si>
  <si>
    <t xml:space="preserve">СПЕЦИФИКАЦИЯ № BEZ-M-12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</si>
</sst>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137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23100</v>
      </c>
      <c r="H30" s="106">
        <v>21300</v>
      </c>
      <c r="I30" s="108">
        <v>0.2</v>
      </c>
      <c r="J30" s="13">
        <f t="shared" ref="J30" si="0">H30*I30</f>
        <v>4260</v>
      </c>
      <c r="K30" s="12">
        <v>0</v>
      </c>
      <c r="L30" s="12">
        <v>0</v>
      </c>
      <c r="M30" s="13">
        <f t="shared" ref="M30" si="1">J30</f>
        <v>4260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23100</v>
      </c>
      <c r="H31" s="64">
        <f>SUM(H30:H30)</f>
        <v>21300</v>
      </c>
      <c r="I31" s="102"/>
      <c r="J31" s="17">
        <f>SUM(J30:J30)</f>
        <v>4260</v>
      </c>
      <c r="K31" s="16"/>
      <c r="L31" s="16"/>
      <c r="M31" s="17">
        <f>SUM(M30:M30)</f>
        <v>4260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шестьдесят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XFD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BEZ-M-12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20952TAA/013695BA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20952TAA/013695BA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BEZ-M-12 от  12.08.2025г.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23100</v>
      </c>
    </row>
    <row r="20" spans="2:10" ht="13.5" customHeight="1" x14ac:dyDescent="0.25">
      <c r="B20" s="83"/>
      <c r="E20" s="123"/>
      <c r="F20" s="118"/>
      <c r="G20" s="164"/>
      <c r="H20" s="164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4"/>
      <c r="H22" s="164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4"/>
      <c r="H24" s="164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4"/>
      <c r="H26" s="164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4"/>
      <c r="H28" s="164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4"/>
      <c r="H30" s="164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4"/>
      <c r="H32" s="164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4"/>
      <c r="H34" s="164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4"/>
      <c r="H36" s="164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4"/>
      <c r="H38" s="164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4"/>
      <c r="H42" s="164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6"/>
      <c r="H44" s="166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f>+F18+F20+F22+F24+F26+F28+F30+F32+F34+F36+F38+F40+F42</f>
        <v>1000</v>
      </c>
      <c r="E47" s="168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51" t="s">
        <v>116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tr">
        <f>+Инвойс!E26</f>
        <v>20952TAA/013695BA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23100</v>
      </c>
      <c r="H30" s="106">
        <f>+Инвойс!H30</f>
        <v>21300</v>
      </c>
      <c r="I30" s="108">
        <f>+Инвойс!I30</f>
        <v>0.2</v>
      </c>
      <c r="J30" s="13">
        <f>+Инвойс!J30</f>
        <v>4260</v>
      </c>
      <c r="K30" s="12">
        <v>0</v>
      </c>
      <c r="L30" s="12">
        <v>0</v>
      </c>
      <c r="M30" s="13">
        <f>+Инвойс!M30</f>
        <v>4260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23100</v>
      </c>
      <c r="H31" s="64">
        <f>SUM(H30:H30)</f>
        <v>21300</v>
      </c>
      <c r="I31" s="102"/>
      <c r="J31" s="17">
        <f>SUM(J30:J30)</f>
        <v>4260</v>
      </c>
      <c r="K31" s="16"/>
      <c r="L31" s="16"/>
      <c r="M31" s="17">
        <f>SUM(M30:M30)</f>
        <v>4260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шестьдесят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4260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45881</v>
      </c>
      <c r="O3" s="175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шестьдесят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12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шестьдесят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шестьдесят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шестьдесят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">
      <c r="A13" s="49"/>
      <c r="D13" s="51"/>
      <c r="E13" s="52">
        <f>TRUNC(E2)</f>
        <v>4260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4260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2025-08-12T05:33:36Z</cp:lastPrinted>
  <dcterms:created xsi:type="dcterms:W3CDTF">1996-10-14T23:33:28Z</dcterms:created>
  <dcterms:modified xsi:type="dcterms:W3CDTF">2025-08-12T05:33:42Z</dcterms:modified>
</cp:coreProperties>
</file>