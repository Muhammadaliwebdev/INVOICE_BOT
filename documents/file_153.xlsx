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M32" i="7" l="1"/>
  <c r="J32" i="7"/>
  <c r="H32" i="7"/>
  <c r="G32" i="7"/>
  <c r="E32" i="7"/>
  <c r="J31" i="2" l="1"/>
  <c r="M31" i="2" s="1"/>
  <c r="M31" i="7" s="1"/>
  <c r="J31" i="7"/>
  <c r="I31" i="7"/>
  <c r="H31" i="7"/>
  <c r="G31" i="7"/>
  <c r="F31" i="7"/>
  <c r="E31" i="7"/>
  <c r="D31" i="7"/>
  <c r="C31" i="7"/>
  <c r="B31" i="7"/>
  <c r="A31" i="7"/>
  <c r="A30" i="7"/>
  <c r="G21" i="5"/>
  <c r="J21" i="5"/>
  <c r="G20" i="5"/>
  <c r="F21" i="5"/>
  <c r="F20" i="5"/>
  <c r="F18" i="5"/>
  <c r="I31" i="4"/>
  <c r="G31" i="4"/>
  <c r="F31" i="4"/>
  <c r="D31" i="4"/>
  <c r="C31" i="4"/>
  <c r="B31" i="4"/>
  <c r="G32" i="2"/>
  <c r="E32" i="2"/>
  <c r="H32" i="2" l="1"/>
  <c r="H37" i="7"/>
  <c r="J30" i="2" l="1"/>
  <c r="M30" i="2" s="1"/>
  <c r="M32" i="2" s="1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J32" i="2" l="1"/>
  <c r="C30" i="7"/>
  <c r="I30" i="7"/>
  <c r="H30" i="7"/>
  <c r="F30" i="7"/>
  <c r="G30" i="7"/>
  <c r="E30" i="7"/>
  <c r="D30" i="7"/>
  <c r="B30" i="7"/>
  <c r="E26" i="7"/>
  <c r="C24" i="7"/>
  <c r="F1" i="7"/>
  <c r="G19" i="5" l="1"/>
  <c r="F19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S3" i="3"/>
  <c r="S4" i="3"/>
  <c r="P3" i="3"/>
  <c r="R3" i="3"/>
  <c r="Q3" i="3" l="1"/>
  <c r="K4" i="3" s="1"/>
  <c r="E2" i="3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<sst xmlns="http://schemas.openxmlformats.org/spreadsheetml/2006/main" count="206" uniqueCount="163">
  <si>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</si>
  <si>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</si>
  <si>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</si>
  <si>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</si>
  <si>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</si>
  <si>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</si>
  <si>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</si>
  <si>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</si>
  <si>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</si>
  <si>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</si>
  <si>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</si>
  <si>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</si>
  <si>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</si>
  <si>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</si>
  <si>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</si>
  <si>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</si>
  <si>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</si>
  <si>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</si>
  <si>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</si>
  <si>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</si>
  <si>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</si>
  <si>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</si>
  <si>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</si>
  <si>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</si>
  <si>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</si>
  <si>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</si>
  <si>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</si>
  <si>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</si>
  <si>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</si>
  <si>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</si>
  <si>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</si>
  <si>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</si>
  <si>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</si>
  <si>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</si>
  <si>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</si>
  <si>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</si>
  <si>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</si>
  <si>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</si>
  <si>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</si>
  <si>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</si>
  <si>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</si>
  <si>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</si>
  <si>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</si>
  <si>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</si>
  <si>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</si>
  <si>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</si>
  <si>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</si>
  <si>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</si>
  <si>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</si>
  <si>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</si>
  <si>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</si>
  <si>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</si>
  <si>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</si>
  <si>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</si>
  <si>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</si>
  <si>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</si>
  <si>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</si>
  <si>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</si>
  <si>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</si>
  <si>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</si>
  <si>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</si>
  <si>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</si>
  <si>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</si>
  <si>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</si>
  <si>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</si>
  <si>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</si>
  <si>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</si>
  <si>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</si>
  <si>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</si>
  <si>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</si>
  <si>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</si>
  <si>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</si>
  <si>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</si>
  <si>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</si>
  <si>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</si>
  <si>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</si>
  <si>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</si>
  <si>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</si>
  <si>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</si>
  <si>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</si>
  <si>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</si>
  <si>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</si>
  <si>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</si>
  <si>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</si>
  <si>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</si>
  <si>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</si>
  <si>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</si>
  <si>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</si>
  <si>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</si>
  <si>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</si>
  <si>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</si>
  <si>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</si>
  <si>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</si>
  <si>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</si>
  <si>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</si>
  <si>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</si>
  <si>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</si>
  <si>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</si>
  <si>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</si>
  <si>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</si>
  <si>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</si>
  <si>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</si>
  <si>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</si>
  <si>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</si>
  <si>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</si>
  <si>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</si>
  <si>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</si>
  <si>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</si>
  <si>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</si>
  <si>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</si>
  <si>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</si>
  <si>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</si>
  <si>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</si>
  <si>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</si>
  <si>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</si>
  <si>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</si>
  <si>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</si>
  <si>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</si>
  <si>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</si>
  <si>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</si>
  <si>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</si>
  <si>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</si>
  <si>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</si>
  <si>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</si>
  <si>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</si>
  <si>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</si>
  <si>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</si>
  <si>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</si>
  <si>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</si>
  <si>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</si>
  <si>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</si>
  <si>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</si>
  <si>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</si>
  <si>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</si>
  <si>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</si>
  <si>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</si>
  <si>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</si>
  <si>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</si>
  <si>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</si>
  <si>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</si>
  <si>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</si>
  <si>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</si>
  <si>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</si>
  <si>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</si>
  <si>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</si>
  <si>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</si>
  <si>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</si>
  <si>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</si>
  <si>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</si>
  <si>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</si>
  <si>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</si>
  <si>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</si>
  <si>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</si>
  <si>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</si>
  <si>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</si>
  <si>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</si>
  <si>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</si>
  <si>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</si>
  <si>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 xml:space="preserve">ИНВОЙС № BEZ-F-34 от </t>
  </si>
  <si>
    <t xml:space="preserve">СПЕЦИФИКАЦИЯ № BEZ-F-34 от </t>
  </si>
  <si>
    <t>30G333MB/308935AA</t>
  </si>
  <si>
    <t>DAP - с Амандык , Республика Казахстан</t>
  </si>
  <si>
    <t>г.Уфа / г.Свердловск /г. Иркутск /г.Омск /г. Ижевск/ г.Крым Симферополь/ 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</si>
</sst>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73" fillId="0" borderId="0" xfId="0" applyFont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7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158</v>
      </c>
      <c r="D1" s="136"/>
      <c r="E1" s="136"/>
      <c r="F1" s="135" t="s">
        <v>157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138</v>
      </c>
      <c r="H5" s="139"/>
      <c r="I5" s="139"/>
      <c r="J5" s="139"/>
      <c r="K5" s="139"/>
      <c r="L5" s="139"/>
      <c r="M5" s="139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41" t="s">
        <v>139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41" t="s">
        <v>140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125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41" t="s">
        <v>126</v>
      </c>
      <c r="H15" s="144"/>
      <c r="I15" s="144"/>
      <c r="J15" s="144"/>
      <c r="K15" s="144"/>
      <c r="L15" s="144"/>
      <c r="M15" s="144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41" t="s">
        <v>127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121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133</v>
      </c>
      <c r="C30" s="107" t="s">
        <v>132</v>
      </c>
      <c r="D30" s="109" t="s">
        <v>112</v>
      </c>
      <c r="E30" s="101">
        <v>1550</v>
      </c>
      <c r="F30" s="110" t="s">
        <v>27</v>
      </c>
      <c r="G30" s="106">
        <v>13090</v>
      </c>
      <c r="H30" s="106">
        <v>12005</v>
      </c>
      <c r="I30" s="108">
        <v>1</v>
      </c>
      <c r="J30" s="13">
        <f t="shared" ref="J30:J31" si="0">H30*I30</f>
        <v>12005</v>
      </c>
      <c r="K30" s="12">
        <v>0</v>
      </c>
      <c r="L30" s="12">
        <v>0</v>
      </c>
      <c r="M30" s="13">
        <f t="shared" ref="M30:M31" si="1">J30</f>
        <v>12005</v>
      </c>
      <c r="O30" s="100"/>
      <c r="Q30" s="100"/>
    </row>
    <row r="31" spans="1:17" ht="27.6" x14ac:dyDescent="0.25">
      <c r="A31" s="133">
        <v>2</v>
      </c>
      <c r="B31" s="101" t="s">
        <v>133</v>
      </c>
      <c r="C31" s="107" t="s">
        <v>132</v>
      </c>
      <c r="D31" s="109" t="s">
        <v>112</v>
      </c>
      <c r="E31" s="101">
        <v>1600</v>
      </c>
      <c r="F31" s="110" t="s">
        <v>27</v>
      </c>
      <c r="G31" s="106">
        <v>9600</v>
      </c>
      <c r="H31" s="106">
        <v>8640</v>
      </c>
      <c r="I31" s="108">
        <v>1</v>
      </c>
      <c r="J31" s="13">
        <f t="shared" si="0"/>
        <v>8640</v>
      </c>
      <c r="K31" s="12">
        <v>0</v>
      </c>
      <c r="L31" s="12">
        <v>0</v>
      </c>
      <c r="M31" s="13">
        <f t="shared" si="1"/>
        <v>8640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3150</v>
      </c>
      <c r="F32" s="15"/>
      <c r="G32" s="64">
        <f>SUM(G30:G31)</f>
        <v>22690</v>
      </c>
      <c r="H32" s="64">
        <f>SUM(H30:H31)</f>
        <v>20645</v>
      </c>
      <c r="I32" s="102"/>
      <c r="J32" s="17">
        <f>SUM(J30:J31)</f>
        <v>20645</v>
      </c>
      <c r="K32" s="16"/>
      <c r="L32" s="16"/>
      <c r="M32" s="17">
        <f>SUM(M30:M31)</f>
        <v>20645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Двадцать тысяч шестьсот сорок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 t="s">
        <v>110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3.8" x14ac:dyDescent="0.25">
      <c r="A37" s="7" t="s">
        <v>28</v>
      </c>
      <c r="B37" s="7"/>
      <c r="D37" s="25" t="s">
        <v>155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2">
    <mergeCell ref="I28:I29"/>
    <mergeCell ref="G28:H28"/>
    <mergeCell ref="C23:M23"/>
    <mergeCell ref="E26:G26"/>
    <mergeCell ref="G7:M7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Normal="100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162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BEZ-F-34 от  10.08.2025г.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107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1550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13090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1600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9600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10.08.2025г.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30G333MB/308935AA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30G333MB/308935AA</v>
      </c>
      <c r="C14" s="164"/>
      <c r="D14" s="164"/>
      <c r="E14" s="164"/>
      <c r="F14" s="164"/>
      <c r="G14" s="164"/>
      <c r="H14" s="165" t="s">
        <v>108</v>
      </c>
      <c r="I14" s="165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BEZ-F-34 от  10.08.2025г.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1550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13090</v>
      </c>
    </row>
    <row r="20" spans="2:10" ht="13.5" customHeight="1" x14ac:dyDescent="0.3">
      <c r="B20" s="83"/>
      <c r="E20" s="123"/>
      <c r="F20" s="118">
        <f>+Инвойс!E31</f>
        <v>1600</v>
      </c>
      <c r="G20" s="167" t="str">
        <f>+CMR!F31</f>
        <v>Виноград свежий столовых сортов</v>
      </c>
      <c r="H20" s="167"/>
      <c r="I20" s="132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Пласт. ящик</v>
      </c>
      <c r="G21" s="161" t="str">
        <f>+Инвойс!C31</f>
        <v>0806101001</v>
      </c>
      <c r="H21" s="168"/>
      <c r="I21" s="122" t="s">
        <v>103</v>
      </c>
      <c r="J21" s="120">
        <f>+Инвойс!G31</f>
        <v>9600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70"/>
      <c r="H44" s="170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1">
        <f>+F18+F20+F22+F24+F26+F28+F30+F32+F34+F36+F38+F40+F42</f>
        <v>3150</v>
      </c>
      <c r="E47" s="172"/>
    </row>
    <row r="48" spans="2:10" ht="17.25" customHeight="1" x14ac:dyDescent="0.3">
      <c r="B48" s="169" t="s">
        <v>105</v>
      </c>
      <c r="C48" s="169"/>
      <c r="D48" s="169"/>
      <c r="E48" s="169"/>
    </row>
    <row r="49" spans="2:5" ht="21.75" customHeight="1" x14ac:dyDescent="0.3">
      <c r="B49" s="169"/>
      <c r="C49" s="169"/>
      <c r="D49" s="169"/>
      <c r="E49" s="16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6" t="s">
        <v>159</v>
      </c>
      <c r="C1" s="176"/>
      <c r="D1" s="176"/>
      <c r="E1" s="176"/>
      <c r="F1" s="135" t="str">
        <f>+Инвойс!F1</f>
        <v xml:space="preserve"> 10.08.2025г.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EX1607 от 16.07.2025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OOO “BMB EXIM”</v>
      </c>
      <c r="B5" s="137"/>
      <c r="C5" s="137"/>
      <c r="D5" s="137"/>
      <c r="E5" s="137"/>
      <c r="F5" s="6"/>
      <c r="G5" s="139" t="str">
        <f>+Инвойс!G5</f>
        <v>ООО ТД «РЕСУРС»</v>
      </c>
      <c r="H5" s="139"/>
      <c r="I5" s="139"/>
      <c r="J5" s="139"/>
      <c r="K5" s="139"/>
      <c r="L5" s="139"/>
      <c r="M5" s="139"/>
    </row>
    <row r="6" spans="1:15" ht="13.8" x14ac:dyDescent="0.25">
      <c r="A6" s="174" t="str">
        <f>+Инвойс!A6</f>
        <v>Республика Узбекистан, Джизакская область,</v>
      </c>
      <c r="B6" s="174"/>
      <c r="C6" s="174"/>
      <c r="D6" s="174"/>
      <c r="E6" s="174"/>
      <c r="F6" s="7"/>
      <c r="G6" s="173" t="str">
        <f>+Инвойс!G6</f>
        <v xml:space="preserve">125362, Город Москва, вн.тер.г. муниципальный округ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74" t="str">
        <f>+Инвойс!A7</f>
        <v>Шароф Рашидовский район, Токчилик МФЙ, ул Мустакиллик дом 92а</v>
      </c>
      <c r="B7" s="174"/>
      <c r="C7" s="174"/>
      <c r="D7" s="174"/>
      <c r="E7" s="174"/>
      <c r="F7" s="63"/>
      <c r="G7" s="173" t="str">
        <f>+Инвойс!G7</f>
        <v xml:space="preserve">Южное Тушино, ул Свободы, д. 35, стр. 43, помещ. 92/3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4" t="str">
        <f>+Инвойс!A8</f>
        <v>Р/с N 20208840905433267001   (USD)</v>
      </c>
      <c r="B8" s="174"/>
      <c r="C8" s="174"/>
      <c r="D8" s="174"/>
      <c r="E8" s="174"/>
      <c r="F8" s="63"/>
      <c r="G8" s="173" t="str">
        <f>+Инвойс!G8</f>
        <v>Банк: Азия-Инвест Банк (АО) ИНН: 9705116064 КПП: 770501001</v>
      </c>
      <c r="H8" s="173"/>
      <c r="I8" s="173"/>
      <c r="J8" s="173"/>
      <c r="K8" s="173"/>
      <c r="L8" s="173"/>
      <c r="M8" s="173"/>
    </row>
    <row r="9" spans="1:15" ht="13.8" x14ac:dyDescent="0.25">
      <c r="A9" s="174" t="str">
        <f>+Инвойс!A9</f>
        <v xml:space="preserve">в “Узсаноаткурилиш” Банк операционный </v>
      </c>
      <c r="B9" s="174"/>
      <c r="C9" s="174"/>
      <c r="D9" s="174"/>
      <c r="E9" s="174"/>
      <c r="F9" s="7"/>
      <c r="G9" s="173" t="str">
        <f>+Инвойс!G9</f>
        <v xml:space="preserve">Р/Счет: 40702840100000019384 ; БИК:  044525234 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74" t="str">
        <f>+Инвойс!A10</f>
        <v>МФО 00440</v>
      </c>
      <c r="B10" s="174"/>
      <c r="C10" s="174"/>
      <c r="D10" s="174"/>
      <c r="E10" s="174"/>
      <c r="F10" s="7"/>
      <c r="G10" s="173" t="str">
        <f>+Инвойс!G10</f>
        <v xml:space="preserve">Корр.счет: 30101810445250000234  </v>
      </c>
      <c r="H10" s="173"/>
      <c r="I10" s="173"/>
      <c r="J10" s="173"/>
      <c r="K10" s="173"/>
      <c r="L10" s="173"/>
      <c r="M10" s="173"/>
    </row>
    <row r="11" spans="1:15" ht="13.8" x14ac:dyDescent="0.25">
      <c r="A11" s="174" t="str">
        <f>+Инвойс!A11</f>
        <v>ИНН: 308822933</v>
      </c>
      <c r="B11" s="174"/>
      <c r="C11" s="174"/>
      <c r="D11" s="174"/>
      <c r="E11" s="174"/>
      <c r="F11" s="7"/>
      <c r="G11" s="173" t="str">
        <f>+Инвойс!G11</f>
        <v>(SWIFT code: ASIJRUMM)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7" t="str">
        <f>+Инвойс!A14</f>
        <v>OOO “BMB EXIM”</v>
      </c>
      <c r="B14" s="137"/>
      <c r="C14" s="137"/>
      <c r="D14" s="137"/>
      <c r="E14" s="137"/>
      <c r="F14" s="6"/>
      <c r="G14" s="139" t="str">
        <f>+Инвойс!G14</f>
        <v>OOO «Западные ворота»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4" t="str">
        <f>+Инвойс!A15</f>
        <v>Республика Узбекистан, Джизакская область,</v>
      </c>
      <c r="B15" s="174"/>
      <c r="C15" s="174"/>
      <c r="D15" s="174"/>
      <c r="E15" s="174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3.8" x14ac:dyDescent="0.25">
      <c r="A16" s="174" t="str">
        <f>+Инвойс!A16</f>
        <v>Шароф Рашидовский район, Токчилик МФЙ, ул Мустакиллик дом 92а</v>
      </c>
      <c r="B16" s="174"/>
      <c r="C16" s="174"/>
      <c r="D16" s="174"/>
      <c r="E16" s="174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4" t="str">
        <f>+Инвойс!A17</f>
        <v>Р/с N 20208840905433267001   (USD)</v>
      </c>
      <c r="B17" s="174"/>
      <c r="C17" s="174"/>
      <c r="D17" s="174"/>
      <c r="E17" s="174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3.8" x14ac:dyDescent="0.25">
      <c r="A18" s="174" t="str">
        <f>+Инвойс!A18</f>
        <v xml:space="preserve">в “Узсаноаткурилиш” Банк операционный </v>
      </c>
      <c r="B18" s="174"/>
      <c r="C18" s="174"/>
      <c r="D18" s="174"/>
      <c r="E18" s="174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3.8" x14ac:dyDescent="0.25">
      <c r="A19" s="174" t="str">
        <f>+Инвойс!A19</f>
        <v>МФО 00440</v>
      </c>
      <c r="B19" s="174"/>
      <c r="C19" s="174"/>
      <c r="D19" s="174"/>
      <c r="E19" s="174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3.8" x14ac:dyDescent="0.25">
      <c r="A20" s="174" t="str">
        <f>+Инвойс!A20</f>
        <v>ИНН: 308822933</v>
      </c>
      <c r="B20" s="174"/>
      <c r="C20" s="174"/>
      <c r="D20" s="174"/>
      <c r="E20" s="174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116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30G333MB/308935AA</v>
      </c>
      <c r="F26" s="156"/>
      <c r="G26" s="156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1550</v>
      </c>
      <c r="F30" s="116" t="str">
        <f>+Инвойс!F30</f>
        <v>кг</v>
      </c>
      <c r="G30" s="106">
        <f>+Инвойс!G30</f>
        <v>13090</v>
      </c>
      <c r="H30" s="106">
        <f>+Инвойс!H30</f>
        <v>12005</v>
      </c>
      <c r="I30" s="108">
        <f>+Инвойс!I30</f>
        <v>1</v>
      </c>
      <c r="J30" s="13">
        <f>+Инвойс!J30</f>
        <v>12005</v>
      </c>
      <c r="K30" s="12">
        <v>0</v>
      </c>
      <c r="L30" s="12">
        <v>0</v>
      </c>
      <c r="M30" s="13">
        <f>+Инвойс!M30</f>
        <v>12005</v>
      </c>
      <c r="O30" s="100"/>
      <c r="Q30" s="100"/>
    </row>
    <row r="31" spans="1:17" ht="27.6" x14ac:dyDescent="0.25">
      <c r="A31" s="111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1600</v>
      </c>
      <c r="F31" s="116" t="str">
        <f>+Инвойс!F31</f>
        <v>кг</v>
      </c>
      <c r="G31" s="106">
        <f>+Инвойс!G31</f>
        <v>9600</v>
      </c>
      <c r="H31" s="106">
        <f>+Инвойс!H31</f>
        <v>8640</v>
      </c>
      <c r="I31" s="108">
        <f>+Инвойс!I31</f>
        <v>1</v>
      </c>
      <c r="J31" s="134">
        <f>+Инвойс!J31</f>
        <v>8640</v>
      </c>
      <c r="K31" s="12">
        <v>0</v>
      </c>
      <c r="L31" s="12">
        <v>0</v>
      </c>
      <c r="M31" s="13">
        <f>+Инвойс!M31</f>
        <v>8640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3150</v>
      </c>
      <c r="F32" s="15"/>
      <c r="G32" s="64">
        <f>SUM(G30:G31)</f>
        <v>22690</v>
      </c>
      <c r="H32" s="64">
        <f>SUM(H30:H31)</f>
        <v>20645</v>
      </c>
      <c r="I32" s="102"/>
      <c r="J32" s="17">
        <f>SUM(J30:J31)</f>
        <v>20645</v>
      </c>
      <c r="K32" s="16"/>
      <c r="L32" s="16"/>
      <c r="M32" s="17">
        <f>SUM(M30:M31)</f>
        <v>20645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Двадцать тысяч шестьсот сорок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5.6" x14ac:dyDescent="0.3">
      <c r="A37" s="7" t="s">
        <v>156</v>
      </c>
      <c r="B37" s="7"/>
      <c r="D37" s="25" t="s">
        <v>155</v>
      </c>
      <c r="E37" s="24"/>
      <c r="G37" s="129" t="s">
        <v>145</v>
      </c>
      <c r="H37" t="str">
        <f>Инвойс!G5</f>
        <v>ООО ТД «РЕСУРС»</v>
      </c>
      <c r="K37" s="130" t="s">
        <v>146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1" sqref="A11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Инвойс!M32</f>
        <v>20645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шестьсот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45879</v>
      </c>
      <c r="O3" s="180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шестьсот сорок пять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августа  2025 г.</v>
      </c>
      <c r="L4" s="181"/>
      <c r="M4" s="18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шестьсот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шестьсот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шестьсот сорок пять долларов США, 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20645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5">
      <c r="A28" s="54">
        <f>TRUNC(A29/10)</f>
        <v>2064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20645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2025-08-10T14:05:37Z</cp:lastPrinted>
  <dcterms:created xsi:type="dcterms:W3CDTF">1996-10-14T23:33:28Z</dcterms:created>
  <dcterms:modified xsi:type="dcterms:W3CDTF">2025-08-10T14:05:51Z</dcterms:modified>
</cp:coreProperties>
</file>