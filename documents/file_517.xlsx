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0" i="2" l="1"/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<sst xmlns="http://schemas.openxmlformats.org/spreadsheetml/2006/main" count="202" uniqueCount="164">
  <si>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</si>
  <si>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</si>
  <si>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</si>
  <si>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</si>
  <si>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</si>
  <si>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</si>
  <si>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</si>
  <si>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</si>
  <si>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</si>
  <si>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</si>
  <si>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</si>
  <si>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</si>
  <si>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</si>
  <si>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</si>
  <si>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</si>
  <si>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</si>
  <si>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</si>
  <si>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</si>
  <si>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</si>
  <si>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</si>
  <si>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</si>
  <si>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</si>
  <si>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</si>
  <si>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</si>
  <si>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</si>
  <si>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</si>
  <si>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</si>
  <si>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</si>
  <si>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</si>
  <si>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</si>
  <si>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</si>
  <si>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</si>
  <si>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</si>
  <si>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</si>
  <si>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</si>
  <si>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</si>
  <si>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</si>
  <si>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</si>
  <si>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</si>
  <si>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</si>
  <si>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</si>
  <si>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</si>
  <si>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</si>
  <si>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</si>
  <si>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</si>
  <si>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</si>
  <si>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</si>
  <si>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</si>
  <si>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</si>
  <si>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</si>
  <si>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</si>
  <si>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</si>
  <si>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</si>
  <si>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</si>
  <si>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</si>
  <si>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</si>
  <si>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</si>
  <si>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</si>
  <si>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</si>
  <si>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</si>
  <si>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</si>
  <si>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</si>
  <si>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</si>
  <si>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</si>
  <si>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</si>
  <si>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</si>
  <si>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</si>
  <si>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</si>
  <si>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</si>
  <si>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</si>
  <si>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</si>
  <si>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</si>
  <si>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</si>
  <si>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</si>
  <si>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</si>
  <si>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</si>
  <si>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</si>
  <si>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</si>
  <si>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</si>
  <si>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</si>
  <si>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</si>
  <si>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</si>
  <si>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</si>
  <si>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</si>
  <si>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</si>
  <si>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</si>
  <si>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</si>
  <si>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</si>
  <si>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</si>
  <si>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</si>
  <si>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</si>
  <si>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</si>
  <si>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</si>
  <si>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</si>
  <si>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</si>
  <si>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</si>
  <si>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</si>
  <si>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</si>
  <si>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</si>
  <si>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</si>
  <si>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</si>
  <si>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</si>
  <si>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</si>
  <si>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</si>
  <si>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</si>
  <si>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</si>
  <si>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</si>
  <si>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</si>
  <si>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</si>
  <si>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</si>
  <si>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</si>
  <si>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</si>
  <si>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</si>
  <si>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</si>
  <si>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</si>
  <si>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</si>
  <si>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</si>
  <si>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</si>
  <si>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</si>
  <si>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</si>
  <si>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</si>
  <si>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</si>
  <si>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</si>
  <si>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</si>
  <si>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</si>
  <si>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</si>
  <si>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</si>
  <si>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</si>
  <si>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</si>
  <si>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</si>
  <si>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</si>
  <si>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</si>
  <si>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</si>
  <si>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</si>
  <si>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</si>
  <si>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</si>
  <si>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</si>
  <si>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</si>
  <si>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</si>
  <si>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</si>
  <si>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</si>
  <si>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</si>
  <si>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</si>
  <si>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</si>
  <si>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</si>
  <si>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</si>
  <si>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</si>
  <si>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</si>
  <si>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</si>
  <si>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</si>
  <si>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</si>
  <si>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</si>
  <si>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</si>
  <si>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</si>
  <si>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</si>
  <si>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</si>
  <si>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</si>
  <si>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</si>
  <si>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</si>
  <si>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</si>
  <si>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EXZ-N-22 от </t>
  </si>
  <si>
    <t xml:space="preserve"> 10.09.2025г.</t>
  </si>
  <si>
    <t xml:space="preserve">СПЕЦИФИКАЦИЯ № EXZ-N-22 от </t>
  </si>
  <si>
    <t>80929CBA/807324AA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</si>
</sst>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3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1" fontId="15" fillId="0" borderId="0" xfId="2" applyNumberFormat="1" applyFont="1" applyBorder="1" applyAlignment="1">
      <alignment horizontal="center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2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141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130</v>
      </c>
      <c r="B5" s="136"/>
      <c r="C5" s="136"/>
      <c r="D5" s="136"/>
      <c r="E5" s="136"/>
      <c r="F5" s="6"/>
      <c r="G5" s="138" t="s">
        <v>142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131</v>
      </c>
      <c r="B6" s="143"/>
      <c r="C6" s="143"/>
      <c r="D6" s="143"/>
      <c r="E6" s="143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132</v>
      </c>
      <c r="B7" s="143"/>
      <c r="C7" s="143"/>
      <c r="D7" s="143"/>
      <c r="E7" s="143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5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135</v>
      </c>
      <c r="B10" s="125"/>
      <c r="C10" s="125"/>
      <c r="D10" s="125"/>
      <c r="E10" s="125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130</v>
      </c>
      <c r="B14" s="136"/>
      <c r="C14" s="136"/>
      <c r="D14" s="136"/>
      <c r="E14" s="136"/>
      <c r="F14" s="6"/>
      <c r="G14" s="138" t="s">
        <v>149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131</v>
      </c>
      <c r="B15" s="143"/>
      <c r="C15" s="143"/>
      <c r="D15" s="143"/>
      <c r="E15" s="143"/>
      <c r="F15" s="7"/>
      <c r="G15" s="140" t="s">
        <v>150</v>
      </c>
      <c r="H15" s="143"/>
      <c r="I15" s="143"/>
      <c r="J15" s="143"/>
      <c r="K15" s="143"/>
      <c r="L15" s="143"/>
      <c r="M15" s="143"/>
    </row>
    <row r="16" spans="1:15" ht="15" x14ac:dyDescent="0.25">
      <c r="A16" s="143" t="s">
        <v>132</v>
      </c>
      <c r="B16" s="143"/>
      <c r="C16" s="143"/>
      <c r="D16" s="143"/>
      <c r="E16" s="143"/>
      <c r="F16" s="63"/>
      <c r="G16" s="140" t="s">
        <v>151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135</v>
      </c>
      <c r="B19" s="125"/>
      <c r="C19" s="125"/>
      <c r="D19" s="125"/>
      <c r="E19" s="125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5" x14ac:dyDescent="0.25">
      <c r="A21" s="99" t="s">
        <v>137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4" t="s">
        <v>127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163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920</v>
      </c>
      <c r="F30" s="110" t="s">
        <v>27</v>
      </c>
      <c r="G30" s="106">
        <v>23500</v>
      </c>
      <c r="H30" s="106">
        <v>21844</v>
      </c>
      <c r="I30" s="108">
        <v>0.2</v>
      </c>
      <c r="J30" s="13">
        <f t="shared" ref="J30" si="0">H30*I30</f>
        <v>4368.8</v>
      </c>
      <c r="K30" s="12">
        <v>0</v>
      </c>
      <c r="L30" s="12">
        <v>0</v>
      </c>
      <c r="M30" s="13">
        <f t="shared" ref="M30" si="1">J30</f>
        <v>4368.8</v>
      </c>
      <c r="O30" s="182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23500</v>
      </c>
      <c r="H31" s="64">
        <f>SUM(H30:H30)</f>
        <v>21844</v>
      </c>
      <c r="I31" s="102"/>
      <c r="J31" s="17">
        <f>SUM(J30:J30)</f>
        <v>4368.8</v>
      </c>
      <c r="K31" s="16"/>
      <c r="L31" s="16"/>
      <c r="M31" s="17">
        <f>SUM(M30:M30)</f>
        <v>4368.8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Четыре тысячи триста шестьдесят восемь долларов США, 80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138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40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EXZ-N-22 от  10.09.2025г.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10.09.2025г.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80929CBA/807324AA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80929CBA/807324AA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10.09.2025г.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EXZ-N-22 от  10.09.2025г.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920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23500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920</v>
      </c>
      <c r="E47" s="171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162</v>
      </c>
      <c r="C1" s="174"/>
      <c r="D1" s="174"/>
      <c r="E1" s="174"/>
      <c r="F1" s="134" t="str">
        <f>+Инвойс!F1</f>
        <v xml:space="preserve"> 10.09.2025г.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80929CBA/807324AA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23500</v>
      </c>
      <c r="H30" s="106">
        <f>+Инвойс!H30</f>
        <v>21844</v>
      </c>
      <c r="I30" s="108">
        <f>+Инвойс!I30</f>
        <v>0.2</v>
      </c>
      <c r="J30" s="13">
        <f>+Инвойс!J30</f>
        <v>4368.8</v>
      </c>
      <c r="K30" s="12">
        <v>0</v>
      </c>
      <c r="L30" s="12">
        <v>0</v>
      </c>
      <c r="M30" s="13">
        <f>+Инвойс!M30</f>
        <v>4368.8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23500</v>
      </c>
      <c r="H31" s="64">
        <f>SUM(H30:H30)</f>
        <v>21844</v>
      </c>
      <c r="I31" s="102"/>
      <c r="J31" s="17">
        <f>SUM(J30:J30)</f>
        <v>4368.8</v>
      </c>
      <c r="K31" s="16"/>
      <c r="L31" s="16"/>
      <c r="M31" s="17">
        <f>SUM(M30:M30)</f>
        <v>4368.8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Четыре тысячи триста шестьдесят восемь долларов США, 80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139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«Аспект»</v>
      </c>
      <c r="K36" s="133" t="s">
        <v>157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/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127</v>
      </c>
    </row>
    <row r="5" spans="1:10" ht="89.25" x14ac:dyDescent="0.2">
      <c r="A5" s="126" t="s">
        <v>140</v>
      </c>
    </row>
    <row r="6" spans="1:10" x14ac:dyDescent="0.2">
      <c r="E6" s="18"/>
      <c r="J6" s="25"/>
    </row>
    <row r="7" spans="1:10" ht="51" x14ac:dyDescent="0.2">
      <c r="A7" s="126" t="s">
        <v>117</v>
      </c>
    </row>
    <row r="8" spans="1:10" x14ac:dyDescent="0.2">
      <c r="E8" s="18"/>
      <c r="J8" s="25"/>
    </row>
    <row r="9" spans="1:10" ht="51" x14ac:dyDescent="0.2">
      <c r="A9" s="126" t="s">
        <v>118</v>
      </c>
    </row>
    <row r="10" spans="1:10" x14ac:dyDescent="0.2">
      <c r="A10" s="126"/>
      <c r="E10" s="18"/>
      <c r="J10" s="25"/>
    </row>
    <row r="11" spans="1:10" ht="51" x14ac:dyDescent="0.2">
      <c r="A11" s="126" t="s">
        <v>158</v>
      </c>
    </row>
    <row r="12" spans="1:10" x14ac:dyDescent="0.2">
      <c r="E12" s="18"/>
      <c r="J12" s="25"/>
    </row>
    <row r="13" spans="1:10" ht="51" x14ac:dyDescent="0.2">
      <c r="A13" s="126" t="s">
        <v>119</v>
      </c>
    </row>
    <row r="15" spans="1:10" ht="38.25" x14ac:dyDescent="0.2">
      <c r="A15" s="126" t="s">
        <v>120</v>
      </c>
    </row>
    <row r="17" spans="1:1" ht="38.25" x14ac:dyDescent="0.2">
      <c r="A17" s="126" t="s">
        <v>121</v>
      </c>
    </row>
    <row r="19" spans="1:1" ht="38.25" x14ac:dyDescent="0.2">
      <c r="A19" s="128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4368.8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триста шестьдесят восемь долларов США, 80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45910</v>
      </c>
      <c r="O3" s="178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Четыре тысячи триста шестьдесят восемь долларов США, 80 центов. (в т.ч. НДС - 357,79)</v>
      </c>
      <c r="H4" s="32"/>
      <c r="I4" s="32"/>
      <c r="J4" s="32"/>
      <c r="K4" s="179" t="str">
        <f ca="1">CONCATENATE(" «  ",P3,"  »  ",Q3,"  ",R3," г.")</f>
        <v xml:space="preserve"> «  10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триста шестьдесят восемь долларов США, 80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триста шестьдесят восемь долларов США, 80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шестьдесят восемь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80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4368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436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">
      <c r="A29" s="54">
        <f>E13</f>
        <v>4368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368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2025-09-10T07:44:46Z</cp:lastPrinted>
  <dcterms:created xsi:type="dcterms:W3CDTF">1996-10-14T23:33:28Z</dcterms:created>
  <dcterms:modified xsi:type="dcterms:W3CDTF">2025-09-10T07:44:49Z</dcterms:modified>
</cp:coreProperties>
</file>