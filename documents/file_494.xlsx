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41" i="7" l="1"/>
  <c r="H41" i="7" l="1"/>
  <c r="I31" i="4" l="1"/>
  <c r="I32" i="4"/>
  <c r="I33" i="4"/>
  <c r="I34" i="4"/>
  <c r="I35" i="4"/>
  <c r="G31" i="4"/>
  <c r="G32" i="4"/>
  <c r="G33" i="4"/>
  <c r="G34" i="4"/>
  <c r="G35" i="4"/>
  <c r="F31" i="4"/>
  <c r="F32" i="4"/>
  <c r="F33" i="4"/>
  <c r="F34" i="4"/>
  <c r="F35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5" i="7" l="1"/>
  <c r="C34" i="7"/>
  <c r="C33" i="7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A34" i="7"/>
  <c r="B34" i="7"/>
  <c r="D34" i="7"/>
  <c r="E34" i="7"/>
  <c r="F34" i="7"/>
  <c r="G34" i="7"/>
  <c r="H34" i="7"/>
  <c r="I34" i="7"/>
  <c r="A35" i="7"/>
  <c r="B35" i="7"/>
  <c r="D35" i="7"/>
  <c r="E35" i="7"/>
  <c r="F35" i="7"/>
  <c r="G35" i="7"/>
  <c r="H35" i="7"/>
  <c r="I35" i="7"/>
  <c r="I30" i="7"/>
  <c r="H30" i="7"/>
  <c r="F30" i="7"/>
  <c r="G30" i="7"/>
  <c r="E30" i="7"/>
  <c r="D30" i="7"/>
  <c r="B30" i="7"/>
  <c r="A30" i="7"/>
  <c r="E26" i="7"/>
  <c r="C24" i="7"/>
  <c r="F1" i="7"/>
  <c r="G36" i="7" l="1"/>
  <c r="E36" i="7"/>
  <c r="H36" i="7" l="1"/>
  <c r="E36" i="2" l="1"/>
  <c r="G36" i="2" l="1"/>
  <c r="H36" i="2"/>
  <c r="G29" i="5"/>
  <c r="G27" i="5"/>
  <c r="G25" i="5"/>
  <c r="G23" i="5"/>
  <c r="G21" i="5"/>
  <c r="G19" i="5"/>
  <c r="J29" i="5"/>
  <c r="J27" i="5"/>
  <c r="J25" i="5"/>
  <c r="J23" i="5"/>
  <c r="J21" i="5"/>
  <c r="F29" i="5"/>
  <c r="F28" i="5"/>
  <c r="F27" i="5"/>
  <c r="F26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G26" i="5"/>
  <c r="G28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5" i="2"/>
  <c r="J34" i="2"/>
  <c r="J33" i="2"/>
  <c r="J32" i="2"/>
  <c r="J32" i="7" s="1"/>
  <c r="J31" i="2"/>
  <c r="J30" i="2"/>
  <c r="M30" i="2" l="1"/>
  <c r="M30" i="7" s="1"/>
  <c r="J30" i="7"/>
  <c r="M31" i="2"/>
  <c r="M31" i="7" s="1"/>
  <c r="J31" i="7"/>
  <c r="M34" i="2"/>
  <c r="M34" i="7" s="1"/>
  <c r="J34" i="7"/>
  <c r="M33" i="2"/>
  <c r="M33" i="7" s="1"/>
  <c r="J33" i="7"/>
  <c r="M35" i="2"/>
  <c r="M35" i="7" s="1"/>
  <c r="J35" i="7"/>
  <c r="J36" i="2"/>
  <c r="M32" i="2"/>
  <c r="M32" i="7" s="1"/>
  <c r="S3" i="3"/>
  <c r="S4" i="3"/>
  <c r="P3" i="3"/>
  <c r="R3" i="3"/>
  <c r="Q3" i="3" l="1"/>
  <c r="K4" i="3" s="1"/>
  <c r="J36" i="7"/>
  <c r="M36" i="7"/>
  <c r="M36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7" i="2" l="1"/>
  <c r="E37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<sst xmlns="http://schemas.openxmlformats.org/spreadsheetml/2006/main" count="232" uniqueCount="172">
  <si>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</si>
  <si>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</si>
  <si>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</si>
  <si>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</si>
  <si>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</si>
  <si>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</si>
  <si>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</si>
  <si>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</si>
  <si>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</si>
  <si>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</si>
  <si>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</si>
  <si>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</si>
  <si>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</si>
  <si>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</si>
  <si>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</si>
  <si>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</si>
  <si>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</si>
  <si>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</si>
  <si>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</si>
  <si>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</si>
  <si>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</si>
  <si>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</si>
  <si>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</si>
  <si>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</si>
  <si>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</si>
  <si>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</si>
  <si>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</si>
  <si>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</si>
  <si>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</si>
  <si>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</si>
  <si>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</si>
  <si>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</si>
  <si>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</si>
  <si>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</si>
  <si>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</si>
  <si>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</si>
  <si>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</si>
  <si>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</si>
  <si>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</si>
  <si>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</si>
  <si>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</si>
  <si>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</si>
  <si>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</si>
  <si>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</si>
  <si>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</si>
  <si>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</si>
  <si>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</si>
  <si>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</si>
  <si>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</si>
  <si>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</si>
  <si>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</si>
  <si>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</si>
  <si>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</si>
  <si>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</si>
  <si>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</si>
  <si>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</si>
  <si>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</si>
  <si>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</si>
  <si>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</si>
  <si>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</si>
  <si>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</si>
  <si>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</si>
  <si>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</si>
  <si>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</si>
  <si>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</si>
  <si>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</si>
  <si>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</si>
  <si>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</si>
  <si>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</si>
  <si>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</si>
  <si>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</si>
  <si>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</si>
  <si>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</si>
  <si>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</si>
  <si>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</si>
  <si>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</si>
  <si>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</si>
  <si>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</si>
  <si>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</si>
  <si>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</si>
  <si>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</si>
  <si>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</si>
  <si>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</si>
  <si>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</si>
  <si>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</si>
  <si>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</si>
  <si>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</si>
  <si>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</si>
  <si>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</si>
  <si>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</si>
  <si>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</si>
  <si>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</si>
  <si>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</si>
  <si>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</si>
  <si>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</si>
  <si>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</si>
  <si>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</si>
  <si>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</si>
  <si>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</si>
  <si>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</si>
  <si>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</si>
  <si>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</si>
  <si>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</si>
  <si>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</si>
  <si>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</si>
  <si>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</si>
  <si>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</si>
  <si>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</si>
  <si>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</si>
  <si>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</si>
  <si>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</si>
  <si>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</si>
  <si>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</si>
  <si>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Лимоны свежие некалиброванный</t>
  </si>
  <si>
    <t>Перец горький свежий</t>
  </si>
  <si>
    <t>0709609900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</si>
  <si>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</si>
  <si>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</si>
  <si>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</si>
  <si>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</si>
  <si>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</si>
  <si>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</si>
  <si>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</si>
  <si>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0805501009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</si>
  <si>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</si>
  <si>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</si>
  <si>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</si>
  <si>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</si>
  <si>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</si>
  <si>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</si>
  <si>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</si>
  <si>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</si>
  <si>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</si>
  <si>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</si>
  <si>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</si>
  <si>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</si>
  <si>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</si>
  <si>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</si>
  <si>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</si>
  <si>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</si>
  <si>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Хурма свежая</t>
  </si>
  <si>
    <t>0810700009</t>
  </si>
  <si>
    <t>Гранат свежий</t>
  </si>
  <si>
    <t>0810907504</t>
  </si>
  <si>
    <t>Айва свежая</t>
  </si>
  <si>
    <t>0808400009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</si>
  <si>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</si>
  <si>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</si>
  <si>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</si>
  <si>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</si>
  <si>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</si>
  <si>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</si>
  <si>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</si>
  <si>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</si>
  <si>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</si>
  <si>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</si>
  <si>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</si>
  <si>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</si>
  <si>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</si>
  <si>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ILICH</t>
  </si>
  <si>
    <t>YALLAMA</t>
  </si>
  <si>
    <t>DOUT-OTA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</si>
  <si>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</si>
  <si>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</si>
  <si>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</si>
  <si>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</si>
  <si>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</si>
  <si>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MEG-O-78 от </t>
  </si>
  <si>
    <t xml:space="preserve"> 09.09.2025г.</t>
  </si>
  <si>
    <t>г.Челябинский таможенный пост г.Челябинск ул. Енисейская, 87А код поста 10504080   ООО "ГРИН ВОРЛД" RU/0237/2 от 27.12.2024</t>
  </si>
  <si>
    <t>E054KA774/EB351674</t>
  </si>
  <si>
    <t xml:space="preserve">СПЕЦИФИКАЦИЯ № MEG-O-78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</si>
</sst>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42</xdr:row>
      <xdr:rowOff>33618</xdr:rowOff>
    </xdr:from>
    <xdr:to>
      <xdr:col>3</xdr:col>
      <xdr:colOff>224118</xdr:colOff>
      <xdr:row>54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42</xdr:row>
      <xdr:rowOff>100855</xdr:rowOff>
    </xdr:from>
    <xdr:to>
      <xdr:col>4</xdr:col>
      <xdr:colOff>389833</xdr:colOff>
      <xdr:row>44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42</xdr:row>
      <xdr:rowOff>22412</xdr:rowOff>
    </xdr:from>
    <xdr:to>
      <xdr:col>2</xdr:col>
      <xdr:colOff>392207</xdr:colOff>
      <xdr:row>54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42</xdr:row>
      <xdr:rowOff>89649</xdr:rowOff>
    </xdr:from>
    <xdr:to>
      <xdr:col>3</xdr:col>
      <xdr:colOff>546715</xdr:colOff>
      <xdr:row>44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41</xdr:row>
      <xdr:rowOff>78441</xdr:rowOff>
    </xdr:from>
    <xdr:to>
      <xdr:col>9</xdr:col>
      <xdr:colOff>589990</xdr:colOff>
      <xdr:row>53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7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167</v>
      </c>
      <c r="D1" s="154"/>
      <c r="E1" s="154"/>
      <c r="F1" s="153" t="s">
        <v>168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146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132</v>
      </c>
      <c r="B5" s="155"/>
      <c r="C5" s="155"/>
      <c r="D5" s="155"/>
      <c r="E5" s="155"/>
      <c r="F5" s="6"/>
      <c r="G5" s="148" t="s">
        <v>147</v>
      </c>
      <c r="H5" s="148"/>
      <c r="I5" s="148"/>
      <c r="J5" s="148"/>
      <c r="K5" s="148"/>
      <c r="L5" s="148"/>
      <c r="M5" s="148"/>
    </row>
    <row r="6" spans="1:15" ht="15" x14ac:dyDescent="0.25">
      <c r="A6" s="127" t="s">
        <v>133</v>
      </c>
      <c r="B6" s="125"/>
      <c r="C6" s="125"/>
      <c r="D6" s="125"/>
      <c r="E6" s="125"/>
      <c r="F6" s="7"/>
      <c r="G6" s="143" t="s">
        <v>148</v>
      </c>
      <c r="H6" s="143"/>
      <c r="I6" s="143"/>
      <c r="J6" s="143"/>
      <c r="K6" s="143"/>
      <c r="L6" s="143"/>
      <c r="M6" s="143"/>
      <c r="N6" s="4"/>
    </row>
    <row r="7" spans="1:15" ht="15" x14ac:dyDescent="0.25">
      <c r="A7" s="127" t="s">
        <v>138</v>
      </c>
      <c r="B7" s="125"/>
      <c r="C7" s="125"/>
      <c r="D7" s="125"/>
      <c r="E7" s="125"/>
      <c r="F7" s="63"/>
      <c r="G7" s="143" t="s">
        <v>149</v>
      </c>
      <c r="H7" s="143"/>
      <c r="I7" s="143"/>
      <c r="J7" s="143"/>
      <c r="K7" s="143"/>
      <c r="L7" s="143"/>
      <c r="M7" s="143"/>
    </row>
    <row r="8" spans="1:15" ht="15" customHeight="1" x14ac:dyDescent="0.25">
      <c r="A8" s="8" t="s">
        <v>135</v>
      </c>
      <c r="B8" s="8"/>
      <c r="C8" s="8"/>
      <c r="D8" s="8"/>
      <c r="E8" s="8"/>
      <c r="F8" s="63"/>
      <c r="G8" s="7" t="s">
        <v>150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151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136</v>
      </c>
      <c r="B10" s="125"/>
      <c r="C10" s="125"/>
      <c r="D10" s="125"/>
      <c r="E10" s="125"/>
      <c r="F10" s="7"/>
      <c r="G10" s="7" t="s">
        <v>152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153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154</v>
      </c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132</v>
      </c>
      <c r="B14" s="155"/>
      <c r="C14" s="155"/>
      <c r="D14" s="155"/>
      <c r="E14" s="155"/>
      <c r="F14" s="6"/>
      <c r="G14" s="148" t="s">
        <v>147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27" t="s">
        <v>133</v>
      </c>
      <c r="B15" s="125"/>
      <c r="C15" s="125"/>
      <c r="D15" s="125"/>
      <c r="E15" s="125"/>
      <c r="F15" s="7"/>
      <c r="G15" s="143" t="s">
        <v>148</v>
      </c>
      <c r="H15" s="143"/>
      <c r="I15" s="143"/>
      <c r="J15" s="143"/>
      <c r="K15" s="143"/>
      <c r="L15" s="143"/>
      <c r="M15" s="143"/>
    </row>
    <row r="16" spans="1:15" ht="15" x14ac:dyDescent="0.25">
      <c r="A16" s="127" t="s">
        <v>138</v>
      </c>
      <c r="B16" s="125"/>
      <c r="C16" s="125"/>
      <c r="D16" s="125"/>
      <c r="E16" s="125"/>
      <c r="F16" s="63"/>
      <c r="G16" s="143" t="s">
        <v>149</v>
      </c>
      <c r="H16" s="143"/>
      <c r="I16" s="143"/>
      <c r="J16" s="143"/>
      <c r="K16" s="143"/>
      <c r="L16" s="143"/>
      <c r="M16" s="143"/>
    </row>
    <row r="17" spans="1:17" ht="15" customHeight="1" x14ac:dyDescent="0.25">
      <c r="A17" s="8" t="s">
        <v>135</v>
      </c>
      <c r="B17" s="8"/>
      <c r="C17" s="8"/>
      <c r="D17" s="8"/>
      <c r="E17" s="8"/>
      <c r="F17" s="63"/>
      <c r="G17" s="7" t="s">
        <v>150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7" t="s">
        <v>151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136</v>
      </c>
      <c r="B19" s="125"/>
      <c r="C19" s="125"/>
      <c r="D19" s="125"/>
      <c r="E19" s="125"/>
      <c r="F19" s="7"/>
      <c r="G19" s="7" t="s">
        <v>152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153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4" t="s">
        <v>154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40" t="s">
        <v>169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1:17" ht="15.75" x14ac:dyDescent="0.25">
      <c r="A24" s="20" t="s">
        <v>22</v>
      </c>
      <c r="C24" s="18" t="s">
        <v>165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1" t="s">
        <v>170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2.25" x14ac:dyDescent="0.2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30" x14ac:dyDescent="0.2">
      <c r="A30" s="129">
        <v>1</v>
      </c>
      <c r="B30" s="101" t="s">
        <v>125</v>
      </c>
      <c r="C30" s="107" t="s">
        <v>124</v>
      </c>
      <c r="D30" s="109" t="s">
        <v>112</v>
      </c>
      <c r="E30" s="101">
        <v>1721</v>
      </c>
      <c r="F30" s="110" t="s">
        <v>27</v>
      </c>
      <c r="G30" s="106">
        <v>16522</v>
      </c>
      <c r="H30" s="106">
        <v>14113</v>
      </c>
      <c r="I30" s="108">
        <v>1</v>
      </c>
      <c r="J30" s="13">
        <f t="shared" ref="J30:J35" si="0">H30*I30</f>
        <v>14113</v>
      </c>
      <c r="K30" s="12">
        <v>0</v>
      </c>
      <c r="L30" s="12">
        <v>0</v>
      </c>
      <c r="M30" s="13">
        <f t="shared" ref="M30:M35" si="1">J30</f>
        <v>14113</v>
      </c>
      <c r="O30" s="100"/>
      <c r="Q30" s="100"/>
    </row>
    <row r="31" spans="1:17" ht="30" x14ac:dyDescent="0.2">
      <c r="A31" s="129">
        <v>2</v>
      </c>
      <c r="B31" s="101" t="s">
        <v>113</v>
      </c>
      <c r="C31" s="107" t="s">
        <v>123</v>
      </c>
      <c r="D31" s="109" t="s">
        <v>112</v>
      </c>
      <c r="E31" s="101">
        <v>100</v>
      </c>
      <c r="F31" s="110" t="s">
        <v>27</v>
      </c>
      <c r="G31" s="106">
        <v>430</v>
      </c>
      <c r="H31" s="106">
        <v>280</v>
      </c>
      <c r="I31" s="108">
        <v>3.05</v>
      </c>
      <c r="J31" s="13">
        <f t="shared" si="0"/>
        <v>854</v>
      </c>
      <c r="K31" s="12">
        <v>0</v>
      </c>
      <c r="L31" s="12">
        <v>0</v>
      </c>
      <c r="M31" s="13">
        <f t="shared" si="1"/>
        <v>854</v>
      </c>
      <c r="O31" s="100"/>
      <c r="Q31" s="100"/>
    </row>
    <row r="32" spans="1:17" ht="15" x14ac:dyDescent="0.2">
      <c r="A32" s="129">
        <v>3</v>
      </c>
      <c r="B32" s="126" t="s">
        <v>144</v>
      </c>
      <c r="C32" s="107" t="s">
        <v>145</v>
      </c>
      <c r="D32" s="109" t="s">
        <v>112</v>
      </c>
      <c r="E32" s="101">
        <v>44</v>
      </c>
      <c r="F32" s="110" t="s">
        <v>27</v>
      </c>
      <c r="G32" s="106">
        <v>260</v>
      </c>
      <c r="H32" s="106">
        <v>198</v>
      </c>
      <c r="I32" s="108">
        <v>1.55</v>
      </c>
      <c r="J32" s="13">
        <f t="shared" si="0"/>
        <v>306.90000000000003</v>
      </c>
      <c r="K32" s="12">
        <v>0</v>
      </c>
      <c r="L32" s="12">
        <v>0</v>
      </c>
      <c r="M32" s="13">
        <f t="shared" si="1"/>
        <v>306.90000000000003</v>
      </c>
      <c r="O32" s="100"/>
      <c r="Q32" s="100"/>
    </row>
    <row r="33" spans="1:17" ht="15" x14ac:dyDescent="0.2">
      <c r="A33" s="129">
        <v>4</v>
      </c>
      <c r="B33" s="101" t="s">
        <v>142</v>
      </c>
      <c r="C33" s="107" t="s">
        <v>143</v>
      </c>
      <c r="D33" s="109" t="s">
        <v>112</v>
      </c>
      <c r="E33" s="101">
        <v>200</v>
      </c>
      <c r="F33" s="110" t="s">
        <v>27</v>
      </c>
      <c r="G33" s="106">
        <v>1660</v>
      </c>
      <c r="H33" s="106">
        <v>1380</v>
      </c>
      <c r="I33" s="108">
        <v>1.9</v>
      </c>
      <c r="J33" s="13">
        <f t="shared" si="0"/>
        <v>2622</v>
      </c>
      <c r="K33" s="12">
        <v>0</v>
      </c>
      <c r="L33" s="12">
        <v>0</v>
      </c>
      <c r="M33" s="13">
        <f t="shared" si="1"/>
        <v>2622</v>
      </c>
      <c r="O33" s="100"/>
      <c r="Q33" s="100"/>
    </row>
    <row r="34" spans="1:17" ht="15" x14ac:dyDescent="0.2">
      <c r="A34" s="129">
        <v>5</v>
      </c>
      <c r="B34" s="101" t="s">
        <v>140</v>
      </c>
      <c r="C34" s="107" t="s">
        <v>141</v>
      </c>
      <c r="D34" s="109" t="s">
        <v>112</v>
      </c>
      <c r="E34" s="101">
        <v>333</v>
      </c>
      <c r="F34" s="110" t="s">
        <v>27</v>
      </c>
      <c r="G34" s="106">
        <v>3330</v>
      </c>
      <c r="H34" s="106">
        <v>2864</v>
      </c>
      <c r="I34" s="108">
        <v>1</v>
      </c>
      <c r="J34" s="13">
        <f t="shared" si="0"/>
        <v>2864</v>
      </c>
      <c r="K34" s="12">
        <v>0</v>
      </c>
      <c r="L34" s="12">
        <v>0</v>
      </c>
      <c r="M34" s="13">
        <f t="shared" si="1"/>
        <v>2864</v>
      </c>
      <c r="O34" s="100"/>
      <c r="Q34" s="100"/>
    </row>
    <row r="35" spans="1:17" ht="15" x14ac:dyDescent="0.2">
      <c r="A35" s="129">
        <v>6</v>
      </c>
      <c r="B35" s="126" t="s">
        <v>114</v>
      </c>
      <c r="C35" s="107" t="s">
        <v>115</v>
      </c>
      <c r="D35" s="109" t="s">
        <v>112</v>
      </c>
      <c r="E35" s="101">
        <v>50</v>
      </c>
      <c r="F35" s="116" t="s">
        <v>27</v>
      </c>
      <c r="G35" s="106">
        <v>465</v>
      </c>
      <c r="H35" s="106">
        <v>395</v>
      </c>
      <c r="I35" s="108">
        <v>1.05</v>
      </c>
      <c r="J35" s="13">
        <f t="shared" si="0"/>
        <v>414.75</v>
      </c>
      <c r="K35" s="12">
        <v>0</v>
      </c>
      <c r="L35" s="12">
        <v>0</v>
      </c>
      <c r="M35" s="13">
        <f t="shared" si="1"/>
        <v>414.75</v>
      </c>
      <c r="O35" s="100"/>
      <c r="Q35" s="100"/>
    </row>
    <row r="36" spans="1:17" ht="14.25" x14ac:dyDescent="0.2">
      <c r="A36" s="151" t="s">
        <v>0</v>
      </c>
      <c r="B36" s="152"/>
      <c r="C36" s="14"/>
      <c r="D36" s="15"/>
      <c r="E36" s="64">
        <f>SUM(E30:E35)</f>
        <v>2448</v>
      </c>
      <c r="F36" s="15"/>
      <c r="G36" s="64">
        <f>SUM(G30:G35)</f>
        <v>22667</v>
      </c>
      <c r="H36" s="64">
        <f>SUM(H30:H35)</f>
        <v>19230</v>
      </c>
      <c r="I36" s="102"/>
      <c r="J36" s="17">
        <f>SUM(J30:J35)</f>
        <v>21174.65</v>
      </c>
      <c r="K36" s="16"/>
      <c r="L36" s="16"/>
      <c r="M36" s="17">
        <f>SUM(M30:M35)</f>
        <v>21174.65</v>
      </c>
      <c r="P36" s="66"/>
    </row>
    <row r="37" spans="1:17" ht="13.5" x14ac:dyDescent="0.25">
      <c r="A37" s="2" t="s">
        <v>17</v>
      </c>
      <c r="B37" s="3"/>
      <c r="C37" s="11"/>
      <c r="D37" s="11"/>
      <c r="E37" s="149" t="str">
        <f>Лист1!B3</f>
        <v>Двадцать одна тысяча сто семьдесят четыре доллара США,65 центов.</v>
      </c>
      <c r="F37" s="150"/>
      <c r="G37" s="150"/>
      <c r="H37" s="150"/>
      <c r="I37" s="150"/>
      <c r="J37" s="150"/>
      <c r="K37" s="150"/>
      <c r="L37" s="150"/>
      <c r="M37" s="150"/>
    </row>
    <row r="38" spans="1:17" ht="20.25" customHeight="1" x14ac:dyDescent="0.2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</row>
    <row r="39" spans="1:17" ht="25.5" customHeight="1" x14ac:dyDescent="0.2">
      <c r="A39" s="145" t="s">
        <v>109</v>
      </c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26"/>
    </row>
    <row r="41" spans="1:17" ht="15" x14ac:dyDescent="0.25">
      <c r="A41" s="7" t="s">
        <v>28</v>
      </c>
      <c r="B41" s="7"/>
      <c r="D41" s="25" t="s">
        <v>137</v>
      </c>
      <c r="E41" s="24"/>
    </row>
    <row r="42" spans="1:17" ht="15" x14ac:dyDescent="0.25">
      <c r="A42" s="7"/>
      <c r="B42" s="9"/>
    </row>
    <row r="43" spans="1:17" ht="15" x14ac:dyDescent="0.25">
      <c r="A43" s="7" t="s">
        <v>18</v>
      </c>
      <c r="B43" s="9"/>
    </row>
    <row r="44" spans="1:17" ht="15" x14ac:dyDescent="0.25">
      <c r="A44" s="7"/>
      <c r="B44" s="9"/>
    </row>
    <row r="45" spans="1:17" ht="15" x14ac:dyDescent="0.25">
      <c r="A45" s="7" t="s">
        <v>29</v>
      </c>
      <c r="B45" s="9"/>
    </row>
    <row r="46" spans="1:17" ht="15" x14ac:dyDescent="0.25">
      <c r="A46" s="8"/>
      <c r="B46" s="9"/>
    </row>
    <row r="47" spans="1:17" x14ac:dyDescent="0.2">
      <c r="A47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9:M39"/>
    <mergeCell ref="G15:M15"/>
    <mergeCell ref="G13:M13"/>
    <mergeCell ref="G14:M14"/>
    <mergeCell ref="E37:M37"/>
    <mergeCell ref="E28:E29"/>
    <mergeCell ref="C28:C29"/>
    <mergeCell ref="D28:D29"/>
    <mergeCell ref="A38:M38"/>
    <mergeCell ref="A36:B36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6" sqref="B36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156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MEG-O-78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1721</v>
      </c>
      <c r="D30" s="103" t="str">
        <f>+Инвойс!D30</f>
        <v>Дер.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16522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100</v>
      </c>
      <c r="D31" s="103" t="str">
        <f>+Инвойс!D31</f>
        <v>Дер. ящик</v>
      </c>
      <c r="E31" s="103"/>
      <c r="F31" s="103" t="str">
        <f>+Инвойс!B31</f>
        <v>Лимоны свежие некалиброванный</v>
      </c>
      <c r="G31" s="104" t="str">
        <f>+Инвойс!C31</f>
        <v>0805501009</v>
      </c>
      <c r="H31" s="103"/>
      <c r="I31" s="105">
        <f>+Инвойс!G31</f>
        <v>430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44</v>
      </c>
      <c r="D32" s="103" t="str">
        <f>+Инвойс!D32</f>
        <v>Дер. ящик</v>
      </c>
      <c r="E32" s="103"/>
      <c r="F32" s="103" t="str">
        <f>+Инвойс!B32</f>
        <v>Айва свежая</v>
      </c>
      <c r="G32" s="104" t="str">
        <f>+Инвойс!C32</f>
        <v>0808400009</v>
      </c>
      <c r="H32" s="103"/>
      <c r="I32" s="105">
        <f>+Инвойс!G32</f>
        <v>260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200</v>
      </c>
      <c r="D33" s="103" t="str">
        <f>+Инвойс!D33</f>
        <v>Дер. ящик</v>
      </c>
      <c r="E33" s="103"/>
      <c r="F33" s="103" t="str">
        <f>+Инвойс!B33</f>
        <v>Гранат свежий</v>
      </c>
      <c r="G33" s="104" t="str">
        <f>+Инвойс!C33</f>
        <v>0810907504</v>
      </c>
      <c r="H33" s="103"/>
      <c r="I33" s="105">
        <f>+Инвойс!G33</f>
        <v>1660</v>
      </c>
    </row>
    <row r="34" spans="1:9" ht="9" customHeight="1" x14ac:dyDescent="0.2">
      <c r="A34" s="74"/>
      <c r="B34" s="103">
        <f>+Инвойс!A34</f>
        <v>5</v>
      </c>
      <c r="C34" s="103">
        <f>+Инвойс!E34</f>
        <v>333</v>
      </c>
      <c r="D34" s="103" t="str">
        <f>+Инвойс!D34</f>
        <v>Дер. ящик</v>
      </c>
      <c r="E34" s="103"/>
      <c r="F34" s="103" t="str">
        <f>+Инвойс!B34</f>
        <v>Хурма свежая</v>
      </c>
      <c r="G34" s="104" t="str">
        <f>+Инвойс!C34</f>
        <v>0810700009</v>
      </c>
      <c r="H34" s="103"/>
      <c r="I34" s="105">
        <f>+Инвойс!G34</f>
        <v>3330</v>
      </c>
    </row>
    <row r="35" spans="1:9" ht="9" customHeight="1" x14ac:dyDescent="0.2">
      <c r="B35" s="103">
        <f>+Инвойс!A35</f>
        <v>6</v>
      </c>
      <c r="C35" s="103">
        <f>+Инвойс!E35</f>
        <v>50</v>
      </c>
      <c r="D35" s="103" t="str">
        <f>+Инвойс!D35</f>
        <v>Дер. ящик</v>
      </c>
      <c r="E35" s="103"/>
      <c r="F35" s="103" t="str">
        <f>+Инвойс!B35</f>
        <v>Перец горький свежий</v>
      </c>
      <c r="G35" s="104" t="str">
        <f>+Инвойс!C35</f>
        <v>0709609900</v>
      </c>
      <c r="H35" s="103"/>
      <c r="I35" s="105">
        <f>+Инвойс!G35</f>
        <v>465</v>
      </c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г.Челябинский таможенный пост г.Челябинск ул. Енисейская, 87А код поста 10504080   ООО "ГРИН ВОРЛД" RU/0237/2 от 27.12.2024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157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E054KA774/EB351674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30" sqref="F3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96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9" t="str">
        <f>+Инвойс!E26</f>
        <v>E054KA774/EB351674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09.09.2025г.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MEG-O-78 от  09.09.2025г.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1721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16522</v>
      </c>
    </row>
    <row r="20" spans="2:10" ht="13.5" customHeight="1" x14ac:dyDescent="0.25">
      <c r="B20" s="83"/>
      <c r="E20" s="123"/>
      <c r="F20" s="118">
        <f>+Инвойс!E31</f>
        <v>100</v>
      </c>
      <c r="G20" s="163" t="str">
        <f>+CMR!F31</f>
        <v>Лимоны свежие некалиброванный</v>
      </c>
      <c r="H20" s="163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Дер. ящик</v>
      </c>
      <c r="G21" s="161" t="str">
        <f>+Инвойс!C31</f>
        <v>0805501009</v>
      </c>
      <c r="H21" s="162"/>
      <c r="I21" s="122" t="s">
        <v>103</v>
      </c>
      <c r="J21" s="120">
        <f>+Инвойс!G31</f>
        <v>430</v>
      </c>
    </row>
    <row r="22" spans="2:10" ht="12.75" customHeight="1" x14ac:dyDescent="0.25">
      <c r="B22" s="83"/>
      <c r="E22" s="123"/>
      <c r="F22" s="118">
        <f>+Инвойс!E32</f>
        <v>44</v>
      </c>
      <c r="G22" s="163" t="str">
        <f>+CMR!F32</f>
        <v>Айва свежая</v>
      </c>
      <c r="H22" s="163"/>
      <c r="I22" s="119"/>
      <c r="J22" s="120"/>
    </row>
    <row r="23" spans="2:10" ht="14.25" customHeight="1" x14ac:dyDescent="0.25">
      <c r="B23" s="83"/>
      <c r="E23" s="123"/>
      <c r="F23" s="121" t="str">
        <f>+Инвойс!D32</f>
        <v>Дер. ящик</v>
      </c>
      <c r="G23" s="161" t="str">
        <f>+Инвойс!C32</f>
        <v>0808400009</v>
      </c>
      <c r="H23" s="162"/>
      <c r="I23" s="122" t="s">
        <v>103</v>
      </c>
      <c r="J23" s="120">
        <f>+Инвойс!G32</f>
        <v>260</v>
      </c>
    </row>
    <row r="24" spans="2:10" ht="12.75" customHeight="1" x14ac:dyDescent="0.25">
      <c r="B24" s="87"/>
      <c r="E24" s="123"/>
      <c r="F24" s="118">
        <f>+Инвойс!E33</f>
        <v>200</v>
      </c>
      <c r="G24" s="163" t="str">
        <f>+CMR!F33</f>
        <v>Гранат свежий</v>
      </c>
      <c r="H24" s="163"/>
      <c r="I24" s="119"/>
      <c r="J24" s="120"/>
    </row>
    <row r="25" spans="2:10" ht="12.75" customHeight="1" x14ac:dyDescent="0.25">
      <c r="B25" s="87"/>
      <c r="E25" s="123"/>
      <c r="F25" s="121" t="str">
        <f>+Инвойс!D33</f>
        <v>Дер. ящик</v>
      </c>
      <c r="G25" s="161" t="str">
        <f>+Инвойс!C33</f>
        <v>0810907504</v>
      </c>
      <c r="H25" s="162"/>
      <c r="I25" s="122" t="s">
        <v>103</v>
      </c>
      <c r="J25" s="120">
        <f>+Инвойс!G33</f>
        <v>1660</v>
      </c>
    </row>
    <row r="26" spans="2:10" ht="12" customHeight="1" x14ac:dyDescent="0.25">
      <c r="B26" s="87"/>
      <c r="E26" s="123"/>
      <c r="F26" s="118">
        <f>+Инвойс!E34</f>
        <v>333</v>
      </c>
      <c r="G26" s="163" t="str">
        <f>+CMR!F34</f>
        <v>Хурма свежая</v>
      </c>
      <c r="H26" s="163"/>
      <c r="I26" s="119"/>
      <c r="J26" s="120"/>
    </row>
    <row r="27" spans="2:10" ht="14.25" customHeight="1" x14ac:dyDescent="0.25">
      <c r="B27" s="87"/>
      <c r="E27" s="123"/>
      <c r="F27" s="121" t="str">
        <f>+Инвойс!D34</f>
        <v>Дер. ящик</v>
      </c>
      <c r="G27" s="161" t="str">
        <f>+Инвойс!C34</f>
        <v>0810700009</v>
      </c>
      <c r="H27" s="162"/>
      <c r="I27" s="122" t="s">
        <v>103</v>
      </c>
      <c r="J27" s="120">
        <f>+Инвойс!G34</f>
        <v>3330</v>
      </c>
    </row>
    <row r="28" spans="2:10" ht="12.75" customHeight="1" x14ac:dyDescent="0.25">
      <c r="B28" s="87"/>
      <c r="E28" s="123"/>
      <c r="F28" s="118">
        <f>+Инвойс!E35</f>
        <v>50</v>
      </c>
      <c r="G28" s="163" t="str">
        <f>+CMR!F35</f>
        <v>Перец горький свежий</v>
      </c>
      <c r="H28" s="163"/>
      <c r="I28" s="119"/>
      <c r="J28" s="120"/>
    </row>
    <row r="29" spans="2:10" ht="12.75" customHeight="1" x14ac:dyDescent="0.25">
      <c r="B29" s="87"/>
      <c r="E29" s="123"/>
      <c r="F29" s="121" t="str">
        <f>+Инвойс!D35</f>
        <v>Дер. ящик</v>
      </c>
      <c r="G29" s="161" t="str">
        <f>+Инвойс!C35</f>
        <v>0709609900</v>
      </c>
      <c r="H29" s="162"/>
      <c r="I29" s="122" t="s">
        <v>103</v>
      </c>
      <c r="J29" s="120">
        <f>+Инвойс!G35</f>
        <v>465</v>
      </c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2448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7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171</v>
      </c>
      <c r="C1" s="172"/>
      <c r="D1" s="172"/>
      <c r="E1" s="172"/>
      <c r="F1" s="153" t="str">
        <f>+Инвойс!F1</f>
        <v xml:space="preserve"> 09.09.2025г.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GR-MG-01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ООО «MEGA EXIMPORT»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75" t="str">
        <f>+Инвойс!A6</f>
        <v xml:space="preserve">Республика Узбекистан, Ферганская область, </v>
      </c>
      <c r="B6" s="175"/>
      <c r="C6" s="175"/>
      <c r="D6" s="175"/>
      <c r="E6" s="175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75" t="str">
        <f>+Инвойс!A7</f>
        <v>Кува Район, Гулобод МФЙ, Сарбоз улитца</v>
      </c>
      <c r="B7" s="175"/>
      <c r="C7" s="175"/>
      <c r="D7" s="175"/>
      <c r="E7" s="175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75" t="str">
        <f>+Инвойс!A8</f>
        <v xml:space="preserve">Р/с N 20208840607249418001   (USD)    </v>
      </c>
      <c r="B8" s="175"/>
      <c r="C8" s="175"/>
      <c r="D8" s="175"/>
      <c r="E8" s="175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75" t="str">
        <f>+Инвойс!A9</f>
        <v xml:space="preserve">в АКБ «KAPITAL BANK» МФО: 01088 Swift: KACHUZ22  </v>
      </c>
      <c r="B9" s="175"/>
      <c r="C9" s="175"/>
      <c r="D9" s="175"/>
      <c r="E9" s="175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75" t="str">
        <f>+Инвойс!A10</f>
        <v xml:space="preserve"> ИНН: 312169146</v>
      </c>
      <c r="B10" s="175"/>
      <c r="C10" s="175"/>
      <c r="D10" s="175"/>
      <c r="E10" s="175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75"/>
      <c r="B11" s="175"/>
      <c r="C11" s="175"/>
      <c r="D11" s="175"/>
      <c r="E11" s="175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ООО «MEGA EXIMPORT»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75" t="str">
        <f>+Инвойс!A15</f>
        <v xml:space="preserve">Республика Узбекистан, Ферганская область, </v>
      </c>
      <c r="B15" s="175"/>
      <c r="C15" s="175"/>
      <c r="D15" s="175"/>
      <c r="E15" s="175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x14ac:dyDescent="0.25">
      <c r="A16" s="175" t="str">
        <f>+Инвойс!A16</f>
        <v>Кува Район, Гулобод МФЙ, Сарбоз улитца</v>
      </c>
      <c r="B16" s="175"/>
      <c r="C16" s="175"/>
      <c r="D16" s="175"/>
      <c r="E16" s="175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75" t="str">
        <f>+Инвойс!A17</f>
        <v xml:space="preserve">Р/с N 20208840607249418001   (USD)    </v>
      </c>
      <c r="B17" s="175"/>
      <c r="C17" s="175"/>
      <c r="D17" s="175"/>
      <c r="E17" s="175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x14ac:dyDescent="0.25">
      <c r="A18" s="175" t="str">
        <f>+Инвойс!A18</f>
        <v xml:space="preserve">в АКБ «KAPITAL BANK» МФО: 01088 Swift: KACHUZ22  </v>
      </c>
      <c r="B18" s="175"/>
      <c r="C18" s="175"/>
      <c r="D18" s="175"/>
      <c r="E18" s="175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x14ac:dyDescent="0.25">
      <c r="A19" s="175" t="str">
        <f>+Инвойс!A19</f>
        <v xml:space="preserve"> ИНН: 312169146</v>
      </c>
      <c r="B19" s="175"/>
      <c r="C19" s="175"/>
      <c r="D19" s="175"/>
      <c r="E19" s="175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x14ac:dyDescent="0.25">
      <c r="A20" s="175"/>
      <c r="B20" s="175"/>
      <c r="C20" s="175"/>
      <c r="D20" s="175"/>
      <c r="E20" s="175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x14ac:dyDescent="0.25">
      <c r="A21" s="175"/>
      <c r="B21" s="175"/>
      <c r="C21" s="175"/>
      <c r="D21" s="175"/>
      <c r="E21" s="175"/>
      <c r="G21" s="7"/>
      <c r="H21" s="23"/>
      <c r="I21" s="23"/>
      <c r="J21" s="23"/>
    </row>
    <row r="22" spans="1:17" ht="43.5" customHeight="1" x14ac:dyDescent="0.25">
      <c r="A22" s="1" t="s">
        <v>127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116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1" t="str">
        <f>+Инвойс!E26</f>
        <v>E054KA774/EB351674</v>
      </c>
      <c r="F26" s="142"/>
      <c r="G26" s="142"/>
      <c r="J26" s="21"/>
    </row>
    <row r="27" spans="1:17" ht="34.5" customHeight="1" x14ac:dyDescent="0.25">
      <c r="A27" s="67" t="s">
        <v>128</v>
      </c>
      <c r="C27" s="18"/>
      <c r="E27" s="22"/>
      <c r="F27" s="22"/>
      <c r="G27" s="22"/>
      <c r="J27" s="21"/>
    </row>
    <row r="28" spans="1:17" ht="24" customHeight="1" x14ac:dyDescent="0.2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2.25" x14ac:dyDescent="0.2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30" x14ac:dyDescent="0.2">
      <c r="A30" s="129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Дер. ящик</v>
      </c>
      <c r="E30" s="101">
        <f>+Инвойс!E30</f>
        <v>1721</v>
      </c>
      <c r="F30" s="116" t="str">
        <f>+Инвойс!F30</f>
        <v>кг</v>
      </c>
      <c r="G30" s="106">
        <f>+Инвойс!G30</f>
        <v>16522</v>
      </c>
      <c r="H30" s="106">
        <f>+Инвойс!H30</f>
        <v>14113</v>
      </c>
      <c r="I30" s="108">
        <f>+Инвойс!I30</f>
        <v>1</v>
      </c>
      <c r="J30" s="13">
        <f>+Инвойс!J30</f>
        <v>14113</v>
      </c>
      <c r="K30" s="12">
        <v>0</v>
      </c>
      <c r="L30" s="12">
        <v>0</v>
      </c>
      <c r="M30" s="13">
        <f>+Инвойс!M30</f>
        <v>14113</v>
      </c>
      <c r="O30" s="100"/>
      <c r="Q30" s="100"/>
    </row>
    <row r="31" spans="1:17" ht="30" x14ac:dyDescent="0.2">
      <c r="A31" s="129">
        <f>+Инвойс!A31</f>
        <v>2</v>
      </c>
      <c r="B31" s="101" t="str">
        <f>+Инвойс!B31</f>
        <v>Лимоны свежие некалиброванный</v>
      </c>
      <c r="C31" s="107" t="str">
        <f>+Инвойс!C31</f>
        <v>0805501009</v>
      </c>
      <c r="D31" s="115" t="str">
        <f>+Инвойс!D31</f>
        <v>Дер. ящик</v>
      </c>
      <c r="E31" s="101">
        <f>+Инвойс!E31</f>
        <v>100</v>
      </c>
      <c r="F31" s="116" t="str">
        <f>+Инвойс!F31</f>
        <v>кг</v>
      </c>
      <c r="G31" s="106">
        <f>+Инвойс!G31</f>
        <v>430</v>
      </c>
      <c r="H31" s="106">
        <f>+Инвойс!H31</f>
        <v>280</v>
      </c>
      <c r="I31" s="108">
        <f>+Инвойс!I31</f>
        <v>3.05</v>
      </c>
      <c r="J31" s="13">
        <f>+Инвойс!J31</f>
        <v>854</v>
      </c>
      <c r="K31" s="12">
        <v>0</v>
      </c>
      <c r="L31" s="12">
        <v>0</v>
      </c>
      <c r="M31" s="13">
        <f>+Инвойс!M31</f>
        <v>854</v>
      </c>
      <c r="O31" s="100"/>
      <c r="Q31" s="100"/>
    </row>
    <row r="32" spans="1:17" ht="15" x14ac:dyDescent="0.2">
      <c r="A32" s="129">
        <f>+Инвойс!A32</f>
        <v>3</v>
      </c>
      <c r="B32" s="101" t="str">
        <f>+Инвойс!B32</f>
        <v>Айва свежая</v>
      </c>
      <c r="C32" s="107" t="str">
        <f>+Инвойс!C32</f>
        <v>0808400009</v>
      </c>
      <c r="D32" s="115" t="str">
        <f>+Инвойс!D32</f>
        <v>Дер. ящик</v>
      </c>
      <c r="E32" s="101">
        <f>+Инвойс!E32</f>
        <v>44</v>
      </c>
      <c r="F32" s="116" t="str">
        <f>+Инвойс!F32</f>
        <v>кг</v>
      </c>
      <c r="G32" s="106">
        <f>+Инвойс!G32</f>
        <v>260</v>
      </c>
      <c r="H32" s="106">
        <f>+Инвойс!H32</f>
        <v>198</v>
      </c>
      <c r="I32" s="108">
        <f>+Инвойс!I32</f>
        <v>1.55</v>
      </c>
      <c r="J32" s="13">
        <f>+Инвойс!J32</f>
        <v>306.90000000000003</v>
      </c>
      <c r="K32" s="12">
        <v>0</v>
      </c>
      <c r="L32" s="12">
        <v>0</v>
      </c>
      <c r="M32" s="13">
        <f>+Инвойс!M32</f>
        <v>306.90000000000003</v>
      </c>
      <c r="O32" s="100"/>
      <c r="Q32" s="100"/>
    </row>
    <row r="33" spans="1:17" ht="15" x14ac:dyDescent="0.2">
      <c r="A33" s="129">
        <f>+Инвойс!A33</f>
        <v>4</v>
      </c>
      <c r="B33" s="101" t="str">
        <f>+Инвойс!B33</f>
        <v>Гранат свежий</v>
      </c>
      <c r="C33" s="107" t="str">
        <f>+Инвойс!C33</f>
        <v>0810907504</v>
      </c>
      <c r="D33" s="115" t="str">
        <f>+Инвойс!D33</f>
        <v>Дер. ящик</v>
      </c>
      <c r="E33" s="101">
        <f>+Инвойс!E33</f>
        <v>200</v>
      </c>
      <c r="F33" s="116" t="str">
        <f>+Инвойс!F33</f>
        <v>кг</v>
      </c>
      <c r="G33" s="106">
        <f>+Инвойс!G33</f>
        <v>1660</v>
      </c>
      <c r="H33" s="106">
        <f>+Инвойс!H33</f>
        <v>1380</v>
      </c>
      <c r="I33" s="108">
        <f>+Инвойс!I33</f>
        <v>1.9</v>
      </c>
      <c r="J33" s="13">
        <f>+Инвойс!J33</f>
        <v>2622</v>
      </c>
      <c r="K33" s="12">
        <v>0</v>
      </c>
      <c r="L33" s="12">
        <v>0</v>
      </c>
      <c r="M33" s="13">
        <f>+Инвойс!M33</f>
        <v>2622</v>
      </c>
      <c r="O33" s="100"/>
      <c r="Q33" s="100"/>
    </row>
    <row r="34" spans="1:17" ht="15" x14ac:dyDescent="0.2">
      <c r="A34" s="129">
        <f>+Инвойс!A34</f>
        <v>5</v>
      </c>
      <c r="B34" s="101" t="str">
        <f>+Инвойс!B34</f>
        <v>Хурма свежая</v>
      </c>
      <c r="C34" s="107" t="str">
        <f>+Инвойс!C34</f>
        <v>0810700009</v>
      </c>
      <c r="D34" s="115" t="str">
        <f>+Инвойс!D34</f>
        <v>Дер. ящик</v>
      </c>
      <c r="E34" s="101">
        <f>+Инвойс!E34</f>
        <v>333</v>
      </c>
      <c r="F34" s="116" t="str">
        <f>+Инвойс!F34</f>
        <v>кг</v>
      </c>
      <c r="G34" s="106">
        <f>+Инвойс!G34</f>
        <v>3330</v>
      </c>
      <c r="H34" s="106">
        <f>+Инвойс!H34</f>
        <v>2864</v>
      </c>
      <c r="I34" s="108">
        <f>+Инвойс!I34</f>
        <v>1</v>
      </c>
      <c r="J34" s="13">
        <f>+Инвойс!J34</f>
        <v>2864</v>
      </c>
      <c r="K34" s="12">
        <v>0</v>
      </c>
      <c r="L34" s="12">
        <v>0</v>
      </c>
      <c r="M34" s="13">
        <f>+Инвойс!M34</f>
        <v>2864</v>
      </c>
      <c r="O34" s="100"/>
      <c r="Q34" s="100"/>
    </row>
    <row r="35" spans="1:17" ht="15" x14ac:dyDescent="0.2">
      <c r="A35" s="129">
        <f>+Инвойс!A35</f>
        <v>6</v>
      </c>
      <c r="B35" s="101" t="str">
        <f>+Инвойс!B35</f>
        <v>Перец горький свежий</v>
      </c>
      <c r="C35" s="107" t="str">
        <f>+Инвойс!C35</f>
        <v>0709609900</v>
      </c>
      <c r="D35" s="115" t="str">
        <f>+Инвойс!D35</f>
        <v>Дер. ящик</v>
      </c>
      <c r="E35" s="101">
        <f>+Инвойс!E35</f>
        <v>50</v>
      </c>
      <c r="F35" s="116" t="str">
        <f>+Инвойс!F35</f>
        <v>кг</v>
      </c>
      <c r="G35" s="106">
        <f>+Инвойс!G35</f>
        <v>465</v>
      </c>
      <c r="H35" s="106">
        <f>+Инвойс!H35</f>
        <v>395</v>
      </c>
      <c r="I35" s="108">
        <f>+Инвойс!I35</f>
        <v>1.05</v>
      </c>
      <c r="J35" s="13">
        <f>+Инвойс!J35</f>
        <v>414.75</v>
      </c>
      <c r="K35" s="12">
        <v>0</v>
      </c>
      <c r="L35" s="12">
        <v>0</v>
      </c>
      <c r="M35" s="13">
        <f>+Инвойс!M35</f>
        <v>414.75</v>
      </c>
      <c r="O35" s="100"/>
      <c r="Q35" s="100"/>
    </row>
    <row r="36" spans="1:17" ht="14.25" x14ac:dyDescent="0.2">
      <c r="A36" s="151" t="s">
        <v>0</v>
      </c>
      <c r="B36" s="152"/>
      <c r="C36" s="14"/>
      <c r="D36" s="15"/>
      <c r="E36" s="64">
        <f>SUM(E30:E35)</f>
        <v>2448</v>
      </c>
      <c r="F36" s="15"/>
      <c r="G36" s="64">
        <f>SUM(G30:G35)</f>
        <v>22667</v>
      </c>
      <c r="H36" s="64">
        <f>SUM(H30:H35)</f>
        <v>19230</v>
      </c>
      <c r="I36" s="102"/>
      <c r="J36" s="17">
        <f>SUM(J30:J35)</f>
        <v>21174.65</v>
      </c>
      <c r="K36" s="16"/>
      <c r="L36" s="16"/>
      <c r="M36" s="17">
        <f>SUM(M30:M35)</f>
        <v>21174.65</v>
      </c>
      <c r="P36" s="66"/>
    </row>
    <row r="37" spans="1:17" ht="13.5" x14ac:dyDescent="0.25">
      <c r="A37" s="2" t="s">
        <v>17</v>
      </c>
      <c r="B37" s="3"/>
      <c r="C37" s="11"/>
      <c r="D37" s="11"/>
      <c r="E37" s="149" t="str">
        <f>Лист1!B3</f>
        <v>Двадцать одна тысяча сто семьдесят четыре доллара США,65 центов.</v>
      </c>
      <c r="F37" s="150"/>
      <c r="G37" s="150"/>
      <c r="H37" s="150"/>
      <c r="I37" s="150"/>
      <c r="J37" s="150"/>
      <c r="K37" s="150"/>
      <c r="L37" s="150"/>
      <c r="M37" s="150"/>
    </row>
    <row r="38" spans="1:17" ht="20.25" customHeight="1" x14ac:dyDescent="0.2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</row>
    <row r="39" spans="1:17" ht="25.5" customHeight="1" x14ac:dyDescent="0.2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26"/>
    </row>
    <row r="41" spans="1:17" s="18" customFormat="1" ht="15.75" x14ac:dyDescent="0.25">
      <c r="A41" s="133" t="s">
        <v>139</v>
      </c>
      <c r="B41" s="133"/>
      <c r="D41" s="18" t="str">
        <f>+Инвойс!D41</f>
        <v>Эргашев О.Р</v>
      </c>
      <c r="E41" s="134"/>
      <c r="G41" s="131" t="s">
        <v>130</v>
      </c>
      <c r="H41" s="18" t="str">
        <f>Инвойс!G5</f>
        <v>ООО «ГРИН ВОРЛД»</v>
      </c>
      <c r="K41" s="135" t="s">
        <v>155</v>
      </c>
    </row>
    <row r="42" spans="1:17" ht="15" x14ac:dyDescent="0.25">
      <c r="A42" s="7"/>
      <c r="B42" s="9"/>
    </row>
    <row r="43" spans="1:17" ht="15" x14ac:dyDescent="0.25">
      <c r="A43" s="7"/>
      <c r="B43" s="9"/>
    </row>
    <row r="44" spans="1:17" ht="15" x14ac:dyDescent="0.25">
      <c r="A44" s="7"/>
      <c r="B44" s="9"/>
    </row>
    <row r="45" spans="1:17" ht="15" x14ac:dyDescent="0.25">
      <c r="A45" s="7"/>
      <c r="B45" s="9"/>
    </row>
    <row r="46" spans="1:17" ht="15" x14ac:dyDescent="0.25">
      <c r="A46" s="8"/>
      <c r="B46" s="9"/>
    </row>
    <row r="47" spans="1:17" x14ac:dyDescent="0.2">
      <c r="A47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8:M38"/>
    <mergeCell ref="A39:M39"/>
    <mergeCell ref="G28:H28"/>
    <mergeCell ref="I28:I29"/>
    <mergeCell ref="K28:L28"/>
    <mergeCell ref="M28:M29"/>
    <mergeCell ref="A36:B36"/>
    <mergeCell ref="E37:M37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8" t="s">
        <v>117</v>
      </c>
    </row>
    <row r="3" spans="1:10" ht="51" x14ac:dyDescent="0.2">
      <c r="A3" s="132" t="s">
        <v>129</v>
      </c>
    </row>
    <row r="5" spans="1:10" ht="89.25" x14ac:dyDescent="0.2">
      <c r="A5" s="128" t="s">
        <v>163</v>
      </c>
    </row>
    <row r="6" spans="1:10" x14ac:dyDescent="0.2">
      <c r="E6" s="18" t="s">
        <v>164</v>
      </c>
      <c r="J6" s="25" t="s">
        <v>158</v>
      </c>
    </row>
    <row r="7" spans="1:10" ht="51" x14ac:dyDescent="0.2">
      <c r="A7" s="128" t="s">
        <v>118</v>
      </c>
    </row>
    <row r="8" spans="1:10" x14ac:dyDescent="0.2">
      <c r="E8" s="18" t="s">
        <v>165</v>
      </c>
      <c r="J8" s="25" t="s">
        <v>159</v>
      </c>
    </row>
    <row r="9" spans="1:10" ht="51" x14ac:dyDescent="0.2">
      <c r="A9" s="128" t="s">
        <v>119</v>
      </c>
    </row>
    <row r="10" spans="1:10" x14ac:dyDescent="0.2">
      <c r="A10" s="128"/>
      <c r="E10" s="18" t="s">
        <v>165</v>
      </c>
      <c r="J10" s="25" t="s">
        <v>160</v>
      </c>
    </row>
    <row r="11" spans="1:10" ht="51" x14ac:dyDescent="0.2">
      <c r="A11" s="128" t="s">
        <v>162</v>
      </c>
    </row>
    <row r="12" spans="1:10" x14ac:dyDescent="0.2">
      <c r="E12" s="18" t="s">
        <v>166</v>
      </c>
      <c r="J12" s="25" t="s">
        <v>161</v>
      </c>
    </row>
    <row r="13" spans="1:10" ht="51" x14ac:dyDescent="0.2">
      <c r="A13" s="128" t="s">
        <v>120</v>
      </c>
    </row>
    <row r="15" spans="1:10" ht="38.25" x14ac:dyDescent="0.2">
      <c r="A15" s="128" t="s">
        <v>121</v>
      </c>
    </row>
    <row r="17" spans="1:1" ht="38.25" x14ac:dyDescent="0.2">
      <c r="A17" s="128" t="s">
        <v>122</v>
      </c>
    </row>
    <row r="19" spans="1:1" ht="38.25" x14ac:dyDescent="0.2">
      <c r="A19" s="130" t="s">
        <v>126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 x14ac:dyDescent="0.25">
      <c r="E2" s="27">
        <f>Инвойс!M36</f>
        <v>21174.65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одна тысяча сто семьдесят четыре доллара США,65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45909</v>
      </c>
      <c r="O3" s="179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одна тысяча сто семьдесят четыре доллара США,65 центов. (в т.ч. НДС - 357,79)</v>
      </c>
      <c r="H4" s="32"/>
      <c r="I4" s="32"/>
      <c r="J4" s="32"/>
      <c r="K4" s="180" t="str">
        <f ca="1">CONCATENATE(" «  ",P3,"  »  ",Q3,"  ",R3," г.")</f>
        <v xml:space="preserve"> «  9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одна тысяча сто семьдесят четыре доллара США,65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одна тысяча сто семьдесят четыре доллара США,65 центов. (в т.ч. НДС - 357,79)</v>
      </c>
      <c r="C6"/>
      <c r="D6"/>
      <c r="E6"/>
      <c r="H6" s="39"/>
    </row>
    <row r="7" spans="1:19" x14ac:dyDescent="0.2">
      <c r="D7" s="33"/>
      <c r="H7" s="181" t="s">
        <v>38</v>
      </c>
      <c r="I7" s="181"/>
      <c r="J7" s="181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1"/>
      <c r="I8" s="181"/>
      <c r="J8" s="181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1"/>
      <c r="I9" s="181"/>
      <c r="J9" s="181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одна тысяча </v>
      </c>
      <c r="D10" s="47"/>
      <c r="E10" s="48"/>
      <c r="F10" s="41" t="str">
        <f>PROPER(F9)</f>
        <v>Д</v>
      </c>
      <c r="G10" s="42"/>
      <c r="H10" s="181"/>
      <c r="I10" s="181"/>
      <c r="J10" s="181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сто семьдесят четыре доллара США,</v>
      </c>
      <c r="D11" s="47"/>
      <c r="E11" s="48"/>
      <c r="H11" s="181"/>
      <c r="I11" s="181"/>
      <c r="J11" s="181"/>
    </row>
    <row r="12" spans="1:19" s="43" customFormat="1" x14ac:dyDescent="0.2">
      <c r="A12" s="49" t="str">
        <f>CONCATENATE(IF(C31=0,"0",C31),IF(C32=0,"0",C32)," ",F33)</f>
        <v>65 центов.</v>
      </c>
      <c r="D12" s="47"/>
      <c r="E12" s="48"/>
      <c r="M12" s="50">
        <f ca="1">TODAY()</f>
        <v>45909</v>
      </c>
    </row>
    <row r="13" spans="1:19" s="43" customFormat="1" x14ac:dyDescent="0.2">
      <c r="A13" s="49"/>
      <c r="D13" s="51"/>
      <c r="E13" s="52">
        <f>TRUNC(E2)</f>
        <v>21174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21</v>
      </c>
      <c r="B25" s="47">
        <f>TRUNC(RIGHT(A25))</f>
        <v>1</v>
      </c>
      <c r="C25" s="51">
        <f>IF(B24=1,B25+10,IF(B25=0,0,B25))</f>
        <v>1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одна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21</v>
      </c>
      <c r="F26" s="43" t="str">
        <f>IF(E26=0,"",IF(B24=1,"тысяч ",IF(B25=1,"тысяча ",IF(OR(B25=2,B25=3,B25=4),"тысячи ","тысяч "))))</f>
        <v xml:space="preserve">тысяча </v>
      </c>
    </row>
    <row r="27" spans="1:9" s="43" customFormat="1" x14ac:dyDescent="0.2">
      <c r="A27" s="54">
        <f>TRUNC(A28/10)</f>
        <v>211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2117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21174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174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65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7" t="s">
        <v>85</v>
      </c>
      <c r="B100" s="177"/>
      <c r="C100" s="177"/>
      <c r="D100" s="177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2025-09-09T10:20:33Z</cp:lastPrinted>
  <dcterms:created xsi:type="dcterms:W3CDTF">1996-10-14T23:33:28Z</dcterms:created>
  <dcterms:modified xsi:type="dcterms:W3CDTF">2025-09-09T10:20:36Z</dcterms:modified>
</cp:coreProperties>
</file>