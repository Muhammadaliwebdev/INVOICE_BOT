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371F3F-35A1-4365-8744-BE042FAF8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<sst xmlns="http://schemas.openxmlformats.org/spreadsheetml/2006/main" count="211" uniqueCount="164">
  <si>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</si>
  <si>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</si>
  <si>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</si>
  <si>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</si>
  <si>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</si>
  <si>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</si>
  <si>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</si>
  <si>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</si>
  <si>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</si>
  <si>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</si>
  <si>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</si>
  <si>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</si>
  <si>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</si>
  <si>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</si>
  <si>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</si>
  <si>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</si>
  <si>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</si>
  <si>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</si>
  <si>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</si>
  <si>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</si>
  <si>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</si>
  <si>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</si>
  <si>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</si>
  <si>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</si>
  <si>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</si>
  <si>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</si>
  <si>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</si>
  <si>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</si>
  <si>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</si>
  <si>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</si>
  <si>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</si>
  <si>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</si>
  <si>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</si>
  <si>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</si>
  <si>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</si>
  <si>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</si>
  <si>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</si>
  <si>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</si>
  <si>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</si>
  <si>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</si>
  <si>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</si>
  <si>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</si>
  <si>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</si>
  <si>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</si>
  <si>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</si>
  <si>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</si>
  <si>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</si>
  <si>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</si>
  <si>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</si>
  <si>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</si>
  <si>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</si>
  <si>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</si>
  <si>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</si>
  <si>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</si>
  <si>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</si>
  <si>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</si>
  <si>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</si>
  <si>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</si>
  <si>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</si>
  <si>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</si>
  <si>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</si>
  <si>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</si>
  <si>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</si>
  <si>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</si>
  <si>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</si>
  <si>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</si>
  <si>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</si>
  <si>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</si>
  <si>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</si>
  <si>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</si>
  <si>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</si>
  <si>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</si>
  <si>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</si>
  <si>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</si>
  <si>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</si>
  <si>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</si>
  <si>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</si>
  <si>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</si>
  <si>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</si>
  <si>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</si>
  <si>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</si>
  <si>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</si>
  <si>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</si>
  <si>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</si>
  <si>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</si>
  <si>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</si>
  <si>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</si>
  <si>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</si>
  <si>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</si>
  <si>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</si>
  <si>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</si>
  <si>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</si>
  <si>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</si>
  <si>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</si>
  <si>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</si>
  <si>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</si>
  <si>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</si>
  <si>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</si>
  <si>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</si>
  <si>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</si>
  <si>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</si>
  <si>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</si>
  <si>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</si>
  <si>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</si>
  <si>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</si>
  <si>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</si>
  <si>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</si>
  <si>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</si>
  <si>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</si>
  <si>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</si>
  <si>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</si>
  <si>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</si>
  <si>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</si>
  <si>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</si>
  <si>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</si>
  <si>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</si>
  <si>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</si>
  <si>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</si>
  <si>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</si>
  <si>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</si>
  <si>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</si>
  <si>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</si>
  <si>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</si>
  <si>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</si>
  <si>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</si>
  <si>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</si>
  <si>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</si>
  <si>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</si>
  <si>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</si>
  <si>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</si>
  <si>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</si>
  <si>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</si>
  <si>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</si>
  <si>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</si>
  <si>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</si>
  <si>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</si>
  <si>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</si>
  <si>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</si>
  <si>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</si>
  <si>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</si>
  <si>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</si>
  <si>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</si>
  <si>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</si>
  <si>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</si>
  <si>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</si>
  <si>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</si>
  <si>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</si>
  <si>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</si>
  <si>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</si>
  <si>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</si>
  <si>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</si>
  <si>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</si>
  <si>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</si>
  <si>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</si>
  <si>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</si>
  <si>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</si>
  <si>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</si>
  <si>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</si>
  <si>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</si>
  <si>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EXG-F-35 от </t>
  </si>
  <si>
    <t xml:space="preserve"> 02.09.2025г.</t>
  </si>
  <si>
    <t>40E370YA/409347AA</t>
  </si>
  <si>
    <t xml:space="preserve">СПЕЦИФИКАЦИЯ № EXG-F-35 от </t>
  </si>
  <si>
    <t>/г. Владивосток/ г.Кемерово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</si>
</sst>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139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149</v>
      </c>
      <c r="B6" s="142"/>
      <c r="C6" s="142"/>
      <c r="D6" s="142"/>
      <c r="E6" s="142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150</v>
      </c>
      <c r="B7" s="142"/>
      <c r="C7" s="142"/>
      <c r="D7" s="142"/>
      <c r="E7" s="142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44" t="s">
        <v>145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139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149</v>
      </c>
      <c r="B15" s="142"/>
      <c r="C15" s="142"/>
      <c r="D15" s="142"/>
      <c r="E15" s="142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150</v>
      </c>
      <c r="B16" s="142"/>
      <c r="C16" s="142"/>
      <c r="D16" s="142"/>
      <c r="E16" s="142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44" t="s">
        <v>145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111</v>
      </c>
      <c r="E30" s="101">
        <v>970</v>
      </c>
      <c r="F30" s="110" t="s">
        <v>27</v>
      </c>
      <c r="G30" s="106">
        <v>22900</v>
      </c>
      <c r="H30" s="106">
        <v>21154</v>
      </c>
      <c r="I30" s="108">
        <v>0.25</v>
      </c>
      <c r="J30" s="13">
        <f t="shared" ref="J30" si="0">H30*I30</f>
        <v>5288.5</v>
      </c>
      <c r="K30" s="12">
        <v>0</v>
      </c>
      <c r="L30" s="12">
        <v>0</v>
      </c>
      <c r="M30" s="13">
        <f t="shared" ref="M30" si="1">J30</f>
        <v>5288.5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970</v>
      </c>
      <c r="F31" s="15"/>
      <c r="G31" s="64">
        <f>SUM(G30:G30)</f>
        <v>22900</v>
      </c>
      <c r="H31" s="64">
        <f>SUM(H30:H30)</f>
        <v>21154</v>
      </c>
      <c r="I31" s="102"/>
      <c r="J31" s="17">
        <f>SUM(J30:J30)</f>
        <v>5288.5</v>
      </c>
      <c r="K31" s="16"/>
      <c r="L31" s="16"/>
      <c r="M31" s="17">
        <f>SUM(M30:M30)</f>
        <v>5288.5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восемьдесят восемь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23" sqref="F2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163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EXG-F-35 от  02.09.2025г.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60" t="str">
        <f>+C22</f>
        <v xml:space="preserve"> 02.09.2025г.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40E370YA/409347AA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7" sqref="L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40E370YA/409347AA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EXG-F-35 от  02.09.2025г.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970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02.09.2025г.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114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40E370YA/409347AA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22900</v>
      </c>
      <c r="H30" s="106">
        <f>+Инвойс!H30</f>
        <v>21154</v>
      </c>
      <c r="I30" s="108">
        <f>+Инвойс!I30</f>
        <v>0.25</v>
      </c>
      <c r="J30" s="13">
        <f>+Инвойс!J30</f>
        <v>5288.5</v>
      </c>
      <c r="K30" s="12">
        <v>0</v>
      </c>
      <c r="L30" s="12">
        <v>0</v>
      </c>
      <c r="M30" s="13">
        <f>+Инвойс!M30</f>
        <v>5288.5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970</v>
      </c>
      <c r="F31" s="15"/>
      <c r="G31" s="64">
        <f>SUM(G30:G30)</f>
        <v>22900</v>
      </c>
      <c r="H31" s="64">
        <f>SUM(H30:H30)</f>
        <v>21154</v>
      </c>
      <c r="I31" s="102"/>
      <c r="J31" s="17">
        <f>SUM(J30:J30)</f>
        <v>5288.5</v>
      </c>
      <c r="K31" s="16"/>
      <c r="L31" s="16"/>
      <c r="M31" s="17">
        <f>SUM(M30:M30)</f>
        <v>5288.5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двести восемьдесят восемь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АБДИЛАКИМОВ А.А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127</v>
      </c>
    </row>
    <row r="5" spans="1:10" ht="39.6" x14ac:dyDescent="0.25">
      <c r="A5" s="126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5288.5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восемьдесят восемь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восемьдесят восемь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восемьдесят восемь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восемьдесят восемь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восемьдесят восемь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5288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5288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2025-09-02T04:40:59Z</cp:lastPrinted>
  <dcterms:created xsi:type="dcterms:W3CDTF">1996-10-14T23:33:28Z</dcterms:created>
  <dcterms:modified xsi:type="dcterms:W3CDTF">2025-09-02T04:41:04Z</dcterms:modified>
</cp:coreProperties>
</file>