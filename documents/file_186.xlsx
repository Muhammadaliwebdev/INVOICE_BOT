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/>
</workbook>
</file>

<file path=xl/calcChain.xml><?xml version="1.0" encoding="utf-8"?>
<calcChain xmlns="http://schemas.openxmlformats.org/spreadsheetml/2006/main"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<sst xmlns="http://schemas.openxmlformats.org/spreadsheetml/2006/main" count="201" uniqueCount="163">
  <si>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</si>
  <si>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</si>
  <si>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</si>
  <si>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</si>
  <si>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</si>
  <si>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</si>
  <si>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</si>
  <si>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</si>
  <si>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</si>
  <si>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</si>
  <si>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</si>
  <si>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</si>
  <si>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</si>
  <si>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</si>
  <si>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</si>
  <si>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</si>
  <si>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</si>
  <si>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</si>
  <si>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</si>
  <si>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</si>
  <si>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</si>
  <si>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</si>
  <si>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</si>
  <si>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</si>
  <si>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</si>
  <si>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</si>
  <si>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</si>
  <si>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</si>
  <si>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</si>
  <si>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</si>
  <si>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</si>
  <si>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</si>
  <si>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</si>
  <si>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</si>
  <si>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</si>
  <si>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</si>
  <si>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</si>
  <si>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</si>
  <si>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</si>
  <si>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</si>
  <si>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</si>
  <si>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</si>
  <si>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</si>
  <si>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</si>
  <si>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</si>
  <si>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</si>
  <si>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</si>
  <si>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</si>
  <si>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</si>
  <si>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</si>
  <si>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</si>
  <si>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</si>
  <si>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</si>
  <si>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</si>
  <si>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</si>
  <si>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</si>
  <si>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</si>
  <si>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</si>
  <si>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</si>
  <si>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</si>
  <si>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</si>
  <si>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</si>
  <si>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</si>
  <si>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</si>
  <si>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</si>
  <si>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</si>
  <si>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</si>
  <si>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</si>
  <si>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</si>
  <si>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</si>
  <si>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</si>
  <si>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</si>
  <si>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</si>
  <si>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</si>
  <si>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</si>
  <si>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</si>
  <si>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</si>
  <si>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</si>
  <si>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</si>
  <si>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</si>
  <si>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</si>
  <si>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</si>
  <si>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</si>
  <si>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</si>
  <si>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</si>
  <si>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</si>
  <si>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</si>
  <si>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</si>
  <si>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</si>
  <si>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</si>
  <si>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</si>
  <si>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</si>
  <si>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</si>
  <si>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</si>
  <si>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</si>
  <si>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</si>
  <si>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</si>
  <si>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</si>
  <si>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</si>
  <si>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</si>
  <si>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</si>
  <si>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</si>
  <si>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</si>
  <si>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</si>
  <si>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</si>
  <si>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</si>
  <si>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</si>
  <si>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</si>
  <si>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</si>
  <si>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</si>
  <si>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</si>
  <si>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</si>
  <si>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</si>
  <si>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</si>
  <si>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</si>
  <si>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</si>
  <si>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</si>
  <si>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</si>
  <si>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</si>
  <si>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</si>
  <si>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</si>
  <si>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</si>
  <si>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</si>
  <si>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</si>
  <si>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</si>
  <si>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</si>
  <si>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</si>
  <si>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</si>
  <si>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</si>
  <si>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</si>
  <si>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</si>
  <si>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</si>
  <si>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</si>
  <si>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</si>
  <si>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</si>
  <si>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</si>
  <si>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</si>
  <si>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</si>
  <si>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</si>
  <si>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</si>
  <si>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</si>
  <si>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</si>
  <si>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</si>
  <si>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</si>
  <si>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</si>
  <si>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</si>
  <si>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</si>
  <si>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</si>
  <si>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</si>
  <si>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</si>
  <si>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</si>
  <si>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</si>
  <si>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</si>
  <si>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</si>
  <si>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</si>
  <si>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</si>
  <si>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</si>
  <si>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BEZ-F-46 от </t>
  </si>
  <si>
    <t xml:space="preserve">СПЕЦИФИКАЦИЯ № BEZ-F-46 от </t>
  </si>
  <si>
    <t>30400MAA/300770BA</t>
  </si>
  <si>
    <t>DAP - с Амандык , Республика Казахстан</t>
  </si>
  <si>
    <t>г.Уфа / г.Пермь /г. Иркутск /г.Омск /г. Ижевск/ г.Крым Симферополь/ Российская федерация</t>
  </si>
  <si>
    <t xml:space="preserve"> 12.08.2025г.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</si>
</sst>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162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159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133</v>
      </c>
      <c r="C30" s="107" t="s">
        <v>132</v>
      </c>
      <c r="D30" s="109" t="s">
        <v>112</v>
      </c>
      <c r="E30" s="101">
        <v>3320</v>
      </c>
      <c r="F30" s="110" t="s">
        <v>27</v>
      </c>
      <c r="G30" s="106">
        <v>22304</v>
      </c>
      <c r="H30" s="106">
        <v>19980</v>
      </c>
      <c r="I30" s="108">
        <v>1</v>
      </c>
      <c r="J30" s="13">
        <f t="shared" ref="J30" si="0">H30*I30</f>
        <v>19980</v>
      </c>
      <c r="K30" s="12">
        <v>0</v>
      </c>
      <c r="L30" s="12">
        <v>0</v>
      </c>
      <c r="M30" s="13">
        <f t="shared" ref="M30" si="1">J30</f>
        <v>19980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3320</v>
      </c>
      <c r="F31" s="15"/>
      <c r="G31" s="64">
        <f>SUM(G30:G30)</f>
        <v>22304</v>
      </c>
      <c r="H31" s="64">
        <f>SUM(H30:H30)</f>
        <v>19980</v>
      </c>
      <c r="I31" s="102"/>
      <c r="J31" s="17">
        <f>SUM(J30:J30)</f>
        <v>19980</v>
      </c>
      <c r="K31" s="16"/>
      <c r="L31" s="16"/>
      <c r="M31" s="17">
        <f>SUM(M30:M30)</f>
        <v>19980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Девятнадцать тысяч девятьсот восемьдесят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Normal="100" workbookViewId="0">
      <selection activeCell="B24" sqref="B24:D24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161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12.08.2025г.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BEZ-F-46 от  12.08.2025г.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3320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22304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12.08.2025г.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30400MAA/300770BA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D47" sqref="D47:E4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30400MAA/300770BA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12.08.2025г.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BEZ-F-46 от  12.08.2025г.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3320</v>
      </c>
      <c r="G18" s="164" t="str">
        <f>+CMR!F30</f>
        <v>Виноград свежий столовых сортов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58" t="str">
        <f>+Инвойс!C30</f>
        <v>0806101001</v>
      </c>
      <c r="H19" s="159"/>
      <c r="I19" s="122" t="s">
        <v>103</v>
      </c>
      <c r="J19" s="120">
        <f>+Инвойс!G30</f>
        <v>22304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3320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158</v>
      </c>
      <c r="C1" s="172"/>
      <c r="D1" s="172"/>
      <c r="E1" s="172"/>
      <c r="F1" s="132" t="str">
        <f>+Инвойс!F1</f>
        <v xml:space="preserve"> 12.08.2025г.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30400MAA/300770BA</v>
      </c>
      <c r="F26" s="153"/>
      <c r="G26" s="153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3320</v>
      </c>
      <c r="F30" s="116" t="str">
        <f>+Инвойс!F30</f>
        <v>кг</v>
      </c>
      <c r="G30" s="106">
        <f>+Инвойс!G30</f>
        <v>22304</v>
      </c>
      <c r="H30" s="106">
        <f>+Инвойс!H30</f>
        <v>19980</v>
      </c>
      <c r="I30" s="108">
        <f>+Инвойс!I30</f>
        <v>1</v>
      </c>
      <c r="J30" s="13">
        <f>+Инвойс!J30</f>
        <v>19980</v>
      </c>
      <c r="K30" s="12">
        <v>0</v>
      </c>
      <c r="L30" s="12">
        <v>0</v>
      </c>
      <c r="M30" s="13">
        <f>+Инвойс!M30</f>
        <v>19980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3320</v>
      </c>
      <c r="F31" s="15"/>
      <c r="G31" s="64">
        <f>SUM(G30:G30)</f>
        <v>22304</v>
      </c>
      <c r="H31" s="64">
        <f>SUM(H30:H30)</f>
        <v>19980</v>
      </c>
      <c r="I31" s="102"/>
      <c r="J31" s="17">
        <f>SUM(J30:J30)</f>
        <v>19980</v>
      </c>
      <c r="K31" s="16"/>
      <c r="L31" s="16"/>
      <c r="M31" s="17">
        <f>SUM(M30:M30)</f>
        <v>19980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Девятнадцать тысяч девятьсот восемьдесят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19980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девятьсот восемьдесят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45881</v>
      </c>
      <c r="O3" s="176"/>
      <c r="P3">
        <f ca="1">DAY(N3)</f>
        <v>12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Девятнадцать тысяч девятьсот восемьдесят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12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девятьсот восемьдесят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девятьсот восемьдесят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восемьдесят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45881</v>
      </c>
    </row>
    <row r="13" spans="1:19" s="43" customFormat="1" x14ac:dyDescent="0.25">
      <c r="A13" s="49"/>
      <c r="D13" s="51"/>
      <c r="E13" s="52">
        <f>TRUNC(E2)</f>
        <v>19980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1998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19980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980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2025-08-11T19:03:34Z</cp:lastPrinted>
  <dcterms:created xsi:type="dcterms:W3CDTF">1996-10-14T23:33:28Z</dcterms:created>
  <dcterms:modified xsi:type="dcterms:W3CDTF">2025-08-11T19:03:37Z</dcterms:modified>
</cp:coreProperties>
</file>