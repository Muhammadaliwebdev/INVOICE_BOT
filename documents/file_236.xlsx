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B1507FE4-FEAB-4A85-ABFB-B2594F0CF2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M30" i="2" s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<sst xmlns="http://schemas.openxmlformats.org/spreadsheetml/2006/main" count="211" uniqueCount="164">
  <si>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</si>
  <si>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</si>
  <si>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</si>
  <si>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</si>
  <si>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</si>
  <si>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</si>
  <si>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</si>
  <si>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</si>
  <si>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</si>
  <si>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</si>
  <si>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</si>
  <si>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</si>
  <si>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</si>
  <si>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</si>
  <si>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</si>
  <si>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</si>
  <si>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</si>
  <si>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</si>
  <si>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</si>
  <si>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</si>
  <si>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</si>
  <si>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</si>
  <si>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</si>
  <si>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</si>
  <si>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</si>
  <si>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</si>
  <si>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</si>
  <si>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</si>
  <si>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</si>
  <si>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</si>
  <si>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</si>
  <si>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</si>
  <si>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</si>
  <si>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</si>
  <si>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</si>
  <si>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</si>
  <si>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</si>
  <si>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</si>
  <si>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</si>
  <si>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</si>
  <si>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</si>
  <si>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</si>
  <si>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</si>
  <si>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</si>
  <si>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</si>
  <si>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</si>
  <si>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</si>
  <si>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</si>
  <si>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</si>
  <si>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</si>
  <si>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</si>
  <si>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</si>
  <si>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</si>
  <si>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</si>
  <si>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</si>
  <si>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</si>
  <si>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</si>
  <si>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</si>
  <si>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</si>
  <si>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</si>
  <si>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</si>
  <si>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</si>
  <si>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</si>
  <si>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</si>
  <si>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</si>
  <si>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</si>
  <si>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</si>
  <si>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</si>
  <si>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</si>
  <si>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</si>
  <si>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</si>
  <si>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</si>
  <si>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</si>
  <si>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</si>
  <si>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</si>
  <si>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</si>
  <si>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</si>
  <si>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</si>
  <si>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</si>
  <si>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</si>
  <si>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</si>
  <si>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</si>
  <si>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</si>
  <si>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</si>
  <si>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</si>
  <si>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</si>
  <si>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</si>
  <si>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</si>
  <si>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</si>
  <si>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</si>
  <si>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</si>
  <si>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</si>
  <si>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</si>
  <si>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</si>
  <si>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</si>
  <si>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</si>
  <si>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</si>
  <si>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</si>
  <si>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</si>
  <si>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</si>
  <si>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</si>
  <si>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</si>
  <si>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</si>
  <si>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</si>
  <si>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</si>
  <si>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</si>
  <si>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</si>
  <si>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</si>
  <si>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</si>
  <si>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</si>
  <si>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</si>
  <si>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</si>
  <si>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</si>
  <si>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</si>
  <si>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</si>
  <si>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</si>
  <si>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</si>
  <si>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</si>
  <si>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</si>
  <si>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</si>
  <si>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</si>
  <si>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</si>
  <si>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</si>
  <si>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</si>
  <si>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</si>
  <si>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</si>
  <si>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</si>
  <si>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</si>
  <si>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</si>
  <si>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</si>
  <si>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</si>
  <si>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</si>
  <si>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</si>
  <si>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</si>
  <si>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</si>
  <si>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</si>
  <si>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</si>
  <si>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</si>
  <si>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</si>
  <si>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</si>
  <si>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</si>
  <si>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</si>
  <si>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</si>
  <si>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</si>
  <si>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</si>
  <si>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</si>
  <si>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</si>
  <si>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</si>
  <si>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</si>
  <si>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</si>
  <si>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</si>
  <si>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</si>
  <si>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</si>
  <si>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</si>
  <si>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</si>
  <si>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</si>
  <si>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</si>
  <si>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</si>
  <si>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</si>
  <si>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</si>
  <si>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 xml:space="preserve"> 28.08.2025г.</t>
  </si>
  <si>
    <t xml:space="preserve">ИНВОЙС № UFG-M-19 от </t>
  </si>
  <si>
    <t xml:space="preserve">СПЕЦИФИКАЦИЯ № UFG-M-19 от </t>
  </si>
  <si>
    <t>50J404CB/501717AA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</si>
</sst>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161</v>
      </c>
      <c r="D1" s="153"/>
      <c r="E1" s="153"/>
      <c r="F1" s="152" t="s">
        <v>160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152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153</v>
      </c>
      <c r="B5" s="154"/>
      <c r="C5" s="154"/>
      <c r="D5" s="154"/>
      <c r="E5" s="154"/>
      <c r="F5" s="6"/>
      <c r="G5" s="147" t="s">
        <v>140</v>
      </c>
      <c r="H5" s="147"/>
      <c r="I5" s="147"/>
      <c r="J5" s="147"/>
      <c r="K5" s="147"/>
      <c r="L5" s="147"/>
      <c r="M5" s="147"/>
    </row>
    <row r="6" spans="1:15" ht="15" customHeight="1" x14ac:dyDescent="0.25">
      <c r="A6" s="142" t="s">
        <v>148</v>
      </c>
      <c r="B6" s="141"/>
      <c r="C6" s="141"/>
      <c r="D6" s="141"/>
      <c r="E6" s="141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1" t="s">
        <v>154</v>
      </c>
      <c r="B7" s="141"/>
      <c r="C7" s="141"/>
      <c r="D7" s="141"/>
      <c r="E7" s="141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150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43" t="s">
        <v>146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153</v>
      </c>
      <c r="B14" s="154"/>
      <c r="C14" s="154"/>
      <c r="D14" s="154"/>
      <c r="E14" s="154"/>
      <c r="F14" s="6"/>
      <c r="G14" s="147" t="s">
        <v>140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42" t="s">
        <v>148</v>
      </c>
      <c r="B15" s="141"/>
      <c r="C15" s="141"/>
      <c r="D15" s="141"/>
      <c r="E15" s="141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3.8" x14ac:dyDescent="0.25">
      <c r="A16" s="141" t="s">
        <v>154</v>
      </c>
      <c r="B16" s="141"/>
      <c r="C16" s="141"/>
      <c r="D16" s="141"/>
      <c r="E16" s="141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150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156</v>
      </c>
      <c r="B21" s="8"/>
      <c r="C21" s="8"/>
      <c r="D21" s="8"/>
      <c r="E21" s="8"/>
      <c r="G21" s="143" t="s">
        <v>146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7" t="s">
        <v>117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6" x14ac:dyDescent="0.3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 t="s">
        <v>163</v>
      </c>
      <c r="F26" s="139"/>
      <c r="G26" s="139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7.6" x14ac:dyDescent="0.25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910</v>
      </c>
      <c r="F30" s="115" t="s">
        <v>27</v>
      </c>
      <c r="G30" s="106">
        <v>21948</v>
      </c>
      <c r="H30" s="106">
        <v>20310</v>
      </c>
      <c r="I30" s="108">
        <v>0.25</v>
      </c>
      <c r="J30" s="13">
        <f t="shared" ref="J30" si="0">H30*I30</f>
        <v>5077.5</v>
      </c>
      <c r="K30" s="12">
        <v>0</v>
      </c>
      <c r="L30" s="12">
        <v>0</v>
      </c>
      <c r="M30" s="13">
        <f t="shared" ref="M30" si="1">J30</f>
        <v>5077.5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910</v>
      </c>
      <c r="F31" s="15"/>
      <c r="G31" s="64">
        <f>SUM(G30:G30)</f>
        <v>21948</v>
      </c>
      <c r="H31" s="64">
        <f>SUM(H30:H30)</f>
        <v>20310</v>
      </c>
      <c r="I31" s="102"/>
      <c r="J31" s="17">
        <f>SUM(J30:J30)</f>
        <v>5077.5</v>
      </c>
      <c r="K31" s="16"/>
      <c r="L31" s="16"/>
      <c r="M31" s="17">
        <f>SUM(M30:M30)</f>
        <v>5077.5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семьдесят семь долларов США, 50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B31" sqref="B31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28.08.2025г.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UFG-M-19 от  28.08.2025г.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910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21948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28.08.2025г.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50J404CB/501717AA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F20" sqref="F20: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6" t="s">
        <v>96</v>
      </c>
      <c r="C2" s="166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7" t="str">
        <f>+Инвойс!E26</f>
        <v>50J404CB/501717AA</v>
      </c>
      <c r="C14" s="167"/>
      <c r="D14" s="167"/>
      <c r="E14" s="167"/>
      <c r="F14" s="167"/>
      <c r="G14" s="167"/>
      <c r="H14" s="168" t="s">
        <v>107</v>
      </c>
      <c r="I14" s="168"/>
      <c r="J14" s="88" t="str">
        <f>+Инвойс!F1</f>
        <v xml:space="preserve"> 28.08.2025г.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9" t="str">
        <f>+CMR!B24</f>
        <v>ИНВОЙС № UFG-M-19 от  28.08.2025г.</v>
      </c>
      <c r="I15" s="169"/>
      <c r="J15" s="169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910</v>
      </c>
      <c r="G18" s="162" t="str">
        <f>+CMR!F30</f>
        <v>Дыни свежие</v>
      </c>
      <c r="H18" s="162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21948</v>
      </c>
    </row>
    <row r="20" spans="2:10" ht="13.5" customHeight="1" x14ac:dyDescent="0.3">
      <c r="B20" s="83"/>
      <c r="E20" s="122"/>
      <c r="F20" s="117"/>
      <c r="G20" s="162"/>
      <c r="H20" s="162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3">
      <c r="B22" s="83"/>
      <c r="E22" s="122"/>
      <c r="F22" s="117"/>
      <c r="G22" s="162"/>
      <c r="H22" s="162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2"/>
      <c r="H24" s="162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2"/>
      <c r="H26" s="162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2"/>
      <c r="H28" s="162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2"/>
      <c r="H30" s="162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2"/>
      <c r="H32" s="162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2"/>
      <c r="H34" s="162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2"/>
      <c r="H36" s="162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2"/>
      <c r="H38" s="162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2"/>
      <c r="H42" s="162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4"/>
      <c r="H44" s="164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910</v>
      </c>
      <c r="E47" s="141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70" zoomScaleNormal="70" workbookViewId="0">
      <selection activeCell="A31" sqref="A31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0" t="s">
        <v>162</v>
      </c>
      <c r="C1" s="170"/>
      <c r="D1" s="170"/>
      <c r="E1" s="170"/>
      <c r="F1" s="152" t="str">
        <f>+Инвойс!F1</f>
        <v xml:space="preserve"> 28.08.2025г.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GR-UF-01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>OOO UCHQIZIL FRUITS EXPORT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73" t="str">
        <f>+Инвойс!A6</f>
        <v>РЕСПУБЛИКА УЗБЕКИСТАН. СУРХАНДАРЬИНСКАЯ ОБЛАСТЬ,</v>
      </c>
      <c r="B6" s="173"/>
      <c r="C6" s="173"/>
      <c r="D6" s="173"/>
      <c r="E6" s="173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3" t="str">
        <f>+Инвойс!A7</f>
        <v>ТЕРМИЗСКИЙ РАЙОН,ЯНГИХАЯТ МФЙ, УЛИЦА БОГИ ШАМОЛ, 20-А</v>
      </c>
      <c r="B7" s="173"/>
      <c r="C7" s="173"/>
      <c r="D7" s="173"/>
      <c r="E7" s="173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3" t="str">
        <f>+Инвойс!A8</f>
        <v>в АКБ“KAPITAL BANK”  МФО: 01158  Swift: KACHUZ22</v>
      </c>
      <c r="B8" s="173"/>
      <c r="C8" s="173"/>
      <c r="D8" s="173"/>
      <c r="E8" s="173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3" t="str">
        <f>+Инвойс!A9</f>
        <v>Доллар США: 20208840207293094001</v>
      </c>
      <c r="B9" s="173"/>
      <c r="C9" s="173"/>
      <c r="D9" s="173"/>
      <c r="E9" s="173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3" t="str">
        <f>+Инвойс!A10</f>
        <v>Корреспондирующий банк (RUB): АКБ "Азия Инвест Банк" (АО) :</v>
      </c>
      <c r="B10" s="173"/>
      <c r="C10" s="173"/>
      <c r="D10" s="173"/>
      <c r="E10" s="173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3" t="str">
        <f>+Инвойс!A11</f>
        <v>SWIFT:ASIJRUMM / БИК 044525234,</v>
      </c>
      <c r="B11" s="173"/>
      <c r="C11" s="173"/>
      <c r="D11" s="173"/>
      <c r="E11" s="173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>OOO UCHQIZIL FRUITS EXPORT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73" t="str">
        <f>+Инвойс!A15</f>
        <v>РЕСПУБЛИКА УЗБЕКИСТАН. СУРХАНДАРЬИНСКАЯ ОБЛАСТЬ,</v>
      </c>
      <c r="B15" s="173"/>
      <c r="C15" s="173"/>
      <c r="D15" s="173"/>
      <c r="E15" s="173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3" t="str">
        <f>+Инвойс!A16</f>
        <v>ТЕРМИЗСКИЙ РАЙОН,ЯНГИХАЯТ МФЙ, УЛИЦА БОГИ ШАМОЛ, 20-А</v>
      </c>
      <c r="B16" s="173"/>
      <c r="C16" s="173"/>
      <c r="D16" s="173"/>
      <c r="E16" s="173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3" t="str">
        <f>+Инвойс!A17</f>
        <v>в АКБ“KAPITAL BANK”  МФО: 01158  Swift: KACHUZ22</v>
      </c>
      <c r="B17" s="173"/>
      <c r="C17" s="173"/>
      <c r="D17" s="173"/>
      <c r="E17" s="173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3" t="str">
        <f>+Инвойс!A18</f>
        <v>Доллар США: 20208840207293094001</v>
      </c>
      <c r="B18" s="173"/>
      <c r="C18" s="173"/>
      <c r="D18" s="173"/>
      <c r="E18" s="173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3" t="str">
        <f>+Инвойс!A19</f>
        <v>Корреспондирующий банк (RUB): АКБ "Азия Инвест Банк" (АО) :</v>
      </c>
      <c r="B19" s="173"/>
      <c r="C19" s="173"/>
      <c r="D19" s="173"/>
      <c r="E19" s="173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3" t="str">
        <f>+Инвойс!A20</f>
        <v>SWIFT:ASIJRUMM / БИК 044525234,</v>
      </c>
      <c r="B20" s="173"/>
      <c r="C20" s="173"/>
      <c r="D20" s="173"/>
      <c r="E20" s="173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3"/>
      <c r="B21" s="173"/>
      <c r="C21" s="173"/>
      <c r="D21" s="173"/>
      <c r="E21" s="173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 t="str">
        <f>+Инвойс!E26</f>
        <v>50J404CB/501717AA</v>
      </c>
      <c r="F26" s="139"/>
      <c r="G26" s="139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4.6" customHeight="1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910</v>
      </c>
      <c r="F30" s="115" t="str">
        <f>+Инвойс!F30</f>
        <v>кг</v>
      </c>
      <c r="G30" s="106">
        <f>+Инвойс!G30</f>
        <v>21948</v>
      </c>
      <c r="H30" s="106">
        <f>+Инвойс!H30</f>
        <v>20310</v>
      </c>
      <c r="I30" s="108">
        <f>+Инвойс!I30</f>
        <v>0.25</v>
      </c>
      <c r="J30" s="13">
        <f>+Инвойс!J30</f>
        <v>5077.5</v>
      </c>
      <c r="K30" s="12">
        <v>0</v>
      </c>
      <c r="L30" s="12">
        <v>0</v>
      </c>
      <c r="M30" s="13">
        <f>+Инвойс!M30</f>
        <v>5077.5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910</v>
      </c>
      <c r="F31" s="15"/>
      <c r="G31" s="64">
        <f>SUM(G30:G30)</f>
        <v>21948</v>
      </c>
      <c r="H31" s="64">
        <f>SUM(H30:H30)</f>
        <v>20310</v>
      </c>
      <c r="I31" s="102"/>
      <c r="J31" s="17">
        <f>SUM(J30:J30)</f>
        <v>5077.5</v>
      </c>
      <c r="K31" s="16"/>
      <c r="L31" s="16"/>
      <c r="M31" s="17">
        <f>SUM(M30:M30)</f>
        <v>5077.5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семьдесят семь долларов США, 50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0" t="s">
        <v>158</v>
      </c>
      <c r="B36" s="130"/>
      <c r="D36" s="18" t="str">
        <f>+Инвойс!D36</f>
        <v>ЭШТЕМИРОВ Х.Х</v>
      </c>
      <c r="E36" s="131"/>
      <c r="G36" s="128" t="s">
        <v>130</v>
      </c>
      <c r="H36" s="18" t="str">
        <f>Инвойс!G5</f>
        <v>ООО «ГРИН ВОРЛД»</v>
      </c>
      <c r="K36" s="132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116</v>
      </c>
    </row>
    <row r="3" spans="1:10" ht="52.8" x14ac:dyDescent="0.25">
      <c r="A3" s="129" t="s">
        <v>128</v>
      </c>
    </row>
    <row r="5" spans="1:10" ht="39.6" x14ac:dyDescent="0.25">
      <c r="A5" s="125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5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5" t="s">
        <v>119</v>
      </c>
    </row>
    <row r="10" spans="1:10" x14ac:dyDescent="0.25">
      <c r="A10" s="125"/>
      <c r="E10" s="18" t="s">
        <v>134</v>
      </c>
      <c r="J10" s="25" t="s">
        <v>135</v>
      </c>
    </row>
    <row r="11" spans="1:10" ht="52.8" x14ac:dyDescent="0.25">
      <c r="A11" s="125" t="s">
        <v>159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5" t="s">
        <v>120</v>
      </c>
    </row>
    <row r="15" spans="1:10" ht="39.6" x14ac:dyDescent="0.25">
      <c r="A15" s="125" t="s">
        <v>121</v>
      </c>
    </row>
    <row r="17" spans="1:1" ht="39.6" x14ac:dyDescent="0.25">
      <c r="A17" s="125" t="s">
        <v>122</v>
      </c>
    </row>
    <row r="19" spans="1:1" ht="39.6" x14ac:dyDescent="0.25">
      <c r="A19" s="127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5077.5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семьдесят семь долларов США, 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45897</v>
      </c>
      <c r="O3" s="177"/>
      <c r="P3">
        <f ca="1">DAY(N3)</f>
        <v>28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семьдесят семь долларов США, 50 центов. (в т.ч. НДС - 357,79)</v>
      </c>
      <c r="H4" s="32"/>
      <c r="I4" s="32"/>
      <c r="J4" s="32"/>
      <c r="K4" s="178" t="str">
        <f ca="1">CONCATENATE(" «  ",P3,"  »  ",Q3,"  ",R3," г.")</f>
        <v xml:space="preserve"> «  28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семьдесят семь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семьдесят семь долларов США, 50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семьдесят семь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45897</v>
      </c>
    </row>
    <row r="13" spans="1:19" s="43" customFormat="1" x14ac:dyDescent="0.25">
      <c r="A13" s="49"/>
      <c r="D13" s="51"/>
      <c r="E13" s="52">
        <f>TRUNC(E2)</f>
        <v>5077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507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5">
      <c r="A29" s="54">
        <f>E13</f>
        <v>5077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77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2025-08-28T04:51:24Z</cp:lastPrinted>
  <dcterms:created xsi:type="dcterms:W3CDTF">1996-10-14T23:33:28Z</dcterms:created>
  <dcterms:modified xsi:type="dcterms:W3CDTF">2025-08-28T04:51:28Z</dcterms:modified>
</cp:coreProperties>
</file>