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1D344A8-60B2-4C59-A618-D19D82FFC8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B45" i="4" l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<sst xmlns="http://schemas.openxmlformats.org/spreadsheetml/2006/main" count="207" uniqueCount="169">
  <si>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</si>
  <si>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</si>
  <si>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</si>
  <si>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</si>
  <si>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</si>
  <si>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</si>
  <si>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</si>
  <si>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</si>
  <si>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</si>
  <si>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</si>
  <si>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</si>
  <si>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</si>
  <si>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</si>
  <si>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</si>
  <si>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</si>
  <si>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</si>
  <si>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</si>
  <si>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</si>
  <si>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</si>
  <si>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</si>
  <si>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</si>
  <si>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</si>
  <si>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</si>
  <si>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</si>
  <si>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</si>
  <si>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</si>
  <si>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</si>
  <si>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</si>
  <si>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</si>
  <si>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</si>
  <si>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</si>
  <si>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</si>
  <si>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</si>
  <si>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</si>
  <si>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</si>
  <si>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</si>
  <si>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</si>
  <si>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</si>
  <si>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</si>
  <si>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</si>
  <si>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</si>
  <si>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</si>
  <si>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</si>
  <si>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</si>
  <si>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</si>
  <si>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</si>
  <si>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</si>
  <si>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</si>
  <si>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</si>
  <si>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</si>
  <si>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</si>
  <si>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</si>
  <si>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</si>
  <si>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</si>
  <si>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</si>
  <si>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</si>
  <si>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</si>
  <si>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</si>
  <si>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</si>
  <si>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</si>
  <si>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</si>
  <si>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</si>
  <si>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</si>
  <si>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</si>
  <si>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</si>
  <si>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</si>
  <si>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</si>
  <si>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</si>
  <si>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</si>
  <si>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</si>
  <si>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</si>
  <si>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</si>
  <si>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</si>
  <si>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</si>
  <si>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</si>
  <si>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</si>
  <si>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</si>
  <si>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</si>
  <si>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</si>
  <si>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</si>
  <si>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</si>
  <si>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</si>
  <si>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</si>
  <si>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</si>
  <si>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</si>
  <si>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</si>
  <si>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</si>
  <si>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</si>
  <si>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</si>
  <si>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</si>
  <si>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</si>
  <si>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</si>
  <si>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</si>
  <si>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</si>
  <si>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</si>
  <si>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</si>
  <si>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</si>
  <si>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</si>
  <si>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</si>
  <si>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</si>
  <si>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</si>
  <si>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</si>
  <si>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</si>
  <si>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</si>
  <si>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</si>
  <si>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</si>
  <si>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</si>
  <si>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</si>
  <si>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</si>
  <si>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</si>
  <si>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</si>
  <si>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</si>
  <si>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</si>
  <si>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</si>
  <si>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</si>
  <si>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</si>
  <si>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</si>
  <si>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</si>
  <si>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</si>
  <si>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</si>
  <si>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</si>
  <si>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</si>
  <si>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</si>
  <si>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</si>
  <si>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</si>
  <si>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</si>
  <si>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</si>
  <si>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</si>
  <si>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</si>
  <si>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</si>
  <si>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</si>
  <si>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</si>
  <si>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</si>
  <si>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</si>
  <si>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</si>
  <si>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</si>
  <si>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</si>
  <si>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</si>
  <si>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</si>
  <si>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</si>
  <si>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</si>
  <si>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</si>
  <si>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</si>
  <si>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</si>
  <si>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</si>
  <si>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</si>
  <si>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</si>
  <si>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</si>
  <si>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OOO “BMB МAX”</t>
  </si>
  <si>
    <t>Республика Узбекистан. Ташкентская область,</t>
  </si>
  <si>
    <t>Бекабадский район, МФЙ Найман, улица Мусаффо, дом 107</t>
  </si>
  <si>
    <t>ИНН: 309774620</t>
  </si>
  <si>
    <t>в “Узсаноаткурилиш” Банк операционный  МФО 00440</t>
  </si>
  <si>
    <t>Х/Р: 20208840605606798003</t>
  </si>
  <si>
    <t>Х/Р: 20208000005606798001 / Х/Р: 20208840605606798003</t>
  </si>
  <si>
    <t>Номуротов Ш.В</t>
  </si>
  <si>
    <t>Директор:  ООО «BMB МАХ»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</si>
  <si>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</si>
  <si>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</si>
  <si>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</si>
  <si>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</si>
  <si>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</si>
  <si>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</si>
  <si>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</si>
  <si>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 контракту № BMR-2025 от 16.08.2025 года</t>
  </si>
  <si>
    <t xml:space="preserve">ИНВОЙС № BMX-O-10 от </t>
  </si>
  <si>
    <t xml:space="preserve"> 24.08.2025г.</t>
  </si>
  <si>
    <t>30444ABA/300811BA</t>
  </si>
  <si>
    <t xml:space="preserve">СПЕЦИФИКАЦИЯ № BMX-O-10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</si>
</sst>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1086969</xdr:colOff>
      <xdr:row>36</xdr:row>
      <xdr:rowOff>89646</xdr:rowOff>
    </xdr:from>
    <xdr:to>
      <xdr:col>3</xdr:col>
      <xdr:colOff>470645</xdr:colOff>
      <xdr:row>48</xdr:row>
      <xdr:rowOff>67235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54955D8-1DC4-4292-A576-37FBC9A89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557" y="20428322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526677</xdr:colOff>
      <xdr:row>35</xdr:row>
      <xdr:rowOff>145677</xdr:rowOff>
    </xdr:from>
    <xdr:to>
      <xdr:col>2</xdr:col>
      <xdr:colOff>649942</xdr:colOff>
      <xdr:row>47</xdr:row>
      <xdr:rowOff>78443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41363D3-5BA9-4FDF-B20C-DA62D965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265" y="19162059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1" t="s">
        <v>165</v>
      </c>
      <c r="D1" s="151"/>
      <c r="E1" s="151"/>
      <c r="F1" s="150" t="s">
        <v>166</v>
      </c>
      <c r="G1" s="150"/>
      <c r="H1" s="150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">
        <v>164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3" t="s">
        <v>19</v>
      </c>
      <c r="B4" s="143"/>
      <c r="C4" s="143"/>
      <c r="D4" s="143"/>
      <c r="E4" s="143"/>
      <c r="G4" s="143" t="s">
        <v>20</v>
      </c>
      <c r="H4" s="143"/>
      <c r="I4" s="143"/>
      <c r="J4" s="143"/>
      <c r="K4" s="143"/>
      <c r="L4" s="143"/>
      <c r="M4" s="143"/>
    </row>
    <row r="5" spans="1:15" ht="14.25" customHeight="1" x14ac:dyDescent="0.25">
      <c r="A5" s="152" t="s">
        <v>148</v>
      </c>
      <c r="B5" s="152"/>
      <c r="C5" s="152"/>
      <c r="D5" s="152"/>
      <c r="E5" s="152"/>
      <c r="F5" s="6"/>
      <c r="G5" s="145" t="s">
        <v>138</v>
      </c>
      <c r="H5" s="145"/>
      <c r="I5" s="145"/>
      <c r="J5" s="145"/>
      <c r="K5" s="145"/>
      <c r="L5" s="145"/>
      <c r="M5" s="145"/>
    </row>
    <row r="6" spans="1:15" ht="13.8" x14ac:dyDescent="0.25">
      <c r="A6" s="141" t="s">
        <v>149</v>
      </c>
      <c r="B6" s="140"/>
      <c r="C6" s="140"/>
      <c r="D6" s="140"/>
      <c r="E6" s="140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0" t="s">
        <v>150</v>
      </c>
      <c r="B7" s="140"/>
      <c r="C7" s="140"/>
      <c r="D7" s="140"/>
      <c r="E7" s="140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3"/>
      <c r="H12" s="153"/>
      <c r="I12" s="153"/>
      <c r="J12" s="153"/>
      <c r="K12" s="153"/>
      <c r="L12" s="153"/>
      <c r="M12" s="153"/>
    </row>
    <row r="13" spans="1:15" ht="24" customHeight="1" x14ac:dyDescent="0.35">
      <c r="A13" s="143" t="s">
        <v>31</v>
      </c>
      <c r="B13" s="143"/>
      <c r="C13" s="143"/>
      <c r="D13" s="143"/>
      <c r="E13" s="143"/>
      <c r="G13" s="143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52" t="s">
        <v>148</v>
      </c>
      <c r="B14" s="152"/>
      <c r="C14" s="152"/>
      <c r="D14" s="152"/>
      <c r="E14" s="152"/>
      <c r="F14" s="6"/>
      <c r="G14" s="145" t="s">
        <v>124</v>
      </c>
      <c r="H14" s="145"/>
      <c r="I14" s="145"/>
      <c r="J14" s="145"/>
      <c r="K14" s="145"/>
      <c r="L14" s="145"/>
      <c r="M14" s="145"/>
    </row>
    <row r="15" spans="1:15" ht="13.95" customHeight="1" x14ac:dyDescent="0.25">
      <c r="A15" s="141" t="s">
        <v>149</v>
      </c>
      <c r="B15" s="140"/>
      <c r="C15" s="140"/>
      <c r="D15" s="140"/>
      <c r="E15" s="140"/>
      <c r="F15" s="7"/>
      <c r="G15" s="139" t="s">
        <v>125</v>
      </c>
      <c r="H15" s="140"/>
      <c r="I15" s="140"/>
      <c r="J15" s="140"/>
      <c r="K15" s="140"/>
      <c r="L15" s="140"/>
      <c r="M15" s="140"/>
    </row>
    <row r="16" spans="1:15" ht="13.8" x14ac:dyDescent="0.25">
      <c r="A16" s="140" t="s">
        <v>150</v>
      </c>
      <c r="B16" s="140"/>
      <c r="C16" s="140"/>
      <c r="D16" s="140"/>
      <c r="E16" s="140"/>
      <c r="F16" s="63"/>
      <c r="G16" s="139" t="s">
        <v>126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8" t="s">
        <v>128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129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130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122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163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167</v>
      </c>
      <c r="F26" s="138"/>
      <c r="G26" s="138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7">
        <v>1</v>
      </c>
      <c r="B30" s="101" t="s">
        <v>134</v>
      </c>
      <c r="C30" s="107" t="s">
        <v>135</v>
      </c>
      <c r="D30" s="109" t="s">
        <v>112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двести сорок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 t="s">
        <v>109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6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B47" sqref="B4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МAX”</v>
      </c>
    </row>
    <row r="3" spans="1:11" ht="11.25" customHeight="1" x14ac:dyDescent="0.2">
      <c r="B3" s="70" t="str">
        <f>+Инвойс!A6</f>
        <v>Республика Узбекистан. Ташкентская область,</v>
      </c>
    </row>
    <row r="4" spans="1:11" ht="11.25" customHeight="1" x14ac:dyDescent="0.2">
      <c r="B4" s="70" t="str">
        <f>+Инвойс!A7</f>
        <v>Бекабадский район, МФЙ Найман, улица Мусаффо, дом 107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105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BMX-O-10 от  24.08.2025г.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B45" s="157" t="str">
        <f>Инвойс!C23</f>
        <v>СВХ АО "СИАЙТИ ТЕРМИНАЛ" 10502090 - т/п Октябрьский 620025, Свердловская обл., г. Екатеринбург, ул. Бахчиванджи, д. 2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8" t="str">
        <f>+C22</f>
        <v xml:space="preserve"> 24.08.2025г.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94</v>
      </c>
      <c r="C57" s="80" t="str">
        <f>+Инвойс!E26</f>
        <v>30444ABA/300811BA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G25" sqref="G25:H2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6" t="s">
        <v>95</v>
      </c>
      <c r="C2" s="16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96</v>
      </c>
      <c r="F7" s="84"/>
      <c r="G7" s="85" t="s">
        <v>97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98</v>
      </c>
    </row>
    <row r="14" spans="2:11" ht="21" customHeight="1" x14ac:dyDescent="0.4">
      <c r="B14" s="167" t="str">
        <f>+Инвойс!E26</f>
        <v>30444ABA/300811BA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24.08.2025г.</v>
      </c>
      <c r="K14" s="89"/>
    </row>
    <row r="15" spans="2:11" ht="21" x14ac:dyDescent="0.4">
      <c r="B15" s="82" t="s">
        <v>99</v>
      </c>
      <c r="C15" s="90"/>
      <c r="D15" s="90"/>
      <c r="E15" s="90"/>
      <c r="F15" s="90"/>
      <c r="G15" s="89" t="s">
        <v>100</v>
      </c>
      <c r="H15" s="169" t="str">
        <f>+CMR!B24</f>
        <v>ИНВОЙС № BMX-O-10 от  24.08.2025г.</v>
      </c>
      <c r="I15" s="169"/>
      <c r="J15" s="169"/>
      <c r="K15" s="89"/>
    </row>
    <row r="16" spans="2:11" ht="15.6" x14ac:dyDescent="0.3">
      <c r="B16" s="83"/>
    </row>
    <row r="17" spans="2:10" ht="23.25" customHeight="1" x14ac:dyDescent="0.3">
      <c r="B17" s="83" t="s">
        <v>101</v>
      </c>
    </row>
    <row r="18" spans="2:10" ht="13.5" customHeight="1" x14ac:dyDescent="0.3">
      <c r="B18" s="91"/>
      <c r="E18" s="117"/>
      <c r="F18" s="118">
        <f>+Инвойс!E30</f>
        <v>1000</v>
      </c>
      <c r="G18" s="161" t="str">
        <f>+CMR!F30</f>
        <v>Дыни свежие</v>
      </c>
      <c r="H18" s="161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9" t="str">
        <f>+Инвойс!C30</f>
        <v>0807190001</v>
      </c>
      <c r="H19" s="160"/>
      <c r="I19" s="122" t="s">
        <v>102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1"/>
      <c r="H20" s="161"/>
      <c r="I20" s="119"/>
      <c r="J20" s="120"/>
    </row>
    <row r="21" spans="2:10" ht="13.5" customHeight="1" x14ac:dyDescent="0.3">
      <c r="B21" s="83" t="s">
        <v>103</v>
      </c>
      <c r="E21" s="123"/>
      <c r="F21" s="121"/>
      <c r="G21" s="159"/>
      <c r="H21" s="160"/>
      <c r="I21" s="122"/>
      <c r="J21" s="120"/>
    </row>
    <row r="22" spans="2:10" ht="12.75" customHeight="1" x14ac:dyDescent="0.3">
      <c r="B22" s="83"/>
      <c r="E22" s="123"/>
      <c r="F22" s="118"/>
      <c r="G22" s="161"/>
      <c r="H22" s="161"/>
      <c r="I22" s="119"/>
      <c r="J22" s="120"/>
    </row>
    <row r="23" spans="2:10" ht="14.25" customHeight="1" x14ac:dyDescent="0.3">
      <c r="B23" s="83"/>
      <c r="E23" s="123"/>
      <c r="F23" s="121"/>
      <c r="G23" s="159"/>
      <c r="H23" s="160"/>
      <c r="I23" s="122"/>
      <c r="J23" s="120"/>
    </row>
    <row r="24" spans="2:10" ht="12.75" customHeight="1" x14ac:dyDescent="0.3">
      <c r="B24" s="87"/>
      <c r="E24" s="123"/>
      <c r="F24" s="118"/>
      <c r="G24" s="161"/>
      <c r="H24" s="161"/>
      <c r="I24" s="119"/>
      <c r="J24" s="120"/>
    </row>
    <row r="25" spans="2:10" ht="12.75" customHeight="1" x14ac:dyDescent="0.3">
      <c r="B25" s="87"/>
      <c r="E25" s="123"/>
      <c r="F25" s="121"/>
      <c r="G25" s="159"/>
      <c r="H25" s="160"/>
      <c r="I25" s="122"/>
      <c r="J25" s="120"/>
    </row>
    <row r="26" spans="2:10" ht="12" customHeight="1" x14ac:dyDescent="0.3">
      <c r="B26" s="87"/>
      <c r="E26" s="123"/>
      <c r="F26" s="118"/>
      <c r="G26" s="161"/>
      <c r="H26" s="161"/>
      <c r="I26" s="119"/>
      <c r="J26" s="120"/>
    </row>
    <row r="27" spans="2:10" ht="14.25" customHeight="1" x14ac:dyDescent="0.3">
      <c r="B27" s="87"/>
      <c r="E27" s="123"/>
      <c r="F27" s="121"/>
      <c r="G27" s="159"/>
      <c r="H27" s="160"/>
      <c r="I27" s="122"/>
      <c r="J27" s="120"/>
    </row>
    <row r="28" spans="2:10" ht="12.75" customHeight="1" x14ac:dyDescent="0.3">
      <c r="B28" s="87"/>
      <c r="E28" s="123"/>
      <c r="F28" s="118"/>
      <c r="G28" s="161"/>
      <c r="H28" s="161"/>
      <c r="I28" s="119"/>
      <c r="J28" s="120"/>
    </row>
    <row r="29" spans="2:10" ht="12.75" customHeight="1" x14ac:dyDescent="0.3">
      <c r="B29" s="87"/>
      <c r="E29" s="123"/>
      <c r="F29" s="121"/>
      <c r="G29" s="159"/>
      <c r="H29" s="160"/>
      <c r="I29" s="122"/>
      <c r="J29" s="120"/>
    </row>
    <row r="30" spans="2:10" ht="12.75" customHeight="1" x14ac:dyDescent="0.3">
      <c r="B30" s="87"/>
      <c r="E30" s="123"/>
      <c r="F30" s="118"/>
      <c r="G30" s="161"/>
      <c r="H30" s="161"/>
      <c r="I30" s="119"/>
      <c r="J30" s="120"/>
    </row>
    <row r="31" spans="2:10" ht="13.5" customHeight="1" x14ac:dyDescent="0.3">
      <c r="B31" s="87"/>
      <c r="E31" s="123"/>
      <c r="F31" s="121"/>
      <c r="G31" s="159"/>
      <c r="H31" s="160"/>
      <c r="I31" s="122"/>
      <c r="J31" s="120"/>
    </row>
    <row r="32" spans="2:10" ht="13.5" customHeight="1" x14ac:dyDescent="0.3">
      <c r="B32" s="87"/>
      <c r="E32" s="123"/>
      <c r="F32" s="118"/>
      <c r="G32" s="161"/>
      <c r="H32" s="161"/>
      <c r="I32" s="119"/>
      <c r="J32" s="120"/>
    </row>
    <row r="33" spans="2:10" ht="13.5" customHeight="1" x14ac:dyDescent="0.3">
      <c r="B33" s="87"/>
      <c r="E33" s="123"/>
      <c r="F33" s="121"/>
      <c r="G33" s="159"/>
      <c r="H33" s="160"/>
      <c r="I33" s="122"/>
      <c r="J33" s="120"/>
    </row>
    <row r="34" spans="2:10" ht="13.5" customHeight="1" x14ac:dyDescent="0.3">
      <c r="B34" s="87"/>
      <c r="E34" s="123"/>
      <c r="F34" s="118"/>
      <c r="G34" s="161"/>
      <c r="H34" s="161"/>
      <c r="I34" s="119"/>
      <c r="J34" s="120"/>
    </row>
    <row r="35" spans="2:10" ht="12.75" customHeight="1" x14ac:dyDescent="0.3">
      <c r="B35" s="87"/>
      <c r="E35" s="123"/>
      <c r="F35" s="121"/>
      <c r="G35" s="159"/>
      <c r="H35" s="160"/>
      <c r="I35" s="122"/>
      <c r="J35" s="120"/>
    </row>
    <row r="36" spans="2:10" x14ac:dyDescent="0.3">
      <c r="B36" s="87"/>
      <c r="E36" s="123"/>
      <c r="F36" s="118"/>
      <c r="G36" s="161"/>
      <c r="H36" s="161"/>
      <c r="I36" s="119"/>
      <c r="J36" s="120"/>
    </row>
    <row r="37" spans="2:10" ht="13.5" customHeight="1" x14ac:dyDescent="0.3">
      <c r="B37" s="87"/>
      <c r="E37" s="123"/>
      <c r="F37" s="121"/>
      <c r="G37" s="159"/>
      <c r="H37" s="160"/>
      <c r="I37" s="122"/>
      <c r="J37" s="120"/>
    </row>
    <row r="38" spans="2:10" x14ac:dyDescent="0.3">
      <c r="B38" s="87"/>
      <c r="E38" s="123"/>
      <c r="F38" s="118"/>
      <c r="G38" s="161"/>
      <c r="H38" s="161"/>
      <c r="I38" s="119"/>
      <c r="J38" s="120"/>
    </row>
    <row r="39" spans="2:10" ht="13.5" customHeight="1" x14ac:dyDescent="0.3">
      <c r="B39" s="87"/>
      <c r="E39" s="123"/>
      <c r="F39" s="121"/>
      <c r="G39" s="159"/>
      <c r="H39" s="160"/>
      <c r="I39" s="122"/>
      <c r="J39" s="120"/>
    </row>
    <row r="40" spans="2:10" ht="14.25" hidden="1" customHeight="1" x14ac:dyDescent="0.3">
      <c r="B40" s="87"/>
      <c r="E40" s="123"/>
      <c r="F40" s="118"/>
      <c r="G40" s="161"/>
      <c r="H40" s="161"/>
      <c r="I40" s="119"/>
      <c r="J40" s="120"/>
    </row>
    <row r="41" spans="2:10" ht="14.25" hidden="1" customHeight="1" x14ac:dyDescent="0.3">
      <c r="B41" s="87"/>
      <c r="E41" s="123"/>
      <c r="F41" s="121"/>
      <c r="G41" s="159"/>
      <c r="H41" s="160"/>
      <c r="I41" s="122"/>
      <c r="J41" s="120"/>
    </row>
    <row r="42" spans="2:10" hidden="1" x14ac:dyDescent="0.3">
      <c r="B42" s="87"/>
      <c r="E42" s="123"/>
      <c r="F42" s="118"/>
      <c r="G42" s="161"/>
      <c r="H42" s="161"/>
      <c r="I42" s="119"/>
      <c r="J42" s="120"/>
    </row>
    <row r="43" spans="2:10" x14ac:dyDescent="0.3">
      <c r="B43" s="87"/>
      <c r="E43" s="123"/>
      <c r="F43" s="121"/>
      <c r="G43" s="159"/>
      <c r="H43" s="160"/>
      <c r="I43" s="122"/>
      <c r="J43" s="120"/>
    </row>
    <row r="44" spans="2:10" ht="9" customHeight="1" x14ac:dyDescent="0.3">
      <c r="B44" s="87"/>
      <c r="E44" s="95"/>
      <c r="F44" s="92"/>
      <c r="G44" s="163"/>
      <c r="H44" s="163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4">
        <f>+F18+F20+F22+F24+F26+F28+F30+F32+F34+F36+F38+F40+F42</f>
        <v>1000</v>
      </c>
      <c r="E47" s="165"/>
    </row>
    <row r="48" spans="2:10" ht="17.25" customHeight="1" x14ac:dyDescent="0.3">
      <c r="B48" s="162" t="s">
        <v>104</v>
      </c>
      <c r="C48" s="162"/>
      <c r="D48" s="162"/>
      <c r="E48" s="162"/>
    </row>
    <row r="49" spans="2:5" ht="21.75" customHeight="1" x14ac:dyDescent="0.3">
      <c r="B49" s="162"/>
      <c r="C49" s="162"/>
      <c r="D49" s="162"/>
      <c r="E49" s="162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C35" sqref="C35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0" t="s">
        <v>168</v>
      </c>
      <c r="C1" s="170"/>
      <c r="D1" s="170"/>
      <c r="E1" s="170"/>
      <c r="F1" s="150" t="str">
        <f>+Инвойс!F1</f>
        <v xml:space="preserve"> 24.08.2025г.</v>
      </c>
      <c r="G1" s="150"/>
      <c r="H1" s="150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tr">
        <f>+Инвойс!C2</f>
        <v>к контракту № BMR-2025 от 16.08.2025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3" t="s">
        <v>19</v>
      </c>
      <c r="B4" s="143"/>
      <c r="C4" s="143"/>
      <c r="D4" s="143"/>
      <c r="E4" s="143"/>
      <c r="G4" s="143" t="s">
        <v>20</v>
      </c>
      <c r="H4" s="143"/>
      <c r="I4" s="143"/>
      <c r="J4" s="143"/>
      <c r="K4" s="143"/>
      <c r="L4" s="143"/>
      <c r="M4" s="143"/>
    </row>
    <row r="5" spans="1:15" ht="14.25" customHeight="1" x14ac:dyDescent="0.25">
      <c r="A5" s="152" t="str">
        <f>+Инвойс!A5</f>
        <v>OOO “BMB МAX”</v>
      </c>
      <c r="B5" s="152"/>
      <c r="C5" s="152"/>
      <c r="D5" s="152"/>
      <c r="E5" s="152"/>
      <c r="F5" s="6"/>
      <c r="G5" s="145" t="str">
        <f>+Инвойс!G5</f>
        <v>ООО ТД «РЕСУРС»</v>
      </c>
      <c r="H5" s="145"/>
      <c r="I5" s="145"/>
      <c r="J5" s="145"/>
      <c r="K5" s="145"/>
      <c r="L5" s="145"/>
      <c r="M5" s="145"/>
    </row>
    <row r="6" spans="1:15" ht="13.8" x14ac:dyDescent="0.25">
      <c r="A6" s="141" t="str">
        <f>+Инвойс!A6</f>
        <v>Республика Узбекистан. Ташкентская область,</v>
      </c>
      <c r="B6" s="141"/>
      <c r="C6" s="141"/>
      <c r="D6" s="141"/>
      <c r="E6" s="141"/>
      <c r="F6" s="7"/>
      <c r="G6" s="171" t="str">
        <f>+Инвойс!G6</f>
        <v xml:space="preserve">125362, Город Москва, вн.тер.г. муниципальный округ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Бекабадский район, МФЙ Найман, улица Мусаффо, дом 107</v>
      </c>
      <c r="B7" s="141"/>
      <c r="C7" s="141"/>
      <c r="D7" s="141"/>
      <c r="E7" s="141"/>
      <c r="F7" s="63"/>
      <c r="G7" s="171" t="str">
        <f>+Инвойс!G7</f>
        <v xml:space="preserve">Южное Тушино, ул Свободы, д. 35, стр. 43, помещ. 92/3 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“Узсаноаткурилиш” Банк операционный  МФО 00440</v>
      </c>
      <c r="B8" s="141"/>
      <c r="C8" s="141"/>
      <c r="D8" s="141"/>
      <c r="E8" s="141"/>
      <c r="F8" s="63"/>
      <c r="G8" s="171" t="str">
        <f>+Инвойс!G8</f>
        <v>Банк: Азия-Инвест Банк (АО) ИНН: 9705116064 КПП: 770501001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Х/Р: 20208000005606798001 / Х/Р: 20208840605606798003</v>
      </c>
      <c r="B9" s="141"/>
      <c r="C9" s="141"/>
      <c r="D9" s="141"/>
      <c r="E9" s="141"/>
      <c r="F9" s="7"/>
      <c r="G9" s="171" t="str">
        <f>+Инвойс!G9</f>
        <v xml:space="preserve">Р/Счет: 40702840100000019384 ; БИК:  044525234 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Х/Р: 20208840605606798003</v>
      </c>
      <c r="B10" s="141"/>
      <c r="C10" s="141"/>
      <c r="D10" s="141"/>
      <c r="E10" s="141"/>
      <c r="F10" s="7"/>
      <c r="G10" s="171" t="str">
        <f>+Инвойс!G10</f>
        <v xml:space="preserve">Корр.счет: 30101810445250000234  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ИНН: 309774620</v>
      </c>
      <c r="B11" s="141"/>
      <c r="C11" s="141"/>
      <c r="D11" s="141"/>
      <c r="E11" s="141"/>
      <c r="F11" s="7"/>
      <c r="G11" s="171" t="str">
        <f>+Инвойс!G11</f>
        <v>(SWIFT code: ASIJRUMM)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53"/>
      <c r="B12" s="153"/>
      <c r="C12" s="153"/>
      <c r="D12" s="153"/>
      <c r="E12" s="153"/>
      <c r="F12" s="7"/>
      <c r="G12" s="153"/>
      <c r="H12" s="153"/>
      <c r="I12" s="153"/>
      <c r="J12" s="153"/>
      <c r="K12" s="153"/>
      <c r="L12" s="153"/>
      <c r="M12" s="153"/>
    </row>
    <row r="13" spans="1:15" ht="24" customHeight="1" x14ac:dyDescent="0.35">
      <c r="A13" s="143" t="s">
        <v>31</v>
      </c>
      <c r="B13" s="143"/>
      <c r="C13" s="143"/>
      <c r="D13" s="143"/>
      <c r="E13" s="143"/>
      <c r="G13" s="143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52" t="str">
        <f>+Инвойс!A14</f>
        <v>OOO “BMB МAX”</v>
      </c>
      <c r="B14" s="152"/>
      <c r="C14" s="152"/>
      <c r="D14" s="152"/>
      <c r="E14" s="152"/>
      <c r="F14" s="6"/>
      <c r="G14" s="145" t="str">
        <f>+Инвойс!G14</f>
        <v>OOO «Западные ворота»</v>
      </c>
      <c r="H14" s="145"/>
      <c r="I14" s="145"/>
      <c r="J14" s="145"/>
      <c r="K14" s="145"/>
      <c r="L14" s="145"/>
      <c r="M14" s="145"/>
    </row>
    <row r="15" spans="1:15" ht="13.95" customHeight="1" x14ac:dyDescent="0.25">
      <c r="A15" s="141" t="str">
        <f>+Инвойс!A15</f>
        <v>Республика Узбекистан. Ташкентская область,</v>
      </c>
      <c r="B15" s="141"/>
      <c r="C15" s="141"/>
      <c r="D15" s="141"/>
      <c r="E15" s="141"/>
      <c r="F15" s="7"/>
      <c r="G15" s="171" t="str">
        <f>+Инвойс!G15</f>
        <v>108811, г. Москва, вн.тер.г. муниципальный округ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Бекабадский район, МФЙ Найман, улица Мусаффо, дом 107</v>
      </c>
      <c r="B16" s="141"/>
      <c r="C16" s="141"/>
      <c r="D16" s="141"/>
      <c r="E16" s="141"/>
      <c r="F16" s="63"/>
      <c r="G16" s="171" t="str">
        <f>+Инвойс!G16</f>
        <v>Солнцево, Киевское шоссе, 23-й км, д.8, стр.1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“Узсаноаткурилиш” Банк операционный  МФО 00440</v>
      </c>
      <c r="B17" s="141"/>
      <c r="C17" s="141"/>
      <c r="D17" s="141"/>
      <c r="E17" s="141"/>
      <c r="F17" s="63"/>
      <c r="G17" s="171" t="str">
        <f>+Инвойс!G17</f>
        <v xml:space="preserve">р/с USD 40702810501400013450 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Х/Р: 20208000005606798001 / Х/Р: 20208840605606798003</v>
      </c>
      <c r="B18" s="141"/>
      <c r="C18" s="141"/>
      <c r="D18" s="141"/>
      <c r="E18" s="141"/>
      <c r="F18" s="7"/>
      <c r="G18" s="171" t="str">
        <f>+Инвойс!G18</f>
        <v>Банк: Филиал АО «АЛЬФА-БАНК»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Х/Р: 20208840605606798003</v>
      </c>
      <c r="B19" s="141"/>
      <c r="C19" s="141"/>
      <c r="D19" s="141"/>
      <c r="E19" s="141"/>
      <c r="F19" s="7"/>
      <c r="G19" s="171" t="str">
        <f>+Инвойс!G19</f>
        <v>к/с:  30101810200000000593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ИНН: 309774620</v>
      </c>
      <c r="B20" s="141"/>
      <c r="C20" s="141"/>
      <c r="D20" s="141"/>
      <c r="E20" s="141"/>
      <c r="F20" s="7"/>
      <c r="G20" s="171" t="str">
        <f>+Инвойс!G20</f>
        <v>ИНН/КПП 5004025693/775101001 ОГРН 1135004001802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132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30444ABA/300811BA</v>
      </c>
      <c r="F26" s="138"/>
      <c r="G26" s="138"/>
      <c r="J26" s="21"/>
    </row>
    <row r="27" spans="1:17" ht="34.5" customHeight="1" x14ac:dyDescent="0.25">
      <c r="A27" s="67" t="s">
        <v>133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30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двести сорок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5.6" x14ac:dyDescent="0.3">
      <c r="A36" s="7" t="s">
        <v>156</v>
      </c>
      <c r="B36" s="7"/>
      <c r="D36" s="25" t="str">
        <f>+Инвойс!D36</f>
        <v>Номуротов Ш.В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topLeftCell="A7" zoomScale="85" zoomScaleNormal="85" workbookViewId="0">
      <selection activeCell="A15" sqref="A15"/>
    </sheetView>
  </sheetViews>
  <sheetFormatPr defaultRowHeight="13.2" x14ac:dyDescent="0.25"/>
  <cols>
    <col min="1" max="1" width="48.6640625" bestFit="1" customWidth="1"/>
  </cols>
  <sheetData>
    <row r="1" spans="1:9" ht="39.6" x14ac:dyDescent="0.25">
      <c r="A1" s="126" t="s">
        <v>116</v>
      </c>
    </row>
    <row r="2" spans="1:9" x14ac:dyDescent="0.25">
      <c r="D2" s="18" t="s">
        <v>137</v>
      </c>
      <c r="I2" s="25" t="s">
        <v>157</v>
      </c>
    </row>
    <row r="3" spans="1:9" ht="52.8" x14ac:dyDescent="0.25">
      <c r="A3" s="131" t="s">
        <v>136</v>
      </c>
    </row>
    <row r="4" spans="1:9" x14ac:dyDescent="0.25">
      <c r="D4" s="18" t="s">
        <v>163</v>
      </c>
      <c r="I4" s="25" t="s">
        <v>158</v>
      </c>
    </row>
    <row r="5" spans="1:9" ht="39.6" x14ac:dyDescent="0.25">
      <c r="A5" s="126" t="s">
        <v>117</v>
      </c>
    </row>
    <row r="6" spans="1:9" x14ac:dyDescent="0.25">
      <c r="D6" s="18" t="s">
        <v>159</v>
      </c>
      <c r="I6" s="25" t="s">
        <v>160</v>
      </c>
    </row>
    <row r="7" spans="1:9" ht="52.8" x14ac:dyDescent="0.25">
      <c r="A7" s="126" t="s">
        <v>118</v>
      </c>
    </row>
    <row r="8" spans="1:9" x14ac:dyDescent="0.25">
      <c r="D8" s="18" t="s">
        <v>161</v>
      </c>
      <c r="I8" s="25" t="s">
        <v>162</v>
      </c>
    </row>
    <row r="9" spans="1:9" ht="52.8" x14ac:dyDescent="0.25">
      <c r="A9" s="126" t="s">
        <v>119</v>
      </c>
    </row>
    <row r="10" spans="1:9" x14ac:dyDescent="0.25">
      <c r="A10" s="126"/>
    </row>
    <row r="11" spans="1:9" ht="52.8" x14ac:dyDescent="0.25">
      <c r="A11" s="126" t="s">
        <v>120</v>
      </c>
    </row>
    <row r="13" spans="1:9" ht="52.8" x14ac:dyDescent="0.25">
      <c r="A13" s="126" t="s">
        <v>121</v>
      </c>
    </row>
    <row r="15" spans="1:9" ht="39.6" x14ac:dyDescent="0.25">
      <c r="A15" s="126" t="s">
        <v>122</v>
      </c>
    </row>
    <row r="17" spans="1:1" ht="39.6" x14ac:dyDescent="0.25">
      <c r="A17" s="126" t="s">
        <v>123</v>
      </c>
    </row>
    <row r="19" spans="1:1" ht="39.6" x14ac:dyDescent="0.25">
      <c r="A19" s="128" t="s">
        <v>131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4240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45896</v>
      </c>
      <c r="O3" s="176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27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5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2025-08-27T08:05:37Z</cp:lastPrinted>
  <dcterms:created xsi:type="dcterms:W3CDTF">1996-10-14T23:33:28Z</dcterms:created>
  <dcterms:modified xsi:type="dcterms:W3CDTF">2025-08-27T10:49:48Z</dcterms:modified>
</cp:coreProperties>
</file>