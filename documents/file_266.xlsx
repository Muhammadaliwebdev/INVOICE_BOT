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810C379C-45FC-42B9-999E-2F91EEBF1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<sst xmlns="http://schemas.openxmlformats.org/spreadsheetml/2006/main" count="209" uniqueCount="163">
  <si>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</si>
  <si>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</si>
  <si>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</si>
  <si>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</si>
  <si>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</si>
  <si>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</si>
  <si>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</si>
  <si>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</si>
  <si>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</si>
  <si>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</si>
  <si>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</si>
  <si>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</si>
  <si>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</si>
  <si>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</si>
  <si>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</si>
  <si>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</si>
  <si>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</si>
  <si>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</si>
  <si>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</si>
  <si>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</si>
  <si>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</si>
  <si>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</si>
  <si>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</si>
  <si>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</si>
  <si>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</si>
  <si>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</si>
  <si>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</si>
  <si>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</si>
  <si>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</si>
  <si>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</si>
  <si>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</si>
  <si>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</si>
  <si>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</si>
  <si>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</si>
  <si>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</si>
  <si>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</si>
  <si>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</si>
  <si>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</si>
  <si>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</si>
  <si>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</si>
  <si>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</si>
  <si>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</si>
  <si>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</si>
  <si>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</si>
  <si>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</si>
  <si>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</si>
  <si>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</si>
  <si>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</si>
  <si>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</si>
  <si>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</si>
  <si>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</si>
  <si>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</si>
  <si>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</si>
  <si>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</si>
  <si>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</si>
  <si>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</si>
  <si>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</si>
  <si>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</si>
  <si>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</si>
  <si>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</si>
  <si>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</si>
  <si>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</si>
  <si>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</si>
  <si>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</si>
  <si>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</si>
  <si>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</si>
  <si>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</si>
  <si>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</si>
  <si>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</si>
  <si>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</si>
  <si>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</si>
  <si>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</si>
  <si>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</si>
  <si>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</si>
  <si>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</si>
  <si>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</si>
  <si>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</si>
  <si>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</si>
  <si>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</si>
  <si>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</si>
  <si>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</si>
  <si>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</si>
  <si>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</si>
  <si>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</si>
  <si>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</si>
  <si>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</si>
  <si>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</si>
  <si>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</si>
  <si>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</si>
  <si>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</si>
  <si>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</si>
  <si>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</si>
  <si>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</si>
  <si>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</si>
  <si>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</si>
  <si>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</si>
  <si>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</si>
  <si>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</si>
  <si>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</si>
  <si>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</si>
  <si>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</si>
  <si>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</si>
  <si>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</si>
  <si>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</si>
  <si>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</si>
  <si>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</si>
  <si>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</si>
  <si>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</si>
  <si>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</si>
  <si>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</si>
  <si>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</si>
  <si>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</si>
  <si>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</si>
  <si>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</si>
  <si>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</si>
  <si>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</si>
  <si>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</si>
  <si>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</si>
  <si>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</si>
  <si>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</si>
  <si>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</si>
  <si>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</si>
  <si>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</si>
  <si>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</si>
  <si>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</si>
  <si>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</si>
  <si>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</si>
  <si>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</si>
  <si>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</si>
  <si>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</si>
  <si>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</si>
  <si>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</si>
  <si>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</si>
  <si>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</si>
  <si>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</si>
  <si>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</si>
  <si>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</si>
  <si>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</si>
  <si>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</si>
  <si>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</si>
  <si>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</si>
  <si>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</si>
  <si>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</si>
  <si>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</si>
  <si>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</si>
  <si>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</si>
  <si>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</si>
  <si>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</si>
  <si>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</si>
  <si>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</si>
  <si>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</si>
  <si>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</si>
  <si>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</si>
  <si>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</si>
  <si>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</si>
  <si>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</si>
  <si>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</si>
  <si>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</si>
  <si>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</si>
  <si>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</si>
  <si>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VG-N-38 от </t>
  </si>
  <si>
    <t>5588QG10/01AA5588</t>
  </si>
  <si>
    <t xml:space="preserve">СПЕЦИФИКАЦИЯ № VG-N-38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</si>
</sst>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140</v>
      </c>
      <c r="B5" s="154"/>
      <c r="C5" s="154"/>
      <c r="D5" s="154"/>
      <c r="E5" s="154"/>
      <c r="F5" s="6"/>
      <c r="G5" s="147" t="s">
        <v>150</v>
      </c>
      <c r="H5" s="147"/>
      <c r="I5" s="147"/>
      <c r="J5" s="147"/>
      <c r="K5" s="147"/>
      <c r="L5" s="147"/>
      <c r="M5" s="147"/>
    </row>
    <row r="6" spans="1:15" ht="13.8" x14ac:dyDescent="0.25">
      <c r="A6" s="142" t="s">
        <v>141</v>
      </c>
      <c r="B6" s="141"/>
      <c r="C6" s="141"/>
      <c r="D6" s="141"/>
      <c r="E6" s="141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148</v>
      </c>
      <c r="B7" s="141"/>
      <c r="C7" s="141"/>
      <c r="D7" s="141"/>
      <c r="E7" s="141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140</v>
      </c>
      <c r="B14" s="154"/>
      <c r="C14" s="154"/>
      <c r="D14" s="154"/>
      <c r="E14" s="154"/>
      <c r="F14" s="6"/>
      <c r="G14" s="147" t="s">
        <v>150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148</v>
      </c>
      <c r="B16" s="141"/>
      <c r="C16" s="141"/>
      <c r="D16" s="141"/>
      <c r="E16" s="141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156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5" t="s">
        <v>27</v>
      </c>
      <c r="G30" s="106">
        <v>22900</v>
      </c>
      <c r="H30" s="106">
        <v>21280</v>
      </c>
      <c r="I30" s="108">
        <v>0.25</v>
      </c>
      <c r="J30" s="13">
        <f t="shared" ref="J30" si="0">H30*I30</f>
        <v>5320</v>
      </c>
      <c r="K30" s="12">
        <v>0</v>
      </c>
      <c r="L30" s="12">
        <v>0</v>
      </c>
      <c r="M30" s="13">
        <f t="shared" ref="M30" si="1">J30</f>
        <v>5320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22900</v>
      </c>
      <c r="H31" s="64">
        <f>SUM(H30:H30)</f>
        <v>21280</v>
      </c>
      <c r="I31" s="102"/>
      <c r="J31" s="17">
        <f>SUM(J30:J30)</f>
        <v>5320</v>
      </c>
      <c r="K31" s="16"/>
      <c r="L31" s="16"/>
      <c r="M31" s="17">
        <f>SUM(M30:M30)</f>
        <v>5320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двадцать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VG-N-38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5588QG10/01AA5588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A20:M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5588QG10/01AA5588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VG-N-38 от  29.08.2025г.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5588QG10/01AA5588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6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22900</v>
      </c>
      <c r="H30" s="106">
        <f>+Инвойс!H30</f>
        <v>21280</v>
      </c>
      <c r="I30" s="108">
        <f>+Инвойс!I30</f>
        <v>0.25</v>
      </c>
      <c r="J30" s="13">
        <f>+Инвойс!J30</f>
        <v>5320</v>
      </c>
      <c r="K30" s="12">
        <v>0</v>
      </c>
      <c r="L30" s="12">
        <v>0</v>
      </c>
      <c r="M30" s="13">
        <f>+Инвойс!M30</f>
        <v>5320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22900</v>
      </c>
      <c r="H31" s="64">
        <f>SUM(H30:H30)</f>
        <v>21280</v>
      </c>
      <c r="I31" s="102"/>
      <c r="J31" s="17">
        <f>SUM(J30:J30)</f>
        <v>5320</v>
      </c>
      <c r="K31" s="16"/>
      <c r="L31" s="16"/>
      <c r="M31" s="17">
        <f>SUM(M30:M30)</f>
        <v>5320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двадцать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5320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двадцать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5320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2025-08-29T10:58:24Z</cp:lastPrinted>
  <dcterms:created xsi:type="dcterms:W3CDTF">1996-10-14T23:33:28Z</dcterms:created>
  <dcterms:modified xsi:type="dcterms:W3CDTF">2025-08-29T10:58:26Z</dcterms:modified>
</cp:coreProperties>
</file>