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AAE1D8C-3676-4725-997E-9785712D80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<sst xmlns="http://schemas.openxmlformats.org/spreadsheetml/2006/main" count="211" uniqueCount="164">
  <si>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</si>
  <si>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</si>
  <si>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</si>
  <si>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</si>
  <si>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</si>
  <si>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</si>
  <si>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</si>
  <si>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</si>
  <si>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</si>
  <si>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</si>
  <si>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</si>
  <si>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</si>
  <si>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</si>
  <si>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</si>
  <si>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</si>
  <si>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</si>
  <si>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</si>
  <si>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</si>
  <si>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</si>
  <si>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</si>
  <si>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</si>
  <si>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</si>
  <si>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</si>
  <si>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</si>
  <si>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</si>
  <si>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</si>
  <si>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</si>
  <si>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</si>
  <si>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</si>
  <si>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</si>
  <si>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</si>
  <si>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</si>
  <si>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</si>
  <si>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</si>
  <si>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</si>
  <si>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</si>
  <si>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</si>
  <si>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</si>
  <si>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</si>
  <si>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</si>
  <si>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</si>
  <si>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</si>
  <si>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</si>
  <si>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</si>
  <si>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</si>
  <si>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</si>
  <si>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</si>
  <si>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</si>
  <si>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</si>
  <si>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</si>
  <si>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</si>
  <si>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</si>
  <si>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</si>
  <si>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</si>
  <si>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</si>
  <si>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</si>
  <si>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</si>
  <si>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</si>
  <si>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</si>
  <si>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</si>
  <si>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</si>
  <si>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</si>
  <si>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</si>
  <si>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</si>
  <si>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</si>
  <si>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</si>
  <si>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</si>
  <si>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</si>
  <si>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</si>
  <si>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</si>
  <si>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</si>
  <si>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</si>
  <si>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</si>
  <si>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</si>
  <si>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</si>
  <si>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</si>
  <si>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</si>
  <si>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</si>
  <si>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</si>
  <si>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</si>
  <si>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</si>
  <si>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</si>
  <si>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</si>
  <si>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</si>
  <si>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</si>
  <si>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</si>
  <si>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</si>
  <si>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</si>
  <si>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</si>
  <si>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</si>
  <si>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</si>
  <si>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</si>
  <si>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</si>
  <si>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</si>
  <si>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</si>
  <si>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</si>
  <si>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</si>
  <si>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</si>
  <si>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</si>
  <si>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</si>
  <si>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</si>
  <si>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</si>
  <si>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</si>
  <si>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</si>
  <si>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</si>
  <si>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</si>
  <si>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</si>
  <si>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</si>
  <si>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</si>
  <si>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</si>
  <si>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</si>
  <si>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</si>
  <si>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</si>
  <si>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</si>
  <si>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</si>
  <si>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</si>
  <si>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</si>
  <si>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</si>
  <si>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</si>
  <si>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</si>
  <si>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</si>
  <si>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</si>
  <si>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</si>
  <si>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</si>
  <si>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</si>
  <si>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</si>
  <si>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</si>
  <si>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</si>
  <si>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</si>
  <si>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</si>
  <si>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</si>
  <si>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</si>
  <si>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</si>
  <si>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</si>
  <si>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</si>
  <si>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</si>
  <si>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</si>
  <si>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</si>
  <si>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</si>
  <si>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</si>
  <si>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</si>
  <si>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</si>
  <si>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</si>
  <si>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</si>
  <si>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</si>
  <si>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</si>
  <si>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</si>
  <si>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</si>
  <si>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</si>
  <si>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</si>
  <si>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</si>
  <si>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</si>
  <si>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</si>
  <si>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</si>
  <si>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</si>
  <si>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</si>
  <si>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</si>
  <si>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</si>
  <si>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</si>
  <si>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</si>
  <si>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UFG-M-39 от </t>
  </si>
  <si>
    <t xml:space="preserve"> 31.08.2025г.</t>
  </si>
  <si>
    <t>40Y095HA/403391AA</t>
  </si>
  <si>
    <t xml:space="preserve">СПЕЦИФИКАЦИЯ № UFG-M-39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</si>
</sst>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118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910</v>
      </c>
      <c r="F30" s="110" t="s">
        <v>27</v>
      </c>
      <c r="G30" s="106">
        <v>22500</v>
      </c>
      <c r="H30" s="106">
        <v>20862</v>
      </c>
      <c r="I30" s="108">
        <v>0.25</v>
      </c>
      <c r="J30" s="13">
        <f t="shared" ref="J30" si="0">H30*I30</f>
        <v>5215.5</v>
      </c>
      <c r="K30" s="12">
        <v>0</v>
      </c>
      <c r="L30" s="12">
        <v>0</v>
      </c>
      <c r="M30" s="13">
        <f t="shared" ref="M30" si="1">J30</f>
        <v>5215.5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910</v>
      </c>
      <c r="F31" s="15"/>
      <c r="G31" s="64">
        <f>SUM(G30:G30)</f>
        <v>22500</v>
      </c>
      <c r="H31" s="64">
        <f>SUM(H30:H30)</f>
        <v>20862</v>
      </c>
      <c r="I31" s="102"/>
      <c r="J31" s="17">
        <f>SUM(J30:J30)</f>
        <v>5215.5</v>
      </c>
      <c r="K31" s="16"/>
      <c r="L31" s="16"/>
      <c r="M31" s="17">
        <f>SUM(M30:M30)</f>
        <v>5215.5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двести пятнадцать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G34" sqref="G3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UFG-M-39 от  31.08.2025г.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910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31.08.2025г.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40Y095HA/403391AA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0" zoomScaleNormal="100" workbookViewId="0">
      <selection activeCell="F44" sqref="F4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40Y095HA/403391AA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31.08.2025г.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UFG-M-39 от  31.08.2025г.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910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910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4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31.08.2025г.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40Y095HA/403391AA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2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910</v>
      </c>
      <c r="F30" s="116" t="str">
        <f>+Инвойс!F30</f>
        <v>кг</v>
      </c>
      <c r="G30" s="106">
        <f>+Инвойс!G30</f>
        <v>22500</v>
      </c>
      <c r="H30" s="106">
        <f>+Инвойс!H30</f>
        <v>20862</v>
      </c>
      <c r="I30" s="108">
        <f>+Инвойс!I30</f>
        <v>0.25</v>
      </c>
      <c r="J30" s="13">
        <f>+Инвойс!J30</f>
        <v>5215.5</v>
      </c>
      <c r="K30" s="12">
        <v>0</v>
      </c>
      <c r="L30" s="12">
        <v>0</v>
      </c>
      <c r="M30" s="13">
        <f>+Инвойс!M30</f>
        <v>5215.5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910</v>
      </c>
      <c r="F31" s="15"/>
      <c r="G31" s="64">
        <f>SUM(G30:G30)</f>
        <v>22500</v>
      </c>
      <c r="H31" s="64">
        <f>SUM(H30:H30)</f>
        <v>20862</v>
      </c>
      <c r="I31" s="102"/>
      <c r="J31" s="17">
        <f>SUM(J30:J30)</f>
        <v>5215.5</v>
      </c>
      <c r="K31" s="16"/>
      <c r="L31" s="16"/>
      <c r="M31" s="17">
        <f>SUM(M30:M30)</f>
        <v>5215.5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двести пятнадцать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5215.5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пятнадцать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45900</v>
      </c>
      <c r="O3" s="178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пятнадцать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31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пятнадцать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пятнадцать долларов США, 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пятнадцать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45900</v>
      </c>
    </row>
    <row r="13" spans="1:19" s="43" customFormat="1" x14ac:dyDescent="0.25">
      <c r="A13" s="49"/>
      <c r="D13" s="51"/>
      <c r="E13" s="52">
        <f>TRUNC(E2)</f>
        <v>5215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5215</v>
      </c>
      <c r="B29" s="47">
        <f>TRUNC(RIGHT(A29))</f>
        <v>5</v>
      </c>
      <c r="C29" s="51">
        <f>IF(B28=1,B29+10,IF(B29=0,0,B29))</f>
        <v>15</v>
      </c>
      <c r="D29" s="43" t="str">
        <f>IF(AND(C29&gt;9,C29&lt;16),IF(C29=10,D34,IF(C29=11,D35,IF(C29=12,D36,IF(C29=13,D37,IF(C29=14,D38,IF(C29=15,D39,)))))),"")</f>
        <v xml:space="preserve">пятнадцать </v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215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2025-08-31T12:43:35Z</cp:lastPrinted>
  <dcterms:created xsi:type="dcterms:W3CDTF">1996-10-14T23:33:28Z</dcterms:created>
  <dcterms:modified xsi:type="dcterms:W3CDTF">2025-08-31T12:51:12Z</dcterms:modified>
</cp:coreProperties>
</file>