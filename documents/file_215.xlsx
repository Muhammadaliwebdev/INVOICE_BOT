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D93011B-5EBA-4101-BFEF-66ABCBF94E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<sst xmlns="http://schemas.openxmlformats.org/spreadsheetml/2006/main" count="201" uniqueCount="163">
  <si>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</si>
  <si>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</si>
  <si>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</si>
  <si>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</si>
  <si>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</si>
  <si>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</si>
  <si>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</si>
  <si>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</si>
  <si>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</si>
  <si>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</si>
  <si>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</si>
  <si>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</si>
  <si>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</si>
  <si>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</si>
  <si>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</si>
  <si>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</si>
  <si>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</si>
  <si>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</si>
  <si>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</si>
  <si>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</si>
  <si>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</si>
  <si>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</si>
  <si>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</si>
  <si>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</si>
  <si>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</si>
  <si>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</si>
  <si>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</si>
  <si>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</si>
  <si>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</si>
  <si>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</si>
  <si>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</si>
  <si>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</si>
  <si>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</si>
  <si>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</si>
  <si>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</si>
  <si>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</si>
  <si>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</si>
  <si>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</si>
  <si>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</si>
  <si>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</si>
  <si>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</si>
  <si>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</si>
  <si>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</si>
  <si>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</si>
  <si>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</si>
  <si>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</si>
  <si>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</si>
  <si>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</si>
  <si>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</si>
  <si>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</si>
  <si>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</si>
  <si>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</si>
  <si>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</si>
  <si>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</si>
  <si>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</si>
  <si>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</si>
  <si>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</si>
  <si>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</si>
  <si>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</si>
  <si>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</si>
  <si>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</si>
  <si>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</si>
  <si>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</si>
  <si>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</si>
  <si>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</si>
  <si>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</si>
  <si>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</si>
  <si>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</si>
  <si>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</si>
  <si>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</si>
  <si>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</si>
  <si>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</si>
  <si>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</si>
  <si>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</si>
  <si>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</si>
  <si>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</si>
  <si>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</si>
  <si>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</si>
  <si>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</si>
  <si>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</si>
  <si>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</si>
  <si>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</si>
  <si>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</si>
  <si>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</si>
  <si>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</si>
  <si>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</si>
  <si>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</si>
  <si>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</si>
  <si>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</si>
  <si>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</si>
  <si>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</si>
  <si>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</si>
  <si>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</si>
  <si>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</si>
  <si>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</si>
  <si>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</si>
  <si>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</si>
  <si>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</si>
  <si>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</si>
  <si>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</si>
  <si>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</si>
  <si>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</si>
  <si>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</si>
  <si>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</si>
  <si>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</si>
  <si>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</si>
  <si>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</si>
  <si>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</si>
  <si>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</si>
  <si>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</si>
  <si>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</si>
  <si>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</si>
  <si>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</si>
  <si>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</si>
  <si>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</si>
  <si>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</si>
  <si>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</si>
  <si>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</si>
  <si>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</si>
  <si>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</si>
  <si>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</si>
  <si>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</si>
  <si>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</si>
  <si>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</si>
  <si>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</si>
  <si>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</si>
  <si>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</si>
  <si>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</si>
  <si>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</si>
  <si>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</si>
  <si>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</si>
  <si>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</si>
  <si>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</si>
  <si>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</si>
  <si>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</si>
  <si>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</si>
  <si>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</si>
  <si>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</si>
  <si>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</si>
  <si>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</si>
  <si>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</si>
  <si>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</si>
  <si>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</si>
  <si>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</si>
  <si>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</si>
  <si>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</si>
  <si>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</si>
  <si>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</si>
  <si>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</si>
  <si>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</si>
  <si>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</si>
  <si>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</si>
  <si>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</si>
  <si>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</si>
  <si>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</si>
  <si>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</si>
  <si>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</si>
  <si>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</si>
  <si>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BEZ-A-85 от </t>
  </si>
  <si>
    <t xml:space="preserve"> 13.08.2025г.</t>
  </si>
  <si>
    <t>DAP - с Амандык , Республика Казахстан</t>
  </si>
  <si>
    <t>30998NBA/306548AA</t>
  </si>
  <si>
    <t xml:space="preserve">СПЕЦИФИКАЦИЯ № BEZ-A-85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</si>
</sst>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158</v>
      </c>
      <c r="D1" s="133"/>
      <c r="E1" s="133"/>
      <c r="F1" s="132" t="s">
        <v>159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119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161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1000</v>
      </c>
      <c r="F30" s="110" t="s">
        <v>27</v>
      </c>
      <c r="G30" s="106">
        <v>22500</v>
      </c>
      <c r="H30" s="106">
        <v>20700</v>
      </c>
      <c r="I30" s="108">
        <v>0.2</v>
      </c>
      <c r="J30" s="13">
        <f t="shared" ref="J30" si="0">H30*I30</f>
        <v>4140</v>
      </c>
      <c r="K30" s="12">
        <v>0</v>
      </c>
      <c r="L30" s="12">
        <v>0</v>
      </c>
      <c r="M30" s="13">
        <f t="shared" ref="M30" si="1">J30</f>
        <v>4140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1000</v>
      </c>
      <c r="F31" s="15"/>
      <c r="G31" s="64">
        <f>SUM(G30:G30)</f>
        <v>22500</v>
      </c>
      <c r="H31" s="64">
        <f>SUM(H30:H30)</f>
        <v>20700</v>
      </c>
      <c r="I31" s="102"/>
      <c r="J31" s="17">
        <f>SUM(J30:J30)</f>
        <v>4140</v>
      </c>
      <c r="K31" s="16"/>
      <c r="L31" s="16"/>
      <c r="M31" s="17">
        <f>SUM(M30:M30)</f>
        <v>4140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сорок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I35" sqref="I35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13.08.2025г.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BEZ-A-85 от  13.08.2025г.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"Уралкомплект" 10412130 - т/п Оренбургский
460027, Оренбургская обл., г. Оренбург, ул. Донгузская, д. 62А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13.08.2025г.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30998NBA/306548AA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0" zoomScaleNormal="100" workbookViewId="0">
      <selection activeCell="J32" sqref="J32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30998NBA/306548AA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13.08.2025г.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BEZ-A-85 от  13.08.2025г.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1000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22500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1000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topLeftCell="A7" zoomScale="85" zoomScaleNormal="85" workbookViewId="0">
      <selection activeCell="P27" sqref="P27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 xml:space="preserve"> 13.08.2025г.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30998NBA/306548AA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5.2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22500</v>
      </c>
      <c r="H30" s="106">
        <f>+Инвойс!H30</f>
        <v>20700</v>
      </c>
      <c r="I30" s="108">
        <f>+Инвойс!I30</f>
        <v>0.2</v>
      </c>
      <c r="J30" s="13">
        <f>+Инвойс!J30</f>
        <v>4140</v>
      </c>
      <c r="K30" s="12">
        <v>0</v>
      </c>
      <c r="L30" s="12">
        <v>0</v>
      </c>
      <c r="M30" s="13">
        <f>+Инвойс!M30</f>
        <v>4140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1000</v>
      </c>
      <c r="F31" s="15"/>
      <c r="G31" s="64">
        <f>SUM(G30:G30)</f>
        <v>22500</v>
      </c>
      <c r="H31" s="64">
        <f>SUM(H30:H30)</f>
        <v>20700</v>
      </c>
      <c r="I31" s="102"/>
      <c r="J31" s="17">
        <f>SUM(J30:J30)</f>
        <v>4140</v>
      </c>
      <c r="K31" s="16"/>
      <c r="L31" s="16"/>
      <c r="M31" s="17">
        <f>SUM(M30:M30)</f>
        <v>4140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сорок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4140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сто сорок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45882</v>
      </c>
      <c r="O3" s="176"/>
      <c r="P3">
        <f ca="1">DAY(N3)</f>
        <v>13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сто сорок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13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сто сорок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сто сорок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сорок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45882</v>
      </c>
    </row>
    <row r="13" spans="1:19" s="43" customFormat="1" x14ac:dyDescent="0.25">
      <c r="A13" s="49"/>
      <c r="D13" s="51"/>
      <c r="E13" s="52">
        <f>TRUNC(E2)</f>
        <v>4140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414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4140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140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2025-08-13T07:17:32Z</cp:lastPrinted>
  <dcterms:created xsi:type="dcterms:W3CDTF">1996-10-14T23:33:28Z</dcterms:created>
  <dcterms:modified xsi:type="dcterms:W3CDTF">2025-08-13T07:17:53Z</dcterms:modified>
</cp:coreProperties>
</file>