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FF503F5-4A11-4F51-8A8C-AADB8122E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<sst xmlns="http://schemas.openxmlformats.org/spreadsheetml/2006/main" count="209" uniqueCount="163">
  <si>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</si>
  <si>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</si>
  <si>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</si>
  <si>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</si>
  <si>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</si>
  <si>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</si>
  <si>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</si>
  <si>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</si>
  <si>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</si>
  <si>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</si>
  <si>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</si>
  <si>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</si>
  <si>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</si>
  <si>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</si>
  <si>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</si>
  <si>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</si>
  <si>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</si>
  <si>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</si>
  <si>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</si>
  <si>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</si>
  <si>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</si>
  <si>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</si>
  <si>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</si>
  <si>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</si>
  <si>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</si>
  <si>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</si>
  <si>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</si>
  <si>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</si>
  <si>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</si>
  <si>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</si>
  <si>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</si>
  <si>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</si>
  <si>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</si>
  <si>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</si>
  <si>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</si>
  <si>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</si>
  <si>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</si>
  <si>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</si>
  <si>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</si>
  <si>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</si>
  <si>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</si>
  <si>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</si>
  <si>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</si>
  <si>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</si>
  <si>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</si>
  <si>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</si>
  <si>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</si>
  <si>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</si>
  <si>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</si>
  <si>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</si>
  <si>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</si>
  <si>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</si>
  <si>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</si>
  <si>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</si>
  <si>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</si>
  <si>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</si>
  <si>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</si>
  <si>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</si>
  <si>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</si>
  <si>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</si>
  <si>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</si>
  <si>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</si>
  <si>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</si>
  <si>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</si>
  <si>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</si>
  <si>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</si>
  <si>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</si>
  <si>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</si>
  <si>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</si>
  <si>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</si>
  <si>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</si>
  <si>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</si>
  <si>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</si>
  <si>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</si>
  <si>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</si>
  <si>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</si>
  <si>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</si>
  <si>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</si>
  <si>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</si>
  <si>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</si>
  <si>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</si>
  <si>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</si>
  <si>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</si>
  <si>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</si>
  <si>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</si>
  <si>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</si>
  <si>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</si>
  <si>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</si>
  <si>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</si>
  <si>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</si>
  <si>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</si>
  <si>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</si>
  <si>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</si>
  <si>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</si>
  <si>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</si>
  <si>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</si>
  <si>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</si>
  <si>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</si>
  <si>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</si>
  <si>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</si>
  <si>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</si>
  <si>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</si>
  <si>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</si>
  <si>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</si>
  <si>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</si>
  <si>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</si>
  <si>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</si>
  <si>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</si>
  <si>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</si>
  <si>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</si>
  <si>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</si>
  <si>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</si>
  <si>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</si>
  <si>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</si>
  <si>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</si>
  <si>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</si>
  <si>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</si>
  <si>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</si>
  <si>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</si>
  <si>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</si>
  <si>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</si>
  <si>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</si>
  <si>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</si>
  <si>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</si>
  <si>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</si>
  <si>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</si>
  <si>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</si>
  <si>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</si>
  <si>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</si>
  <si>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</si>
  <si>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</si>
  <si>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</si>
  <si>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</si>
  <si>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</si>
  <si>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</si>
  <si>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</si>
  <si>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</si>
  <si>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</si>
  <si>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</si>
  <si>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</si>
  <si>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</si>
  <si>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</si>
  <si>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</si>
  <si>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</si>
  <si>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</si>
  <si>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</si>
  <si>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</si>
  <si>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</si>
  <si>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</si>
  <si>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</si>
  <si>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</si>
  <si>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</si>
  <si>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</si>
  <si>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</si>
  <si>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</si>
  <si>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</si>
  <si>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</si>
  <si>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</si>
  <si>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</si>
  <si>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ИНВОЙС № PLG-A-52 от </t>
  </si>
  <si>
    <t>25D211NA/255158AA</t>
  </si>
  <si>
    <t xml:space="preserve"> 05.09.2025г.</t>
  </si>
  <si>
    <t xml:space="preserve">СПЕЦИФИКАЦИЯ № PLG-A-52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</si>
</sst>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139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149</v>
      </c>
      <c r="B6" s="142"/>
      <c r="C6" s="142"/>
      <c r="D6" s="142"/>
      <c r="E6" s="142"/>
      <c r="F6" s="7"/>
      <c r="G6" s="141" t="s">
        <v>140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150</v>
      </c>
      <c r="B7" s="142"/>
      <c r="C7" s="142"/>
      <c r="D7" s="142"/>
      <c r="E7" s="142"/>
      <c r="F7" s="63"/>
      <c r="G7" s="141" t="s">
        <v>141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145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139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149</v>
      </c>
      <c r="B15" s="142"/>
      <c r="C15" s="142"/>
      <c r="D15" s="142"/>
      <c r="E15" s="142"/>
      <c r="F15" s="7"/>
      <c r="G15" s="141" t="s">
        <v>140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150</v>
      </c>
      <c r="B16" s="142"/>
      <c r="C16" s="142"/>
      <c r="D16" s="142"/>
      <c r="E16" s="142"/>
      <c r="F16" s="63"/>
      <c r="G16" s="141" t="s">
        <v>141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145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120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2800</v>
      </c>
      <c r="F30" s="110" t="s">
        <v>27</v>
      </c>
      <c r="G30" s="106">
        <v>22400</v>
      </c>
      <c r="H30" s="106">
        <v>20440</v>
      </c>
      <c r="I30" s="108">
        <v>1</v>
      </c>
      <c r="J30" s="13">
        <f t="shared" ref="J30" si="0">H30*I30</f>
        <v>20440</v>
      </c>
      <c r="K30" s="12">
        <v>0</v>
      </c>
      <c r="L30" s="12">
        <v>0</v>
      </c>
      <c r="M30" s="13">
        <f t="shared" ref="M30" si="1">J30</f>
        <v>20440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2800</v>
      </c>
      <c r="F31" s="15"/>
      <c r="G31" s="64">
        <f>SUM(G30:G30)</f>
        <v>22400</v>
      </c>
      <c r="H31" s="64">
        <f>SUM(H30:H30)</f>
        <v>20440</v>
      </c>
      <c r="I31" s="102"/>
      <c r="J31" s="17">
        <f>SUM(J30:J30)</f>
        <v>20440</v>
      </c>
      <c r="K31" s="16"/>
      <c r="L31" s="16"/>
      <c r="M31" s="17">
        <f>SUM(M30:M30)</f>
        <v>20440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четыреста сорок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PLG-A-52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2800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25D211NA/255158AA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K39" sqref="K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25D211NA/255158AA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PLG-A-52 от  05.09.2025г.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2800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22400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2800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05.09.2025г.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25D211NA/255158AA</v>
      </c>
      <c r="F26" s="140"/>
      <c r="G26" s="140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3.8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2800</v>
      </c>
      <c r="F30" s="116" t="str">
        <f>+Инвойс!F30</f>
        <v>кг</v>
      </c>
      <c r="G30" s="106">
        <f>+Инвойс!G30</f>
        <v>22400</v>
      </c>
      <c r="H30" s="106">
        <f>+Инвойс!H30</f>
        <v>20440</v>
      </c>
      <c r="I30" s="108">
        <f>+Инвойс!I30</f>
        <v>1</v>
      </c>
      <c r="J30" s="13">
        <f>+Инвойс!J30</f>
        <v>20440</v>
      </c>
      <c r="K30" s="12">
        <v>0</v>
      </c>
      <c r="L30" s="12">
        <v>0</v>
      </c>
      <c r="M30" s="13">
        <f>+Инвойс!M30</f>
        <v>20440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2800</v>
      </c>
      <c r="F31" s="15"/>
      <c r="G31" s="64">
        <f>SUM(G30:G30)</f>
        <v>22400</v>
      </c>
      <c r="H31" s="64">
        <f>SUM(H30:H30)</f>
        <v>20440</v>
      </c>
      <c r="I31" s="102"/>
      <c r="J31" s="17">
        <f>SUM(J30:J30)</f>
        <v>20440</v>
      </c>
      <c r="K31" s="16"/>
      <c r="L31" s="16"/>
      <c r="M31" s="17">
        <f>SUM(M30:M30)</f>
        <v>20440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четыреста сорок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156</v>
      </c>
      <c r="B36" s="131"/>
      <c r="D36" s="18" t="str">
        <f>+Инвойс!D36</f>
        <v>Юнусов Х.Р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158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157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20440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четыреста сорок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четыреста сорок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четыреста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четыреста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сорок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20440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2044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20440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2025-09-05T07:32:15Z</cp:lastPrinted>
  <dcterms:created xsi:type="dcterms:W3CDTF">1996-10-14T23:33:28Z</dcterms:created>
  <dcterms:modified xsi:type="dcterms:W3CDTF">2025-09-05T07:32:46Z</dcterms:modified>
</cp:coreProperties>
</file>