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B6D3AA5-02FC-4497-B157-18F5CC3B6E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<sst xmlns="http://schemas.openxmlformats.org/spreadsheetml/2006/main" count="209" uniqueCount="171">
  <si>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</si>
  <si>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</si>
  <si>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</si>
  <si>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</si>
  <si>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</si>
  <si>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</si>
  <si>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</si>
  <si>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</si>
  <si>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</si>
  <si>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</si>
  <si>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</si>
  <si>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</si>
  <si>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</si>
  <si>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</si>
  <si>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</si>
  <si>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</si>
  <si>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</si>
  <si>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</si>
  <si>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</si>
  <si>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</si>
  <si>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</si>
  <si>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</si>
  <si>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</si>
  <si>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</si>
  <si>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</si>
  <si>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</si>
  <si>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</si>
  <si>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</si>
  <si>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</si>
  <si>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</si>
  <si>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</si>
  <si>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</si>
  <si>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</si>
  <si>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</si>
  <si>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</si>
  <si>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</si>
  <si>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</si>
  <si>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</si>
  <si>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</si>
  <si>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</si>
  <si>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</si>
  <si>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</si>
  <si>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</si>
  <si>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</si>
  <si>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</si>
  <si>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</si>
  <si>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</si>
  <si>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</si>
  <si>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</si>
  <si>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</si>
  <si>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</si>
  <si>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</si>
  <si>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</si>
  <si>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</si>
  <si>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</si>
  <si>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</si>
  <si>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</si>
  <si>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</si>
  <si>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</si>
  <si>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</si>
  <si>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</si>
  <si>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</si>
  <si>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</si>
  <si>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</si>
  <si>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</si>
  <si>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</si>
  <si>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</si>
  <si>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</si>
  <si>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</si>
  <si>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</si>
  <si>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</si>
  <si>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</si>
  <si>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</si>
  <si>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</si>
  <si>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</si>
  <si>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</si>
  <si>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</si>
  <si>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</si>
  <si>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</si>
  <si>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</si>
  <si>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</si>
  <si>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</si>
  <si>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</si>
  <si>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</si>
  <si>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</si>
  <si>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</si>
  <si>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</si>
  <si>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</si>
  <si>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</si>
  <si>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</si>
  <si>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</si>
  <si>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</si>
  <si>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</si>
  <si>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</si>
  <si>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</si>
  <si>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</si>
  <si>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</si>
  <si>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</si>
  <si>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</si>
  <si>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</si>
  <si>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</si>
  <si>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</si>
  <si>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</si>
  <si>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</si>
  <si>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</si>
  <si>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</si>
  <si>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</si>
  <si>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</si>
  <si>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</si>
  <si>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</si>
  <si>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</si>
  <si>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</si>
  <si>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</si>
  <si>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</si>
  <si>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</si>
  <si>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</si>
  <si>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</si>
  <si>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</si>
  <si>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</si>
  <si>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</si>
  <si>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</si>
  <si>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</si>
  <si>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</si>
  <si>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</si>
  <si>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</si>
  <si>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</si>
  <si>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</si>
  <si>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</si>
  <si>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</si>
  <si>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</si>
  <si>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</si>
  <si>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</si>
  <si>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</si>
  <si>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</si>
  <si>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</si>
  <si>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</si>
  <si>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</si>
  <si>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</si>
  <si>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</si>
  <si>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</si>
  <si>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</si>
  <si>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</si>
  <si>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</si>
  <si>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</si>
  <si>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</si>
  <si>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</si>
  <si>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</si>
  <si>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</si>
  <si>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"МАНГО"</t>
  </si>
  <si>
    <t xml:space="preserve">117447, Город Москва, ул Дмитрия Ульянова, </t>
  </si>
  <si>
    <t>д. 35, стр. 1, помещ. 17/2</t>
  </si>
  <si>
    <t>ИНН: 7703821282 КПП: 772701001</t>
  </si>
  <si>
    <t>Валютный счет USD: 40702840900000003367</t>
  </si>
  <si>
    <t>Корр. счет: 30101810445250000234</t>
  </si>
  <si>
    <t xml:space="preserve">Азия-Инвест Банк (АО) БИК банка 044525234 </t>
  </si>
  <si>
    <t>(SWIFT code: NBFAUZ2X)</t>
  </si>
  <si>
    <t>Ульянов А.В</t>
  </si>
  <si>
    <t>к контракту № EX0908-VIS от 09.08.2025 года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</si>
  <si>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</si>
  <si>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</si>
  <si>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</si>
  <si>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</si>
  <si>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</si>
  <si>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</si>
  <si>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</si>
  <si>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</si>
  <si>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</si>
  <si>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</si>
  <si>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 xml:space="preserve">ИНВОЙС № VM-N-13 от </t>
  </si>
  <si>
    <t>80273KBA/807710AA</t>
  </si>
  <si>
    <t xml:space="preserve">СПЕЦИФИКАЦИЯ № VM-N-13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</si>
</sst>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179295</xdr:colOff>
      <xdr:row>36</xdr:row>
      <xdr:rowOff>179294</xdr:rowOff>
    </xdr:from>
    <xdr:to>
      <xdr:col>10</xdr:col>
      <xdr:colOff>44264</xdr:colOff>
      <xdr:row>50</xdr:row>
      <xdr:rowOff>40902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854" y="19397382"/>
          <a:ext cx="2397498" cy="222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44823</xdr:colOff>
      <xdr:row>36</xdr:row>
      <xdr:rowOff>70736</xdr:rowOff>
    </xdr:from>
    <xdr:to>
      <xdr:col>12</xdr:col>
      <xdr:colOff>750794</xdr:colOff>
      <xdr:row>40</xdr:row>
      <xdr:rowOff>117661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1911" y="19288824"/>
          <a:ext cx="1187824" cy="80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168</v>
      </c>
      <c r="D1" s="134"/>
      <c r="E1" s="134"/>
      <c r="F1" s="133" t="s">
        <v>167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158</v>
      </c>
      <c r="B5" s="135"/>
      <c r="C5" s="135"/>
      <c r="D5" s="135"/>
      <c r="E5" s="135"/>
      <c r="F5" s="6"/>
      <c r="G5" s="137" t="s">
        <v>148</v>
      </c>
      <c r="H5" s="137"/>
      <c r="I5" s="137"/>
      <c r="J5" s="137"/>
      <c r="K5" s="137"/>
      <c r="L5" s="137"/>
      <c r="M5" s="137"/>
    </row>
    <row r="6" spans="1:15" ht="15" x14ac:dyDescent="0.25">
      <c r="A6" s="141" t="s">
        <v>159</v>
      </c>
      <c r="B6" s="142"/>
      <c r="C6" s="142"/>
      <c r="D6" s="142"/>
      <c r="E6" s="142"/>
      <c r="F6" s="7"/>
      <c r="G6" s="139" t="s">
        <v>149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166</v>
      </c>
      <c r="B7" s="142"/>
      <c r="C7" s="142"/>
      <c r="D7" s="142"/>
      <c r="E7" s="142"/>
      <c r="F7" s="63"/>
      <c r="G7" s="139" t="s">
        <v>150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160</v>
      </c>
      <c r="B8" s="8"/>
      <c r="C8" s="8"/>
      <c r="D8" s="8"/>
      <c r="E8" s="8"/>
      <c r="F8" s="63"/>
      <c r="G8" s="7" t="s">
        <v>151</v>
      </c>
      <c r="H8" s="23"/>
      <c r="I8" s="23"/>
      <c r="J8" s="23"/>
      <c r="K8" s="23"/>
      <c r="L8" s="23"/>
      <c r="M8" s="23"/>
    </row>
    <row r="9" spans="1:15" ht="15" x14ac:dyDescent="0.25">
      <c r="A9" s="8" t="s">
        <v>161</v>
      </c>
      <c r="B9" s="8"/>
      <c r="C9" s="8"/>
      <c r="D9" s="8"/>
      <c r="E9" s="8"/>
      <c r="F9" s="7"/>
      <c r="G9" s="7" t="s">
        <v>152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162</v>
      </c>
      <c r="B10" s="124"/>
      <c r="C10" s="124"/>
      <c r="D10" s="124"/>
      <c r="E10" s="124"/>
      <c r="F10" s="7"/>
      <c r="G10" s="7" t="s">
        <v>153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163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155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158</v>
      </c>
      <c r="B14" s="135"/>
      <c r="C14" s="135"/>
      <c r="D14" s="135"/>
      <c r="E14" s="135"/>
      <c r="F14" s="6"/>
      <c r="G14" s="137" t="s">
        <v>125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159</v>
      </c>
      <c r="B15" s="142"/>
      <c r="C15" s="142"/>
      <c r="D15" s="142"/>
      <c r="E15" s="142"/>
      <c r="F15" s="7"/>
      <c r="G15" s="139" t="s">
        <v>126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166</v>
      </c>
      <c r="B16" s="142"/>
      <c r="C16" s="142"/>
      <c r="D16" s="142"/>
      <c r="E16" s="142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160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161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162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0" t="s">
        <v>134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75" x14ac:dyDescent="0.25">
      <c r="A24" s="20" t="s">
        <v>22</v>
      </c>
      <c r="C24" s="18" t="s">
        <v>147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169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133</v>
      </c>
      <c r="C30" s="107" t="s">
        <v>132</v>
      </c>
      <c r="D30" s="109" t="s">
        <v>112</v>
      </c>
      <c r="E30" s="101">
        <v>1953</v>
      </c>
      <c r="F30" s="115" t="s">
        <v>27</v>
      </c>
      <c r="G30" s="106">
        <v>22600</v>
      </c>
      <c r="H30" s="106">
        <v>21233</v>
      </c>
      <c r="I30" s="108">
        <v>1.2</v>
      </c>
      <c r="J30" s="13">
        <f t="shared" ref="J30" si="0">H30*I30</f>
        <v>25479.599999999999</v>
      </c>
      <c r="K30" s="12">
        <v>0</v>
      </c>
      <c r="L30" s="12">
        <v>0</v>
      </c>
      <c r="M30" s="13">
        <f t="shared" ref="M30" si="1">J30</f>
        <v>25479.599999999999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1953</v>
      </c>
      <c r="F31" s="15"/>
      <c r="G31" s="64">
        <f>SUM(G30:G30)</f>
        <v>22600</v>
      </c>
      <c r="H31" s="64">
        <f>SUM(H30:H30)</f>
        <v>21233</v>
      </c>
      <c r="I31" s="102"/>
      <c r="J31" s="17">
        <f>SUM(J30:J30)</f>
        <v>25479.599999999999</v>
      </c>
      <c r="K31" s="16"/>
      <c r="L31" s="16"/>
      <c r="M31" s="17">
        <f>SUM(M30:M30)</f>
        <v>25479.599999999999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Двадцать пять тысяч четыреста семьдесят девять долларов США, 60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110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164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"МАНГО"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VM-N-13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1953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80273KBA/807710AA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80273KBA/807710AA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VM-N-13 от  25.08.2025г.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1953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1953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170</v>
      </c>
      <c r="C1" s="172"/>
      <c r="D1" s="172"/>
      <c r="E1" s="172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EX0908-VIS от 09.08.2025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"МАНГО"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117447, Город Москва, ул Дмитрия Ульянова,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д. 35, стр. 1, помещ. 17/2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ИНН: 7703821282 КПП: 772701001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Валютный счет USD: 40702840900000003367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 xml:space="preserve">Азия-Инвест Банк (АО) БИК банка 044525234 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135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80273KBA/807710AA</v>
      </c>
      <c r="F26" s="155"/>
      <c r="G26" s="155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15" x14ac:dyDescent="0.2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1953</v>
      </c>
      <c r="F30" s="115" t="str">
        <f>+Инвойс!F30</f>
        <v>кг</v>
      </c>
      <c r="G30" s="106">
        <f>+Инвойс!G30</f>
        <v>22600</v>
      </c>
      <c r="H30" s="106">
        <f>+Инвойс!H30</f>
        <v>21233</v>
      </c>
      <c r="I30" s="108">
        <f>+Инвойс!I30</f>
        <v>1.2</v>
      </c>
      <c r="J30" s="13">
        <f>+Инвойс!J30</f>
        <v>25479.599999999999</v>
      </c>
      <c r="K30" s="12">
        <v>0</v>
      </c>
      <c r="L30" s="12">
        <v>0</v>
      </c>
      <c r="M30" s="13">
        <f>+Инвойс!M30</f>
        <v>25479.599999999999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1953</v>
      </c>
      <c r="F31" s="15"/>
      <c r="G31" s="64">
        <f>SUM(G30:G30)</f>
        <v>22600</v>
      </c>
      <c r="H31" s="64">
        <f>SUM(H30:H30)</f>
        <v>21233</v>
      </c>
      <c r="I31" s="102"/>
      <c r="J31" s="17">
        <f>SUM(J30:J30)</f>
        <v>25479.599999999999</v>
      </c>
      <c r="K31" s="16"/>
      <c r="L31" s="16"/>
      <c r="M31" s="17">
        <f>SUM(M30:M30)</f>
        <v>25479.599999999999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Двадцать пять тысяч четыреста семьдесят девять долларов США, 60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165</v>
      </c>
      <c r="B36" s="130"/>
      <c r="D36" s="18" t="str">
        <f>+Инвойс!D36</f>
        <v>Авазов К.Ф</v>
      </c>
      <c r="E36" s="131"/>
      <c r="G36" s="128" t="s">
        <v>139</v>
      </c>
      <c r="H36" s="18" t="str">
        <f>Инвойс!G5</f>
        <v>ООО "МАНГО"</v>
      </c>
      <c r="K36" s="132" t="s">
        <v>156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"/>
    </sheetView>
  </sheetViews>
  <sheetFormatPr defaultRowHeight="12.75" x14ac:dyDescent="0.2"/>
  <cols>
    <col min="1" max="1" width="48.7109375" bestFit="1" customWidth="1"/>
  </cols>
  <sheetData>
    <row r="1" spans="1:9" ht="38.25" x14ac:dyDescent="0.2">
      <c r="A1" s="125" t="s">
        <v>117</v>
      </c>
    </row>
    <row r="2" spans="1:9" x14ac:dyDescent="0.2">
      <c r="D2" s="18" t="s">
        <v>138</v>
      </c>
      <c r="I2" s="25" t="s">
        <v>141</v>
      </c>
    </row>
    <row r="3" spans="1:9" ht="51" x14ac:dyDescent="0.2">
      <c r="A3" s="129" t="s">
        <v>137</v>
      </c>
    </row>
    <row r="4" spans="1:9" x14ac:dyDescent="0.2">
      <c r="D4" s="18" t="s">
        <v>147</v>
      </c>
      <c r="I4" s="25" t="s">
        <v>142</v>
      </c>
    </row>
    <row r="5" spans="1:9" ht="38.25" x14ac:dyDescent="0.2">
      <c r="A5" s="125" t="s">
        <v>118</v>
      </c>
    </row>
    <row r="6" spans="1:9" x14ac:dyDescent="0.2">
      <c r="D6" s="18" t="s">
        <v>143</v>
      </c>
      <c r="I6" s="25" t="s">
        <v>144</v>
      </c>
    </row>
    <row r="7" spans="1:9" ht="51" x14ac:dyDescent="0.2">
      <c r="A7" s="125" t="s">
        <v>119</v>
      </c>
    </row>
    <row r="8" spans="1:9" x14ac:dyDescent="0.2">
      <c r="D8" s="18" t="s">
        <v>145</v>
      </c>
      <c r="I8" s="25" t="s">
        <v>146</v>
      </c>
    </row>
    <row r="9" spans="1:9" ht="51" x14ac:dyDescent="0.2">
      <c r="A9" s="125" t="s">
        <v>120</v>
      </c>
    </row>
    <row r="10" spans="1:9" x14ac:dyDescent="0.2">
      <c r="A10" s="125"/>
    </row>
    <row r="11" spans="1:9" ht="51" x14ac:dyDescent="0.2">
      <c r="A11" s="125" t="s">
        <v>121</v>
      </c>
    </row>
    <row r="13" spans="1:9" ht="51" x14ac:dyDescent="0.2">
      <c r="A13" s="125" t="s">
        <v>122</v>
      </c>
    </row>
    <row r="15" spans="1:9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25479.599999999999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четыреста семьдесят девять долларов США, 60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45894</v>
      </c>
      <c r="O3" s="176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пять тысяч четыреста семьдесят девять долларов США, 60 центов. (в т.ч. НДС - 357,79)</v>
      </c>
      <c r="H4" s="32"/>
      <c r="I4" s="32"/>
      <c r="J4" s="32"/>
      <c r="K4" s="177" t="str">
        <f ca="1">CONCATENATE(" «  ",P3,"  »  ",Q3,"  ",R3," г.")</f>
        <v xml:space="preserve"> «  25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четыреста семьдесят девять долларов США, 60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четыреста семьдесят девять долларов США, 60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семьдесят девять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60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25479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2547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25479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479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2025-08-25T04:39:33Z</cp:lastPrinted>
  <dcterms:created xsi:type="dcterms:W3CDTF">1996-10-14T23:33:28Z</dcterms:created>
  <dcterms:modified xsi:type="dcterms:W3CDTF">2025-08-25T04:39:38Z</dcterms:modified>
</cp:coreProperties>
</file>