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C2A5DFD-8C9D-4B85-92C8-7A4AADD431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<sst xmlns="http://schemas.openxmlformats.org/spreadsheetml/2006/main" count="209" uniqueCount="163">
  <si>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</si>
  <si>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</si>
  <si>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</si>
  <si>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</si>
  <si>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</si>
  <si>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</si>
  <si>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</si>
  <si>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</si>
  <si>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</si>
  <si>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</si>
  <si>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</si>
  <si>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</si>
  <si>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</si>
  <si>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</si>
  <si>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</si>
  <si>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</si>
  <si>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</si>
  <si>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</si>
  <si>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</si>
  <si>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</si>
  <si>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</si>
  <si>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</si>
  <si>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</si>
  <si>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</si>
  <si>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</si>
  <si>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</si>
  <si>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</si>
  <si>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</si>
  <si>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</si>
  <si>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</si>
  <si>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</si>
  <si>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</si>
  <si>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</si>
  <si>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</si>
  <si>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</si>
  <si>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</si>
  <si>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</si>
  <si>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</si>
  <si>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</si>
  <si>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</si>
  <si>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</si>
  <si>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</si>
  <si>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</si>
  <si>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</si>
  <si>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</si>
  <si>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</si>
  <si>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</si>
  <si>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</si>
  <si>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</si>
  <si>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</si>
  <si>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</si>
  <si>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</si>
  <si>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</si>
  <si>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</si>
  <si>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</si>
  <si>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</si>
  <si>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</si>
  <si>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</si>
  <si>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</si>
  <si>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</si>
  <si>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</si>
  <si>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</si>
  <si>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</si>
  <si>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</si>
  <si>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</si>
  <si>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</si>
  <si>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</si>
  <si>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</si>
  <si>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</si>
  <si>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</si>
  <si>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</si>
  <si>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</si>
  <si>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</si>
  <si>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</si>
  <si>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</si>
  <si>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</si>
  <si>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</si>
  <si>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</si>
  <si>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</si>
  <si>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</si>
  <si>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</si>
  <si>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</si>
  <si>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</si>
  <si>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</si>
  <si>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</si>
  <si>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</si>
  <si>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</si>
  <si>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</si>
  <si>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</si>
  <si>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</si>
  <si>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</si>
  <si>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</si>
  <si>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</si>
  <si>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</si>
  <si>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</si>
  <si>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</si>
  <si>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</si>
  <si>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</si>
  <si>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</si>
  <si>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</si>
  <si>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</si>
  <si>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</si>
  <si>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</si>
  <si>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</si>
  <si>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</si>
  <si>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</si>
  <si>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</si>
  <si>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</si>
  <si>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</si>
  <si>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</si>
  <si>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</si>
  <si>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</si>
  <si>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</si>
  <si>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</si>
  <si>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</si>
  <si>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</si>
  <si>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</si>
  <si>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</si>
  <si>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</si>
  <si>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</si>
  <si>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</si>
  <si>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</si>
  <si>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</si>
  <si>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</si>
  <si>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</si>
  <si>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</si>
  <si>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</si>
  <si>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</si>
  <si>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</si>
  <si>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</si>
  <si>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</si>
  <si>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</si>
  <si>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</si>
  <si>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</si>
  <si>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</si>
  <si>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</si>
  <si>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</si>
  <si>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</si>
  <si>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</si>
  <si>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</si>
  <si>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</si>
  <si>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</si>
  <si>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</si>
  <si>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</si>
  <si>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</si>
  <si>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</si>
  <si>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</si>
  <si>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</si>
  <si>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</si>
  <si>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</si>
  <si>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</si>
  <si>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</si>
  <si>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</si>
  <si>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</si>
  <si>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</si>
  <si>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</si>
  <si>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</si>
  <si>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Енисейская, 87А код поста 10504080   ООО "ГРИН ВОРЛД" 
RU/0237/2 от 27.12.2024</t>
  </si>
  <si>
    <t xml:space="preserve"> 01.09.2025г.</t>
  </si>
  <si>
    <t xml:space="preserve">ИНВОЙС № VG-O-2 от </t>
  </si>
  <si>
    <t>90P200CA/905068BA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</si>
  <si>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</si>
  <si>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 xml:space="preserve">СПЕЦИФИКАЦИЯ № VG-O-2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</si>
</sst>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179294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159</v>
      </c>
      <c r="D1" s="153"/>
      <c r="E1" s="153"/>
      <c r="F1" s="152" t="s">
        <v>158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139</v>
      </c>
      <c r="B5" s="154"/>
      <c r="C5" s="154"/>
      <c r="D5" s="154"/>
      <c r="E5" s="154"/>
      <c r="F5" s="6"/>
      <c r="G5" s="147" t="s">
        <v>149</v>
      </c>
      <c r="H5" s="147"/>
      <c r="I5" s="147"/>
      <c r="J5" s="147"/>
      <c r="K5" s="147"/>
      <c r="L5" s="147"/>
      <c r="M5" s="147"/>
    </row>
    <row r="6" spans="1:15" ht="15" x14ac:dyDescent="0.25">
      <c r="A6" s="142" t="s">
        <v>140</v>
      </c>
      <c r="B6" s="141"/>
      <c r="C6" s="141"/>
      <c r="D6" s="141"/>
      <c r="E6" s="141"/>
      <c r="F6" s="7"/>
      <c r="G6" s="140" t="s">
        <v>150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147</v>
      </c>
      <c r="B7" s="141"/>
      <c r="C7" s="141"/>
      <c r="D7" s="141"/>
      <c r="E7" s="141"/>
      <c r="F7" s="63"/>
      <c r="G7" s="140" t="s">
        <v>151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141</v>
      </c>
      <c r="B8" s="8"/>
      <c r="C8" s="8"/>
      <c r="D8" s="8"/>
      <c r="E8" s="8"/>
      <c r="F8" s="63"/>
      <c r="G8" s="7" t="s">
        <v>152</v>
      </c>
      <c r="H8" s="23"/>
      <c r="I8" s="23"/>
      <c r="J8" s="23"/>
      <c r="K8" s="23"/>
      <c r="L8" s="23"/>
      <c r="M8" s="23"/>
    </row>
    <row r="9" spans="1:15" ht="15" x14ac:dyDescent="0.25">
      <c r="A9" s="8" t="s">
        <v>142</v>
      </c>
      <c r="B9" s="8"/>
      <c r="C9" s="8"/>
      <c r="D9" s="8"/>
      <c r="E9" s="8"/>
      <c r="F9" s="7"/>
      <c r="G9" s="7" t="s">
        <v>153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143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144</v>
      </c>
      <c r="B11" s="8"/>
      <c r="C11" s="8"/>
      <c r="D11" s="8"/>
      <c r="E11" s="8"/>
      <c r="F11" s="7"/>
      <c r="G11" s="7" t="s">
        <v>154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155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139</v>
      </c>
      <c r="B14" s="154"/>
      <c r="C14" s="154"/>
      <c r="D14" s="154"/>
      <c r="E14" s="154"/>
      <c r="F14" s="6"/>
      <c r="G14" s="147" t="s">
        <v>149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140</v>
      </c>
      <c r="B15" s="141"/>
      <c r="C15" s="141"/>
      <c r="D15" s="141"/>
      <c r="E15" s="141"/>
      <c r="F15" s="7"/>
      <c r="G15" s="140" t="s">
        <v>150</v>
      </c>
      <c r="H15" s="140"/>
      <c r="I15" s="140"/>
      <c r="J15" s="140"/>
      <c r="K15" s="140"/>
      <c r="L15" s="140"/>
      <c r="M15" s="140"/>
    </row>
    <row r="16" spans="1:15" ht="15" x14ac:dyDescent="0.25">
      <c r="A16" s="141" t="s">
        <v>147</v>
      </c>
      <c r="B16" s="141"/>
      <c r="C16" s="141"/>
      <c r="D16" s="141"/>
      <c r="E16" s="141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141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142</v>
      </c>
      <c r="B18" s="8"/>
      <c r="C18" s="8"/>
      <c r="D18" s="8"/>
      <c r="E18" s="8"/>
      <c r="F18" s="7"/>
      <c r="G18" s="7" t="s">
        <v>153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143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144</v>
      </c>
      <c r="B20" s="8"/>
      <c r="C20" s="8"/>
      <c r="D20" s="8"/>
      <c r="E20" s="8"/>
      <c r="F20" s="7"/>
      <c r="G20" s="7" t="s">
        <v>154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155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0" t="s">
        <v>127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75" x14ac:dyDescent="0.25">
      <c r="A24" s="20" t="s">
        <v>22</v>
      </c>
      <c r="C24" s="18" t="s">
        <v>135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160</v>
      </c>
      <c r="F26" s="139"/>
      <c r="G26" s="139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123</v>
      </c>
      <c r="C30" s="107" t="s">
        <v>122</v>
      </c>
      <c r="D30" s="109" t="s">
        <v>110</v>
      </c>
      <c r="E30" s="101">
        <v>2304</v>
      </c>
      <c r="F30" s="115" t="s">
        <v>27</v>
      </c>
      <c r="G30" s="106">
        <v>22600</v>
      </c>
      <c r="H30" s="106">
        <v>20987</v>
      </c>
      <c r="I30" s="108">
        <v>1</v>
      </c>
      <c r="J30" s="13">
        <f t="shared" ref="J30" si="0">H30*I30</f>
        <v>20987</v>
      </c>
      <c r="K30" s="12">
        <v>0</v>
      </c>
      <c r="L30" s="12">
        <v>0</v>
      </c>
      <c r="M30" s="13">
        <f t="shared" ref="M30" si="1">J30</f>
        <v>20987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2304</v>
      </c>
      <c r="F31" s="15"/>
      <c r="G31" s="64">
        <f>SUM(G30:G30)</f>
        <v>22600</v>
      </c>
      <c r="H31" s="64">
        <f>SUM(H30:H30)</f>
        <v>20987</v>
      </c>
      <c r="I31" s="102"/>
      <c r="J31" s="17">
        <f>SUM(J30:J30)</f>
        <v>20987</v>
      </c>
      <c r="K31" s="16"/>
      <c r="L31" s="16"/>
      <c r="M31" s="17">
        <f>SUM(M30:M30)</f>
        <v>20987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Двадцать тысяч девятьсот восемьдесят семь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161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145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VG-O-2 от  01.09.2025г.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2304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9" t="str">
        <f>+C22</f>
        <v xml:space="preserve"> 01.09.2025г.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90P200CA/905068BA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90P200CA/905068BA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VG-O-2 от  01.09.2025г.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2304</v>
      </c>
      <c r="G18" s="162" t="str">
        <f>+CMR!F30</f>
        <v>Виноград свежий столовых сортов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22600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2304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52" t="str">
        <f>+Инвойс!F1</f>
        <v xml:space="preserve"> 01.09.2025г.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GR-VT-01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ООО «VISTOTRADE»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ООО «VISTOTRADE»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125</v>
      </c>
      <c r="C22" s="65"/>
      <c r="F22" s="1"/>
    </row>
    <row r="23" spans="1:17" ht="26.25" hidden="1" customHeight="1" x14ac:dyDescent="0.2">
      <c r="A23" s="69" t="s">
        <v>87</v>
      </c>
      <c r="B23" s="68"/>
      <c r="C23" s="137" t="s">
        <v>114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90P200CA/905068BA</v>
      </c>
      <c r="F26" s="139"/>
      <c r="G26" s="139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15" x14ac:dyDescent="0.2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2304</v>
      </c>
      <c r="F30" s="115" t="str">
        <f>+Инвойс!F30</f>
        <v>кг</v>
      </c>
      <c r="G30" s="106">
        <f>+Инвойс!G30</f>
        <v>22600</v>
      </c>
      <c r="H30" s="106">
        <f>+Инвойс!H30</f>
        <v>20987</v>
      </c>
      <c r="I30" s="108">
        <f>+Инвойс!I30</f>
        <v>1</v>
      </c>
      <c r="J30" s="13">
        <f>+Инвойс!J30</f>
        <v>20987</v>
      </c>
      <c r="K30" s="12">
        <v>0</v>
      </c>
      <c r="L30" s="12">
        <v>0</v>
      </c>
      <c r="M30" s="13">
        <f>+Инвойс!M30</f>
        <v>20987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2304</v>
      </c>
      <c r="F31" s="15"/>
      <c r="G31" s="64">
        <f>SUM(G30:G30)</f>
        <v>22600</v>
      </c>
      <c r="H31" s="64">
        <f>SUM(H30:H30)</f>
        <v>20987</v>
      </c>
      <c r="I31" s="102"/>
      <c r="J31" s="17">
        <f>SUM(J30:J30)</f>
        <v>20987</v>
      </c>
      <c r="K31" s="16"/>
      <c r="L31" s="16"/>
      <c r="M31" s="17">
        <f>SUM(M30:M30)</f>
        <v>20987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Двадцать тысяч девятьсот восемьдесят семь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146</v>
      </c>
      <c r="B36" s="130"/>
      <c r="D36" s="18" t="str">
        <f>+Инвойс!D36</f>
        <v>Авазов К.Ф</v>
      </c>
      <c r="E36" s="131"/>
      <c r="G36" s="128" t="s">
        <v>129</v>
      </c>
      <c r="H36" s="18" t="str">
        <f>Инвойс!G5</f>
        <v>ООО «ГРИН ВОРЛД»</v>
      </c>
      <c r="K36" s="132" t="s">
        <v>156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115</v>
      </c>
    </row>
    <row r="3" spans="1:10" ht="51" x14ac:dyDescent="0.2">
      <c r="A3" s="129" t="s">
        <v>127</v>
      </c>
    </row>
    <row r="5" spans="1:10" ht="38.25" x14ac:dyDescent="0.2">
      <c r="A5" s="125" t="s">
        <v>116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5" t="s">
        <v>117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133</v>
      </c>
      <c r="J10" s="25" t="s">
        <v>134</v>
      </c>
    </row>
    <row r="11" spans="1:10" ht="51" x14ac:dyDescent="0.2">
      <c r="A11" s="125" t="s">
        <v>157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124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20987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Двадцать тысяч девятьсот восемьдесят 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45901</v>
      </c>
      <c r="O3" s="176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Двадцать тысяч девятьсот восемьдесят 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  »  сентября  2025 г.</v>
      </c>
      <c r="L4" s="177"/>
      <c r="M4" s="177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двадцать тысяч девятьсот восемьдесят 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двадцать тысяч девятьсот восемьдесят 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девятьсот восемьдесят семь долларов США, 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20987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209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">
      <c r="A28" s="54">
        <f>TRUNC(A29/10)</f>
        <v>2098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">
      <c r="A29" s="54">
        <f>E13</f>
        <v>20987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987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2025-09-01T07:15:13Z</cp:lastPrinted>
  <dcterms:created xsi:type="dcterms:W3CDTF">1996-10-14T23:33:28Z</dcterms:created>
  <dcterms:modified xsi:type="dcterms:W3CDTF">2025-09-01T07:15:19Z</dcterms:modified>
</cp:coreProperties>
</file>