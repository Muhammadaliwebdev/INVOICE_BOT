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0" i="2" l="1"/>
  <c r="M30" i="2" s="1"/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<sst xmlns="http://schemas.openxmlformats.org/spreadsheetml/2006/main" count="202" uniqueCount="164">
  <si>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</si>
  <si>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</si>
  <si>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</si>
  <si>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</si>
  <si>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</si>
  <si>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</si>
  <si>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</si>
  <si>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</si>
  <si>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</si>
  <si>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</si>
  <si>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</si>
  <si>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</si>
  <si>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</si>
  <si>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</si>
  <si>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</si>
  <si>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</si>
  <si>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</si>
  <si>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</si>
  <si>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</si>
  <si>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</si>
  <si>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</si>
  <si>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</si>
  <si>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</si>
  <si>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</si>
  <si>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</si>
  <si>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</si>
  <si>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</si>
  <si>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</si>
  <si>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</si>
  <si>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</si>
  <si>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</si>
  <si>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</si>
  <si>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</si>
  <si>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</si>
  <si>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</si>
  <si>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</si>
  <si>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</si>
  <si>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</si>
  <si>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</si>
  <si>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</si>
  <si>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</si>
  <si>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</si>
  <si>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</si>
  <si>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</si>
  <si>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</si>
  <si>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</si>
  <si>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</si>
  <si>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</si>
  <si>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</si>
  <si>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</si>
  <si>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</si>
  <si>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</si>
  <si>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</si>
  <si>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</si>
  <si>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</si>
  <si>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</si>
  <si>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</si>
  <si>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</si>
  <si>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</si>
  <si>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</si>
  <si>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</si>
  <si>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</si>
  <si>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</si>
  <si>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</si>
  <si>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</si>
  <si>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</si>
  <si>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</si>
  <si>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</si>
  <si>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</si>
  <si>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</si>
  <si>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</si>
  <si>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</si>
  <si>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</si>
  <si>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</si>
  <si>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</si>
  <si>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</si>
  <si>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</si>
  <si>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</si>
  <si>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</si>
  <si>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</si>
  <si>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</si>
  <si>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</si>
  <si>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</si>
  <si>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</si>
  <si>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</si>
  <si>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</si>
  <si>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</si>
  <si>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</si>
  <si>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</si>
  <si>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</si>
  <si>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</si>
  <si>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</si>
  <si>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</si>
  <si>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</si>
  <si>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</si>
  <si>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</si>
  <si>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</si>
  <si>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</si>
  <si>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</si>
  <si>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</si>
  <si>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</si>
  <si>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</si>
  <si>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</si>
  <si>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</si>
  <si>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</si>
  <si>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</si>
  <si>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</si>
  <si>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</si>
  <si>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</si>
  <si>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</si>
  <si>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</si>
  <si>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</si>
  <si>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</si>
  <si>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</si>
  <si>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</si>
  <si>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</si>
  <si>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</si>
  <si>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</si>
  <si>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</si>
  <si>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</si>
  <si>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</si>
  <si>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</si>
  <si>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</si>
  <si>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</si>
  <si>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</si>
  <si>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</si>
  <si>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</si>
  <si>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</si>
  <si>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</si>
  <si>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</si>
  <si>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</si>
  <si>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</si>
  <si>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</si>
  <si>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</si>
  <si>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</si>
  <si>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</si>
  <si>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</si>
  <si>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</si>
  <si>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</si>
  <si>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</si>
  <si>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</si>
  <si>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</si>
  <si>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</si>
  <si>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</si>
  <si>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</si>
  <si>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</si>
  <si>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</si>
  <si>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</si>
  <si>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</si>
  <si>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</si>
  <si>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</si>
  <si>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</si>
  <si>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</si>
  <si>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</si>
  <si>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</si>
  <si>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</si>
  <si>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</si>
  <si>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</si>
  <si>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</si>
  <si>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</si>
  <si>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EXZ-N-21 от </t>
  </si>
  <si>
    <t xml:space="preserve"> 10.09.2025г.</t>
  </si>
  <si>
    <t xml:space="preserve">СПЕЦИФИКАЦИЯ № EXZ-N-21 от </t>
  </si>
  <si>
    <t>30007WAA/300274BA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</si>
</sst>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9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160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141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130</v>
      </c>
      <c r="B5" s="155"/>
      <c r="C5" s="155"/>
      <c r="D5" s="155"/>
      <c r="E5" s="155"/>
      <c r="F5" s="6"/>
      <c r="G5" s="148" t="s">
        <v>142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131</v>
      </c>
      <c r="B6" s="142"/>
      <c r="C6" s="142"/>
      <c r="D6" s="142"/>
      <c r="E6" s="142"/>
      <c r="F6" s="7"/>
      <c r="G6" s="141" t="s">
        <v>143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132</v>
      </c>
      <c r="B7" s="142"/>
      <c r="C7" s="142"/>
      <c r="D7" s="142"/>
      <c r="E7" s="142"/>
      <c r="F7" s="63"/>
      <c r="G7" s="141" t="s">
        <v>144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5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130</v>
      </c>
      <c r="B14" s="155"/>
      <c r="C14" s="155"/>
      <c r="D14" s="155"/>
      <c r="E14" s="155"/>
      <c r="F14" s="6"/>
      <c r="G14" s="148" t="s">
        <v>149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131</v>
      </c>
      <c r="B15" s="142"/>
      <c r="C15" s="142"/>
      <c r="D15" s="142"/>
      <c r="E15" s="142"/>
      <c r="F15" s="7"/>
      <c r="G15" s="141" t="s">
        <v>150</v>
      </c>
      <c r="H15" s="142"/>
      <c r="I15" s="142"/>
      <c r="J15" s="142"/>
      <c r="K15" s="142"/>
      <c r="L15" s="142"/>
      <c r="M15" s="142"/>
    </row>
    <row r="16" spans="1:15" ht="15" x14ac:dyDescent="0.25">
      <c r="A16" s="142" t="s">
        <v>132</v>
      </c>
      <c r="B16" s="142"/>
      <c r="C16" s="142"/>
      <c r="D16" s="142"/>
      <c r="E16" s="142"/>
      <c r="F16" s="63"/>
      <c r="G16" s="141" t="s">
        <v>151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5" x14ac:dyDescent="0.25">
      <c r="A21" s="99" t="s">
        <v>137</v>
      </c>
      <c r="B21" s="8"/>
      <c r="C21" s="8"/>
      <c r="D21" s="8"/>
      <c r="E21" s="8"/>
      <c r="G21" s="144"/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127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163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900</v>
      </c>
      <c r="F30" s="110" t="s">
        <v>27</v>
      </c>
      <c r="G30" s="106">
        <v>22750</v>
      </c>
      <c r="H30" s="106">
        <v>21130</v>
      </c>
      <c r="I30" s="108">
        <v>0.2</v>
      </c>
      <c r="J30" s="13">
        <f t="shared" ref="J30" si="0">H30*I30</f>
        <v>4226</v>
      </c>
      <c r="K30" s="12">
        <v>0</v>
      </c>
      <c r="L30" s="12">
        <v>0</v>
      </c>
      <c r="M30" s="13">
        <f t="shared" ref="M30" si="1">J30</f>
        <v>4226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900</v>
      </c>
      <c r="F31" s="15"/>
      <c r="G31" s="64">
        <f>SUM(G30:G30)</f>
        <v>22750</v>
      </c>
      <c r="H31" s="64">
        <f>SUM(H30:H30)</f>
        <v>21130</v>
      </c>
      <c r="I31" s="102"/>
      <c r="J31" s="17">
        <f>SUM(J30:J30)</f>
        <v>4226</v>
      </c>
      <c r="K31" s="16"/>
      <c r="L31" s="16"/>
      <c r="M31" s="17">
        <f>SUM(M30:M30)</f>
        <v>4226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Четыре тысячи двести двадцать шесть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138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EXZ-N-21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30007WAA/300274BA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30007WAA/300274BA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EXZ-N-21 от  10.09.2025г.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22750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900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162</v>
      </c>
      <c r="C1" s="172"/>
      <c r="D1" s="172"/>
      <c r="E1" s="172"/>
      <c r="F1" s="153" t="str">
        <f>+Инвойс!F1</f>
        <v xml:space="preserve"> 10.09.2025г.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EG-AZ-01 от 05.09.2025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«Аспект»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107497, Россия, г. Москва, вн.тер.г. муниципальный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 xml:space="preserve">округ Гольяново, 2-й Иртышский пр-в, д. 4Б, стр. 3 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9718239835  / 771801001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 xml:space="preserve">Валютный счет доллары  40702840100000005715 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КБ "Максима"(ООО), г. Москва РФ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(SWIFT code: MAXMRUM1XXX)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OOO «Западные ворота»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5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5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5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5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5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30007WAA/300274BA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22750</v>
      </c>
      <c r="H30" s="106">
        <f>+Инвойс!H30</f>
        <v>21130</v>
      </c>
      <c r="I30" s="108">
        <f>+Инвойс!I30</f>
        <v>0.2</v>
      </c>
      <c r="J30" s="13">
        <f>+Инвойс!J30</f>
        <v>4226</v>
      </c>
      <c r="K30" s="12">
        <v>0</v>
      </c>
      <c r="L30" s="12">
        <v>0</v>
      </c>
      <c r="M30" s="13">
        <f>+Инвойс!M30</f>
        <v>4226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900</v>
      </c>
      <c r="F31" s="15"/>
      <c r="G31" s="64">
        <f>SUM(G30:G30)</f>
        <v>22750</v>
      </c>
      <c r="H31" s="64">
        <f>SUM(H30:H30)</f>
        <v>21130</v>
      </c>
      <c r="I31" s="102"/>
      <c r="J31" s="17">
        <f>SUM(J30:J30)</f>
        <v>4226</v>
      </c>
      <c r="K31" s="16"/>
      <c r="L31" s="16"/>
      <c r="M31" s="17">
        <f>SUM(M30:M30)</f>
        <v>4226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Четыре тысячи двести двадцать шесть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127</v>
      </c>
    </row>
    <row r="5" spans="1:10" ht="89.25" x14ac:dyDescent="0.2">
      <c r="A5" s="126" t="s">
        <v>140</v>
      </c>
    </row>
    <row r="6" spans="1:10" x14ac:dyDescent="0.2">
      <c r="E6" s="18"/>
      <c r="J6" s="25"/>
    </row>
    <row r="7" spans="1:10" ht="51" x14ac:dyDescent="0.2">
      <c r="A7" s="126" t="s">
        <v>117</v>
      </c>
    </row>
    <row r="8" spans="1:10" x14ac:dyDescent="0.2">
      <c r="E8" s="18"/>
      <c r="J8" s="25"/>
    </row>
    <row r="9" spans="1:10" ht="51" x14ac:dyDescent="0.2">
      <c r="A9" s="126" t="s">
        <v>118</v>
      </c>
    </row>
    <row r="10" spans="1:10" x14ac:dyDescent="0.2">
      <c r="A10" s="126"/>
      <c r="E10" s="18"/>
      <c r="J10" s="25"/>
    </row>
    <row r="11" spans="1:10" ht="51" x14ac:dyDescent="0.2">
      <c r="A11" s="126" t="s">
        <v>158</v>
      </c>
    </row>
    <row r="12" spans="1:10" x14ac:dyDescent="0.2">
      <c r="E12" s="18"/>
      <c r="J12" s="25"/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4226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двадцать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45910</v>
      </c>
      <c r="O3" s="178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Четыре тысячи двести двадцать шесть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10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двадцать шесть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двадцать шесть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двадцать шесть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4226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4226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226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2025-09-10T04:17:14Z</cp:lastPrinted>
  <dcterms:created xsi:type="dcterms:W3CDTF">1996-10-14T23:33:28Z</dcterms:created>
  <dcterms:modified xsi:type="dcterms:W3CDTF">2025-09-10T04:17:20Z</dcterms:modified>
</cp:coreProperties>
</file>