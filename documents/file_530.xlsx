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<sst xmlns="http://schemas.openxmlformats.org/spreadsheetml/2006/main" count="199" uniqueCount="161">
  <si>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</si>
  <si>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</si>
  <si>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</si>
  <si>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</si>
  <si>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</si>
  <si>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</si>
  <si>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</si>
  <si>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</si>
  <si>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</si>
  <si>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</si>
  <si>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</si>
  <si>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</si>
  <si>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</si>
  <si>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</si>
  <si>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</si>
  <si>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</si>
  <si>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</si>
  <si>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</si>
  <si>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</si>
  <si>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</si>
  <si>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</si>
  <si>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</si>
  <si>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</si>
  <si>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</si>
  <si>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</si>
  <si>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</si>
  <si>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</si>
  <si>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</si>
  <si>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</si>
  <si>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</si>
  <si>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</si>
  <si>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</si>
  <si>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</si>
  <si>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</si>
  <si>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</si>
  <si>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</si>
  <si>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</si>
  <si>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</si>
  <si>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</si>
  <si>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</si>
  <si>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</si>
  <si>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</si>
  <si>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</si>
  <si>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</si>
  <si>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</si>
  <si>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</si>
  <si>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</si>
  <si>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</si>
  <si>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</si>
  <si>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</si>
  <si>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</si>
  <si>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</si>
  <si>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</si>
  <si>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</si>
  <si>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</si>
  <si>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</si>
  <si>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</si>
  <si>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</si>
  <si>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</si>
  <si>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</si>
  <si>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</si>
  <si>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</si>
  <si>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</si>
  <si>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</si>
  <si>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</si>
  <si>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</si>
  <si>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</si>
  <si>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</si>
  <si>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</si>
  <si>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</si>
  <si>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</si>
  <si>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</si>
  <si>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</si>
  <si>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</si>
  <si>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</si>
  <si>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</si>
  <si>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</si>
  <si>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</si>
  <si>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</si>
  <si>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</si>
  <si>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</si>
  <si>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</si>
  <si>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</si>
  <si>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</si>
  <si>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</si>
  <si>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</si>
  <si>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</si>
  <si>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</si>
  <si>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</si>
  <si>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</si>
  <si>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</si>
  <si>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</si>
  <si>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</si>
  <si>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</si>
  <si>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</si>
  <si>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</si>
  <si>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</si>
  <si>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</si>
  <si>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</si>
  <si>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</si>
  <si>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</si>
  <si>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</si>
  <si>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</si>
  <si>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</si>
  <si>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</si>
  <si>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</si>
  <si>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</si>
  <si>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</si>
  <si>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</si>
  <si>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</si>
  <si>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</si>
  <si>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</si>
  <si>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</si>
  <si>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</si>
  <si>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</si>
  <si>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</si>
  <si>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</si>
  <si>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</si>
  <si>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</si>
  <si>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</si>
  <si>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</si>
  <si>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</si>
  <si>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</si>
  <si>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</si>
  <si>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</si>
  <si>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</si>
  <si>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</si>
  <si>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</si>
  <si>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</si>
  <si>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</si>
  <si>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</si>
  <si>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</si>
  <si>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</si>
  <si>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</si>
  <si>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</si>
  <si>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</si>
  <si>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</si>
  <si>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</si>
  <si>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</si>
  <si>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</si>
  <si>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</si>
  <si>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</si>
  <si>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</si>
  <si>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</si>
  <si>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</si>
  <si>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</si>
  <si>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</si>
  <si>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</si>
  <si>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</si>
  <si>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</si>
  <si>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</si>
  <si>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</si>
  <si>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</si>
  <si>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</si>
  <si>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</si>
  <si>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</si>
  <si>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</si>
  <si>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EXZ-N-26 от </t>
  </si>
  <si>
    <t xml:space="preserve">СПЕЦИФИКАЦИЯ № EXZ-N-26 от </t>
  </si>
  <si>
    <t>75P005WA/758389AA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</si>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</sst>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157</v>
      </c>
      <c r="D1" s="135"/>
      <c r="E1" s="135"/>
      <c r="F1" s="134" t="s">
        <v>155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136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125</v>
      </c>
      <c r="B5" s="136"/>
      <c r="C5" s="136"/>
      <c r="D5" s="136"/>
      <c r="E5" s="136"/>
      <c r="F5" s="6"/>
      <c r="G5" s="138" t="s">
        <v>137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126</v>
      </c>
      <c r="B6" s="143"/>
      <c r="C6" s="143"/>
      <c r="D6" s="143"/>
      <c r="E6" s="143"/>
      <c r="F6" s="7"/>
      <c r="G6" s="140" t="s">
        <v>138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127</v>
      </c>
      <c r="B7" s="143"/>
      <c r="C7" s="143"/>
      <c r="D7" s="143"/>
      <c r="E7" s="143"/>
      <c r="F7" s="63"/>
      <c r="G7" s="140" t="s">
        <v>139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128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129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130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131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132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125</v>
      </c>
      <c r="B14" s="136"/>
      <c r="C14" s="136"/>
      <c r="D14" s="136"/>
      <c r="E14" s="136"/>
      <c r="F14" s="6"/>
      <c r="G14" s="138" t="s">
        <v>144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126</v>
      </c>
      <c r="B15" s="143"/>
      <c r="C15" s="143"/>
      <c r="D15" s="143"/>
      <c r="E15" s="143"/>
      <c r="F15" s="7"/>
      <c r="G15" s="140" t="s">
        <v>145</v>
      </c>
      <c r="H15" s="143"/>
      <c r="I15" s="143"/>
      <c r="J15" s="143"/>
      <c r="K15" s="143"/>
      <c r="L15" s="143"/>
      <c r="M15" s="143"/>
    </row>
    <row r="16" spans="1:15" ht="15" x14ac:dyDescent="0.25">
      <c r="A16" s="143" t="s">
        <v>127</v>
      </c>
      <c r="B16" s="143"/>
      <c r="C16" s="143"/>
      <c r="D16" s="143"/>
      <c r="E16" s="143"/>
      <c r="F16" s="63"/>
      <c r="G16" s="140" t="s">
        <v>146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128</v>
      </c>
      <c r="B17" s="8"/>
      <c r="C17" s="8"/>
      <c r="D17" s="8"/>
      <c r="E17" s="8"/>
      <c r="F17" s="63"/>
      <c r="G17" s="7" t="s">
        <v>147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129</v>
      </c>
      <c r="B18" s="8"/>
      <c r="C18" s="8"/>
      <c r="D18" s="8"/>
      <c r="E18" s="8"/>
      <c r="F18" s="7"/>
      <c r="G18" s="8" t="s">
        <v>148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130</v>
      </c>
      <c r="B19" s="125"/>
      <c r="C19" s="125"/>
      <c r="D19" s="125"/>
      <c r="E19" s="125"/>
      <c r="F19" s="7"/>
      <c r="G19" s="7" t="s">
        <v>149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131</v>
      </c>
      <c r="B20" s="8"/>
      <c r="C20" s="8"/>
      <c r="D20" s="8"/>
      <c r="E20" s="8"/>
      <c r="F20" s="7"/>
      <c r="G20" s="7" t="s">
        <v>150</v>
      </c>
      <c r="H20" s="23"/>
      <c r="I20" s="23"/>
      <c r="J20" s="23"/>
    </row>
    <row r="21" spans="1:17" ht="15" x14ac:dyDescent="0.25">
      <c r="A21" s="99" t="s">
        <v>132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154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159</v>
      </c>
      <c r="F26" s="156"/>
      <c r="G26" s="156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119</v>
      </c>
      <c r="C30" s="107" t="s">
        <v>118</v>
      </c>
      <c r="D30" s="109" t="s">
        <v>160</v>
      </c>
      <c r="E30" s="101">
        <v>2608</v>
      </c>
      <c r="F30" s="110" t="s">
        <v>27</v>
      </c>
      <c r="G30" s="106">
        <v>22801</v>
      </c>
      <c r="H30" s="106">
        <v>20975</v>
      </c>
      <c r="I30" s="108">
        <v>1</v>
      </c>
      <c r="J30" s="13">
        <f t="shared" ref="J30" si="0">H30*I30</f>
        <v>20975</v>
      </c>
      <c r="K30" s="12">
        <v>0</v>
      </c>
      <c r="L30" s="12">
        <v>0</v>
      </c>
      <c r="M30" s="13">
        <f t="shared" ref="M30" si="1">J30</f>
        <v>20975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2608</v>
      </c>
      <c r="F31" s="15"/>
      <c r="G31" s="64">
        <f>SUM(G30:G30)</f>
        <v>22801</v>
      </c>
      <c r="H31" s="64">
        <f>SUM(H30:H30)</f>
        <v>20975</v>
      </c>
      <c r="I31" s="102"/>
      <c r="J31" s="17">
        <f>SUM(J30:J30)</f>
        <v>20975</v>
      </c>
      <c r="K31" s="16"/>
      <c r="L31" s="16"/>
      <c r="M31" s="17">
        <f>SUM(M30:M30)</f>
        <v>20975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девятьсот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107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133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151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156</v>
      </c>
      <c r="C13" s="162"/>
      <c r="D13" s="162"/>
      <c r="E13" s="162"/>
      <c r="F13" s="162"/>
      <c r="G13" s="162"/>
      <c r="H13" s="162"/>
      <c r="I13" s="162"/>
      <c r="J13" s="113"/>
      <c r="K13" s="113"/>
    </row>
    <row r="14" spans="1:11" ht="11.25" customHeight="1" x14ac:dyDescent="0.2"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21.7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91</v>
      </c>
      <c r="B18" s="70" t="s">
        <v>109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92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EXZ-N-26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105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2608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22801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93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110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94</v>
      </c>
      <c r="C57" s="80" t="str">
        <f>+Инвойс!E26</f>
        <v>75P005WA/758389AA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95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96</v>
      </c>
      <c r="F7" s="84"/>
      <c r="G7" s="85" t="s">
        <v>97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98</v>
      </c>
    </row>
    <row r="14" spans="2:11" ht="21" customHeight="1" x14ac:dyDescent="0.3">
      <c r="B14" s="166" t="str">
        <f>+Инвойс!E26</f>
        <v>75P005WA/758389AA</v>
      </c>
      <c r="C14" s="166"/>
      <c r="D14" s="166"/>
      <c r="E14" s="166"/>
      <c r="F14" s="166"/>
      <c r="G14" s="166"/>
      <c r="H14" s="167" t="s">
        <v>106</v>
      </c>
      <c r="I14" s="167"/>
      <c r="J14" s="88" t="str">
        <f>+Инвойс!F1</f>
        <v xml:space="preserve"> 10.09.2025г.</v>
      </c>
      <c r="K14" s="89"/>
    </row>
    <row r="15" spans="2:11" ht="21" x14ac:dyDescent="0.35">
      <c r="B15" s="82" t="s">
        <v>99</v>
      </c>
      <c r="C15" s="90"/>
      <c r="D15" s="90"/>
      <c r="E15" s="90"/>
      <c r="F15" s="90"/>
      <c r="G15" s="89" t="s">
        <v>100</v>
      </c>
      <c r="H15" s="168" t="str">
        <f>+CMR!B24</f>
        <v>ИНВОЙС № EXZ-N-26 от  10.09.2025г.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101</v>
      </c>
    </row>
    <row r="18" spans="2:10" ht="13.5" customHeight="1" x14ac:dyDescent="0.25">
      <c r="B18" s="91"/>
      <c r="E18" s="117"/>
      <c r="F18" s="118">
        <f>+Инвойс!E30</f>
        <v>2608</v>
      </c>
      <c r="G18" s="169" t="str">
        <f>+CMR!F30</f>
        <v>Виноград свежий столовых сортов</v>
      </c>
      <c r="H18" s="169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3" t="str">
        <f>+Инвойс!C30</f>
        <v>0806101001</v>
      </c>
      <c r="H19" s="164"/>
      <c r="I19" s="122" t="s">
        <v>102</v>
      </c>
      <c r="J19" s="120">
        <f>+Инвойс!G30</f>
        <v>22801</v>
      </c>
    </row>
    <row r="20" spans="2:10" ht="13.5" customHeight="1" x14ac:dyDescent="0.25">
      <c r="B20" s="83"/>
      <c r="E20" s="123"/>
      <c r="F20" s="118"/>
      <c r="G20" s="169"/>
      <c r="H20" s="169"/>
      <c r="I20" s="119"/>
      <c r="J20" s="120"/>
    </row>
    <row r="21" spans="2:10" ht="13.5" customHeight="1" x14ac:dyDescent="0.25">
      <c r="B21" s="83" t="s">
        <v>103</v>
      </c>
      <c r="E21" s="123"/>
      <c r="F21" s="121"/>
      <c r="G21" s="163"/>
      <c r="H21" s="164"/>
      <c r="I21" s="122"/>
      <c r="J21" s="120"/>
    </row>
    <row r="22" spans="2:10" ht="12.75" customHeight="1" x14ac:dyDescent="0.25">
      <c r="B22" s="83"/>
      <c r="E22" s="123"/>
      <c r="F22" s="118"/>
      <c r="G22" s="169"/>
      <c r="H22" s="169"/>
      <c r="I22" s="119"/>
      <c r="J22" s="120"/>
    </row>
    <row r="23" spans="2:10" ht="14.25" customHeight="1" x14ac:dyDescent="0.25">
      <c r="B23" s="83"/>
      <c r="E23" s="123"/>
      <c r="F23" s="121"/>
      <c r="G23" s="163"/>
      <c r="H23" s="164"/>
      <c r="I23" s="122"/>
      <c r="J23" s="120"/>
    </row>
    <row r="24" spans="2:10" ht="12.75" customHeight="1" x14ac:dyDescent="0.25">
      <c r="B24" s="87"/>
      <c r="E24" s="123"/>
      <c r="F24" s="118"/>
      <c r="G24" s="169"/>
      <c r="H24" s="169"/>
      <c r="I24" s="119"/>
      <c r="J24" s="120"/>
    </row>
    <row r="25" spans="2:10" ht="12.75" customHeight="1" x14ac:dyDescent="0.25">
      <c r="B25" s="87"/>
      <c r="E25" s="123"/>
      <c r="F25" s="121"/>
      <c r="G25" s="163"/>
      <c r="H25" s="164"/>
      <c r="I25" s="122"/>
      <c r="J25" s="120"/>
    </row>
    <row r="26" spans="2:10" ht="12" customHeight="1" x14ac:dyDescent="0.25">
      <c r="B26" s="87"/>
      <c r="E26" s="123"/>
      <c r="F26" s="118"/>
      <c r="G26" s="169"/>
      <c r="H26" s="169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9"/>
      <c r="H28" s="169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9"/>
      <c r="H30" s="169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9"/>
      <c r="H32" s="169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9"/>
      <c r="H34" s="169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9"/>
      <c r="H36" s="169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9"/>
      <c r="H38" s="169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9"/>
      <c r="H40" s="169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9"/>
      <c r="H42" s="169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71"/>
      <c r="H44" s="171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2">
        <f>+F18+F20+F22+F24+F26+F28+F30+F32+F34+F36+F38+F40+F42</f>
        <v>2608</v>
      </c>
      <c r="E47" s="173"/>
    </row>
    <row r="48" spans="2:10" ht="17.25" customHeight="1" x14ac:dyDescent="0.25">
      <c r="B48" s="170" t="s">
        <v>104</v>
      </c>
      <c r="C48" s="170"/>
      <c r="D48" s="170"/>
      <c r="E48" s="170"/>
    </row>
    <row r="49" spans="2:5" ht="21.75" customHeight="1" x14ac:dyDescent="0.25">
      <c r="B49" s="170"/>
      <c r="C49" s="170"/>
      <c r="D49" s="170"/>
      <c r="E49" s="170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6" t="s">
        <v>158</v>
      </c>
      <c r="C1" s="176"/>
      <c r="D1" s="176"/>
      <c r="E1" s="176"/>
      <c r="F1" s="134" t="str">
        <f>+Инвойс!F1</f>
        <v xml:space="preserve"> 10.09.2025г.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4" t="str">
        <f>+Инвойс!G6</f>
        <v xml:space="preserve">107497, Россия, г. Москва, вн.тер.г. муниципальный </v>
      </c>
      <c r="H6" s="174"/>
      <c r="I6" s="174"/>
      <c r="J6" s="174"/>
      <c r="K6" s="174"/>
      <c r="L6" s="174"/>
      <c r="M6" s="174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4" t="str">
        <f>+Инвойс!G7</f>
        <v xml:space="preserve">округ Гольяново, 2-й Иртышский пр-в, д. 4Б, стр. 3 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4" t="str">
        <f>+Инвойс!G8</f>
        <v>ИНН/ КПП 9718239835  / 771801001</v>
      </c>
      <c r="H8" s="174"/>
      <c r="I8" s="174"/>
      <c r="J8" s="174"/>
      <c r="K8" s="174"/>
      <c r="L8" s="174"/>
      <c r="M8" s="174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4" t="str">
        <f>+Инвойс!G9</f>
        <v xml:space="preserve">Валютный счет доллары  40702840100000005715 </v>
      </c>
      <c r="H9" s="174"/>
      <c r="I9" s="174"/>
      <c r="J9" s="174"/>
      <c r="K9" s="174"/>
      <c r="L9" s="174"/>
      <c r="M9" s="174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4" t="str">
        <f>+Инвойс!G10</f>
        <v>КБ "Максима"(ООО), г. Москва РФ</v>
      </c>
      <c r="H10" s="174"/>
      <c r="I10" s="174"/>
      <c r="J10" s="174"/>
      <c r="K10" s="174"/>
      <c r="L10" s="174"/>
      <c r="M10" s="174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4" t="str">
        <f>+Инвойс!G11</f>
        <v>(SWIFT code: MAXMRUM1XXX)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4" t="str">
        <f>+Инвойс!G15</f>
        <v>108811, г. Москва, вн.тер.г. муниципальный округ</v>
      </c>
      <c r="H15" s="174"/>
      <c r="I15" s="174"/>
      <c r="J15" s="174"/>
      <c r="K15" s="174"/>
      <c r="L15" s="174"/>
      <c r="M15" s="174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4" t="str">
        <f>+Инвойс!G16</f>
        <v>Солнцево, Киевское шоссе, 23-й км, д.8, стр.1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4" t="str">
        <f>+Инвойс!G17</f>
        <v xml:space="preserve">р/с USD 40702810501400013450 </v>
      </c>
      <c r="H17" s="174"/>
      <c r="I17" s="174"/>
      <c r="J17" s="174"/>
      <c r="K17" s="174"/>
      <c r="L17" s="174"/>
      <c r="M17" s="174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4" t="str">
        <f>+Инвойс!G18</f>
        <v>Банк: Филиал АО «АЛЬФА-БАНК»</v>
      </c>
      <c r="H18" s="174"/>
      <c r="I18" s="174"/>
      <c r="J18" s="174"/>
      <c r="K18" s="174"/>
      <c r="L18" s="174"/>
      <c r="M18" s="174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4" t="str">
        <f>+Инвойс!G19</f>
        <v>к/с:  30101810200000000593</v>
      </c>
      <c r="H19" s="174"/>
      <c r="I19" s="174"/>
      <c r="J19" s="174"/>
      <c r="K19" s="174"/>
      <c r="L19" s="174"/>
      <c r="M19" s="174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4" t="str">
        <f>+Инвойс!G20</f>
        <v>ИНН/КПП 5004025693/775101001 ОГРН 1135004001802</v>
      </c>
      <c r="H20" s="174"/>
      <c r="I20" s="174"/>
      <c r="J20" s="174"/>
      <c r="K20" s="174"/>
      <c r="L20" s="174"/>
      <c r="M20" s="174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87</v>
      </c>
      <c r="B23" s="68"/>
      <c r="C23" s="175" t="s">
        <v>111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75P005WA/758389AA</v>
      </c>
      <c r="F26" s="156"/>
      <c r="G26" s="156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2608</v>
      </c>
      <c r="F30" s="116" t="str">
        <f>+Инвойс!F30</f>
        <v>кг</v>
      </c>
      <c r="G30" s="106">
        <f>+Инвойс!G30</f>
        <v>22801</v>
      </c>
      <c r="H30" s="106">
        <f>+Инвойс!H30</f>
        <v>20975</v>
      </c>
      <c r="I30" s="108">
        <f>+Инвойс!I30</f>
        <v>1</v>
      </c>
      <c r="J30" s="13">
        <f>+Инвойс!J30</f>
        <v>20975</v>
      </c>
      <c r="K30" s="12">
        <v>0</v>
      </c>
      <c r="L30" s="12">
        <v>0</v>
      </c>
      <c r="M30" s="13">
        <f>+Инвойс!M30</f>
        <v>20975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2608</v>
      </c>
      <c r="F31" s="15"/>
      <c r="G31" s="64">
        <f>SUM(G30:G30)</f>
        <v>22801</v>
      </c>
      <c r="H31" s="64">
        <f>SUM(H30:H30)</f>
        <v>20975</v>
      </c>
      <c r="I31" s="102"/>
      <c r="J31" s="17">
        <f>SUM(J30:J30)</f>
        <v>20975</v>
      </c>
      <c r="K31" s="16"/>
      <c r="L31" s="16"/>
      <c r="M31" s="17">
        <f>SUM(M30:M30)</f>
        <v>20975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девятьсот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134</v>
      </c>
      <c r="B36" s="131"/>
      <c r="D36" s="18" t="str">
        <f>+Инвойс!D36</f>
        <v>АБДИЛАКИМОВ А.А</v>
      </c>
      <c r="E36" s="132"/>
      <c r="G36" s="129" t="s">
        <v>124</v>
      </c>
      <c r="H36" s="18" t="str">
        <f>Инвойс!G5</f>
        <v>ООО «Аспект»</v>
      </c>
      <c r="K36" s="133" t="s">
        <v>152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112</v>
      </c>
    </row>
    <row r="3" spans="1:10" ht="51" x14ac:dyDescent="0.2">
      <c r="A3" s="130" t="s">
        <v>123</v>
      </c>
    </row>
    <row r="5" spans="1:10" ht="89.25" x14ac:dyDescent="0.2">
      <c r="A5" s="126" t="s">
        <v>135</v>
      </c>
    </row>
    <row r="6" spans="1:10" x14ac:dyDescent="0.2">
      <c r="E6" s="18"/>
      <c r="J6" s="25"/>
    </row>
    <row r="7" spans="1:10" ht="51" x14ac:dyDescent="0.2">
      <c r="A7" s="126" t="s">
        <v>113</v>
      </c>
    </row>
    <row r="8" spans="1:10" x14ac:dyDescent="0.2">
      <c r="E8" s="18"/>
      <c r="J8" s="25"/>
    </row>
    <row r="9" spans="1:10" ht="51" x14ac:dyDescent="0.2">
      <c r="A9" s="126" t="s">
        <v>114</v>
      </c>
    </row>
    <row r="10" spans="1:10" x14ac:dyDescent="0.2">
      <c r="A10" s="126"/>
      <c r="E10" s="18"/>
      <c r="J10" s="25"/>
    </row>
    <row r="11" spans="1:10" ht="51" x14ac:dyDescent="0.2">
      <c r="A11" s="126" t="s">
        <v>153</v>
      </c>
    </row>
    <row r="12" spans="1:10" x14ac:dyDescent="0.2">
      <c r="E12" s="18"/>
      <c r="J12" s="25"/>
    </row>
    <row r="13" spans="1:10" ht="51" x14ac:dyDescent="0.2">
      <c r="A13" s="126" t="s">
        <v>115</v>
      </c>
    </row>
    <row r="15" spans="1:10" ht="38.25" x14ac:dyDescent="0.2">
      <c r="A15" s="126" t="s">
        <v>116</v>
      </c>
    </row>
    <row r="17" spans="1:1" ht="38.25" x14ac:dyDescent="0.2">
      <c r="A17" s="126" t="s">
        <v>117</v>
      </c>
    </row>
    <row r="19" spans="1:1" ht="38.25" x14ac:dyDescent="0.2">
      <c r="A19" s="128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75" x14ac:dyDescent="0.25">
      <c r="E2" s="27">
        <f>Инвойс!M31</f>
        <v>20975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девятьсот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девятьсот семьдесят пять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девятьсот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девятьсот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82" t="s">
        <v>38</v>
      </c>
      <c r="I7" s="182"/>
      <c r="J7" s="18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семьдесят пять долларов США, </v>
      </c>
      <c r="D11" s="47"/>
      <c r="E11" s="48"/>
      <c r="H11" s="182"/>
      <c r="I11" s="182"/>
      <c r="J11" s="18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20975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2097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20975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8" t="s">
        <v>85</v>
      </c>
      <c r="B100" s="178"/>
      <c r="C100" s="178"/>
      <c r="D100" s="17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2025-09-10T18:40:18Z</cp:lastPrinted>
  <dcterms:created xsi:type="dcterms:W3CDTF">1996-10-14T23:33:28Z</dcterms:created>
  <dcterms:modified xsi:type="dcterms:W3CDTF">2025-09-10T18:40:20Z</dcterms:modified>
</cp:coreProperties>
</file>