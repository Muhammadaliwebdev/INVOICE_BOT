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A794ED50-AC4A-4C89-BEE0-A45F669BA0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<sst xmlns="http://schemas.openxmlformats.org/spreadsheetml/2006/main" count="211" uniqueCount="164">
  <si>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</si>
  <si>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</si>
  <si>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</si>
  <si>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</si>
  <si>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</si>
  <si>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</si>
  <si>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</si>
  <si>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</si>
  <si>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</si>
  <si>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</si>
  <si>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</si>
  <si>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</si>
  <si>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</si>
  <si>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</si>
  <si>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</si>
  <si>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</si>
  <si>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</si>
  <si>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</si>
  <si>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</si>
  <si>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</si>
  <si>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</si>
  <si>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</si>
  <si>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</si>
  <si>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</si>
  <si>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</si>
  <si>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</si>
  <si>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</si>
  <si>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</si>
  <si>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</si>
  <si>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</si>
  <si>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</si>
  <si>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</si>
  <si>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</si>
  <si>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</si>
  <si>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</si>
  <si>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</si>
  <si>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</si>
  <si>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</si>
  <si>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</si>
  <si>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</si>
  <si>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</si>
  <si>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</si>
  <si>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</si>
  <si>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</si>
  <si>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</si>
  <si>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</si>
  <si>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</si>
  <si>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</si>
  <si>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</si>
  <si>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</si>
  <si>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</si>
  <si>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</si>
  <si>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</si>
  <si>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</si>
  <si>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</si>
  <si>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</si>
  <si>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</si>
  <si>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</si>
  <si>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</si>
  <si>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</si>
  <si>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</si>
  <si>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</si>
  <si>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</si>
  <si>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</si>
  <si>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</si>
  <si>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</si>
  <si>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</si>
  <si>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</si>
  <si>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</si>
  <si>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</si>
  <si>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</si>
  <si>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</si>
  <si>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</si>
  <si>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</si>
  <si>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</si>
  <si>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</si>
  <si>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</si>
  <si>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</si>
  <si>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</si>
  <si>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</si>
  <si>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</si>
  <si>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</si>
  <si>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</si>
  <si>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</si>
  <si>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</si>
  <si>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</si>
  <si>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</si>
  <si>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</si>
  <si>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</si>
  <si>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</si>
  <si>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</si>
  <si>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</si>
  <si>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</si>
  <si>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</si>
  <si>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</si>
  <si>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</si>
  <si>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</si>
  <si>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</si>
  <si>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</si>
  <si>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</si>
  <si>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</si>
  <si>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</si>
  <si>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</si>
  <si>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</si>
  <si>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</si>
  <si>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</si>
  <si>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</si>
  <si>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</si>
  <si>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</si>
  <si>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</si>
  <si>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</si>
  <si>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</si>
  <si>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</si>
  <si>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</si>
  <si>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</si>
  <si>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</si>
  <si>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</si>
  <si>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</si>
  <si>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</si>
  <si>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</si>
  <si>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</si>
  <si>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</si>
  <si>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</si>
  <si>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</si>
  <si>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</si>
  <si>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</si>
  <si>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</si>
  <si>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</si>
  <si>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</si>
  <si>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</si>
  <si>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</si>
  <si>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</si>
  <si>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</si>
  <si>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</si>
  <si>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</si>
  <si>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</si>
  <si>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</si>
  <si>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</si>
  <si>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</si>
  <si>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</si>
  <si>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</si>
  <si>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</si>
  <si>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</si>
  <si>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</si>
  <si>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</si>
  <si>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</si>
  <si>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</si>
  <si>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</si>
  <si>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</si>
  <si>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</si>
  <si>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</si>
  <si>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</si>
  <si>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</si>
  <si>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</si>
  <si>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</si>
  <si>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</si>
  <si>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</si>
  <si>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</si>
  <si>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</si>
  <si>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</si>
  <si>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UFG-M-34 от </t>
  </si>
  <si>
    <t xml:space="preserve"> 30.08.2025г.</t>
  </si>
  <si>
    <t xml:space="preserve">СПЕЦИФИКАЦИЯ № UFG-M-34 от </t>
  </si>
  <si>
    <t>80082GBA/804675AA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</si>
</sst>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160</v>
      </c>
      <c r="D1" s="134"/>
      <c r="E1" s="134"/>
      <c r="F1" s="133" t="s">
        <v>161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152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153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148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154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153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148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154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159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163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937</v>
      </c>
      <c r="F30" s="115" t="s">
        <v>27</v>
      </c>
      <c r="G30" s="106">
        <v>22702</v>
      </c>
      <c r="H30" s="106">
        <v>21015</v>
      </c>
      <c r="I30" s="108">
        <v>0.25</v>
      </c>
      <c r="J30" s="13">
        <f t="shared" ref="J30" si="0">H30*I30</f>
        <v>5253.75</v>
      </c>
      <c r="K30" s="12">
        <v>0</v>
      </c>
      <c r="L30" s="12">
        <v>0</v>
      </c>
      <c r="M30" s="13">
        <f t="shared" ref="M30" si="1">J30</f>
        <v>5253.75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937</v>
      </c>
      <c r="F31" s="15"/>
      <c r="G31" s="64">
        <f>SUM(G30:G30)</f>
        <v>22702</v>
      </c>
      <c r="H31" s="64">
        <f>SUM(H30:H30)</f>
        <v>21015</v>
      </c>
      <c r="I31" s="102"/>
      <c r="J31" s="17">
        <f>SUM(J30:J30)</f>
        <v>5253.75</v>
      </c>
      <c r="K31" s="16"/>
      <c r="L31" s="16"/>
      <c r="M31" s="17">
        <f>SUM(M30:M30)</f>
        <v>5253.75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пятьдесят три доллара США,75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UFG-M-34 от  30.08.2025г.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937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22702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30.08.2025г.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80082GBA/804675AA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80082GBA/804675AA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UFG-M-34 от  30.08.2025г.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937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22702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937</v>
      </c>
      <c r="E47" s="142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3" t="str">
        <f>+Инвойс!F1</f>
        <v xml:space="preserve"> 30.08.2025г.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GR-UF-01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OOO UCHQIZIL FRUITS EXPORT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71" t="str">
        <f>+Инвойс!A6</f>
        <v>РЕСПУБЛИКА УЗБЕКИСТАН. СУРХАНДАРЬИНСКАЯ ОБЛАСТЬ,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ТЕРМИЗСКИЙ РАЙОН,ЯНГИХАЯТ МФЙ, УЛИЦА БОГИ ШАМОЛ, 20-А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в АКБ“KAPITAL BANK”  МФО: 01158  Swift: KACHUZ22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>Доллар США: 20208840207293094001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>Корреспондирующий банк (RUB): АКБ "Азия Инвест Банк" (АО) :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1" t="str">
        <f>+Инвойс!A11</f>
        <v>SWIFT:ASIJRUMM / БИК 044525234,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OOO UCHQIZIL FRUITS EXPORT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71" t="str">
        <f>+Инвойс!A15</f>
        <v>РЕСПУБЛИКА УЗБЕКИСТАН. СУРХАНДАРЬИНСКАЯ ОБЛАСТЬ,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ТЕРМИЗСКИЙ РАЙОН,ЯНГИХАЯТ МФЙ, УЛИЦА БОГИ ШАМОЛ, 20-А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в АКБ“KAPITAL BANK”  МФО: 01158  Swift: KACHUZ22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>Доллар США: 20208840207293094001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>Корреспондирующий банк (RUB): АКБ "Азия Инвест Банк" (АО) :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1" t="str">
        <f>+Инвойс!A20</f>
        <v>SWIFT:ASIJRUMM / БИК 044525234,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80082GBA/804675AA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937</v>
      </c>
      <c r="F30" s="115" t="str">
        <f>+Инвойс!F30</f>
        <v>кг</v>
      </c>
      <c r="G30" s="106">
        <f>+Инвойс!G30</f>
        <v>22702</v>
      </c>
      <c r="H30" s="106">
        <f>+Инвойс!H30</f>
        <v>21015</v>
      </c>
      <c r="I30" s="108">
        <f>+Инвойс!I30</f>
        <v>0.25</v>
      </c>
      <c r="J30" s="13">
        <f>+Инвойс!J30</f>
        <v>5253.75</v>
      </c>
      <c r="K30" s="12">
        <v>0</v>
      </c>
      <c r="L30" s="12">
        <v>0</v>
      </c>
      <c r="M30" s="13">
        <f>+Инвойс!M30</f>
        <v>5253.75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937</v>
      </c>
      <c r="F31" s="15"/>
      <c r="G31" s="64">
        <f>SUM(G30:G30)</f>
        <v>22702</v>
      </c>
      <c r="H31" s="64">
        <f>SUM(H30:H30)</f>
        <v>21015</v>
      </c>
      <c r="I31" s="102"/>
      <c r="J31" s="17">
        <f>SUM(J30:J30)</f>
        <v>5253.75</v>
      </c>
      <c r="K31" s="16"/>
      <c r="L31" s="16"/>
      <c r="M31" s="17">
        <f>SUM(M30:M30)</f>
        <v>5253.75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пятьдесят три доллара США,75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6" zoomScale="85" zoomScaleNormal="85" workbookViewId="0">
      <selection activeCell="A11" sqref="A11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5253.75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пятьдесят три доллара США,75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пятьдесят три доллара США,75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пятьдесят три доллара США,75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пятьдесят три доллара США,75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пятьдесят три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5253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5253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2025-08-30T10:55:01Z</cp:lastPrinted>
  <dcterms:created xsi:type="dcterms:W3CDTF">1996-10-14T23:33:28Z</dcterms:created>
  <dcterms:modified xsi:type="dcterms:W3CDTF">2025-08-30T10:55:06Z</dcterms:modified>
</cp:coreProperties>
</file>