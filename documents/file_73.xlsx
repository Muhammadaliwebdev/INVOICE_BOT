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8" i="7" l="1"/>
  <c r="H38" i="7" l="1"/>
  <c r="I31" i="4" l="1"/>
  <c r="I32" i="4"/>
  <c r="G31" i="4"/>
  <c r="G32" i="4"/>
  <c r="B31" i="4"/>
  <c r="C31" i="4"/>
  <c r="D31" i="4"/>
  <c r="B32" i="4"/>
  <c r="C32" i="4"/>
  <c r="D32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2" i="7" l="1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I30" i="7"/>
  <c r="H30" i="7"/>
  <c r="F30" i="7"/>
  <c r="G30" i="7"/>
  <c r="E30" i="7"/>
  <c r="D30" i="7"/>
  <c r="B30" i="7"/>
  <c r="A30" i="7"/>
  <c r="E26" i="7"/>
  <c r="C24" i="7"/>
  <c r="F1" i="7"/>
  <c r="G33" i="7" l="1"/>
  <c r="E33" i="7"/>
  <c r="H33" i="7" l="1"/>
  <c r="E33" i="2" l="1"/>
  <c r="G33" i="2" l="1"/>
  <c r="H33" i="2"/>
  <c r="G23" i="5"/>
  <c r="G21" i="5"/>
  <c r="G19" i="5"/>
  <c r="J23" i="5"/>
  <c r="J21" i="5"/>
  <c r="F23" i="5"/>
  <c r="F22" i="5"/>
  <c r="F21" i="5"/>
  <c r="F20" i="5"/>
  <c r="F19" i="5"/>
  <c r="F18" i="5"/>
  <c r="J19" i="5"/>
  <c r="G30" i="4"/>
  <c r="G20" i="5"/>
  <c r="G22" i="5"/>
  <c r="I30" i="4"/>
  <c r="G18" i="5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2" i="2"/>
  <c r="J32" i="7" s="1"/>
  <c r="J31" i="2"/>
  <c r="J30" i="2"/>
  <c r="M30" i="2" l="1"/>
  <c r="M30" i="7" s="1"/>
  <c r="J30" i="7"/>
  <c r="M31" i="2"/>
  <c r="M31" i="7" s="1"/>
  <c r="J31" i="7"/>
  <c r="J33" i="2"/>
  <c r="M32" i="2"/>
  <c r="M32" i="7" s="1"/>
  <c r="S3" i="3"/>
  <c r="S4" i="3"/>
  <c r="P3" i="3"/>
  <c r="R3" i="3"/>
  <c r="Q3" i="3" l="1"/>
  <c r="K4" i="3" s="1"/>
  <c r="J33" i="7"/>
  <c r="M33" i="7"/>
  <c r="M33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4" i="2" l="1"/>
  <c r="E34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<sst xmlns="http://schemas.openxmlformats.org/spreadsheetml/2006/main" count="224" uniqueCount="169">
  <si>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</si>
  <si>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</si>
  <si>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</si>
  <si>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</si>
  <si>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</si>
  <si>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</si>
  <si>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</si>
  <si>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</si>
  <si>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</si>
  <si>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</si>
  <si>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</si>
  <si>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</si>
  <si>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</si>
  <si>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</si>
  <si>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</si>
  <si>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</si>
  <si>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</si>
  <si>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</si>
  <si>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</si>
  <si>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</si>
  <si>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</si>
  <si>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</si>
  <si>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</si>
  <si>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</si>
  <si>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</si>
  <si>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</si>
  <si>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</si>
  <si>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</si>
  <si>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</si>
  <si>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</si>
  <si>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</si>
  <si>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</si>
  <si>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</si>
  <si>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</si>
  <si>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</si>
  <si>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</si>
  <si>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</si>
  <si>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</si>
  <si>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</si>
  <si>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</si>
  <si>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</si>
  <si>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</si>
  <si>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</si>
  <si>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</si>
  <si>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</si>
  <si>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</si>
  <si>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</si>
  <si>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</si>
  <si>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</si>
  <si>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</si>
  <si>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</si>
  <si>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</si>
  <si>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</si>
  <si>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</si>
  <si>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</si>
  <si>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</si>
  <si>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</si>
  <si>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</si>
  <si>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</si>
  <si>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</si>
  <si>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</si>
  <si>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</si>
  <si>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</si>
  <si>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</si>
  <si>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</si>
  <si>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</si>
  <si>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</si>
  <si>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</si>
  <si>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</si>
  <si>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</si>
  <si>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</si>
  <si>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</si>
  <si>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</si>
  <si>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</si>
  <si>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</si>
  <si>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</si>
  <si>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</si>
  <si>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</si>
  <si>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</si>
  <si>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</si>
  <si>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</si>
  <si>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</si>
  <si>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</si>
  <si>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</si>
  <si>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</si>
  <si>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</si>
  <si>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</si>
  <si>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</si>
  <si>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</si>
  <si>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</si>
  <si>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</si>
  <si>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</si>
  <si>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</si>
  <si>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</si>
  <si>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</si>
  <si>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</si>
  <si>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</si>
  <si>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</si>
  <si>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</si>
  <si>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</si>
  <si>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</si>
  <si>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</si>
  <si>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</si>
  <si>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</si>
  <si>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</si>
  <si>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</si>
  <si>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</si>
  <si>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</si>
  <si>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</si>
  <si>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</si>
  <si>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</si>
  <si>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</si>
  <si>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0709999000</t>
  </si>
  <si>
    <t>Карт. Коробка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</si>
  <si>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</si>
  <si>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</si>
  <si>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</si>
  <si>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</si>
  <si>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</si>
  <si>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</si>
  <si>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</si>
  <si>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</si>
  <si>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</si>
  <si>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</si>
  <si>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</si>
  <si>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</si>
  <si>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</si>
  <si>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</si>
  <si>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</si>
  <si>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</si>
  <si>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</si>
  <si>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</si>
  <si>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</si>
  <si>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</si>
  <si>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</si>
  <si>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</si>
  <si>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</si>
  <si>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</si>
  <si>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</si>
  <si>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</si>
  <si>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</si>
  <si>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</si>
  <si>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</si>
  <si>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</si>
  <si>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</si>
  <si>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</si>
  <si>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</si>
  <si>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</si>
  <si>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</si>
  <si>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</si>
  <si>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</si>
  <si>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</si>
  <si>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</si>
  <si>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</si>
  <si>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</si>
  <si>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</si>
  <si>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</si>
  <si>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</si>
  <si>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</si>
  <si>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UFG-M-11 от </t>
  </si>
  <si>
    <t xml:space="preserve"> 27.08.2025г.</t>
  </si>
  <si>
    <t>01586DMA/018637BA</t>
  </si>
  <si>
    <t xml:space="preserve">СПЕЦИФИКАЦИЯ № UFG-M-11 от </t>
  </si>
  <si>
    <t>Зелень Укропа свежая  (уложено в карт. каробки в 5х ПЭТ баклашках со льдом в каждой каробке)</t>
  </si>
  <si>
    <t>Зелень Петрушки свежая  (уложено в карт. каробки в 5х ПЭТ баклашках со льдом в каждой каробке)</t>
  </si>
  <si>
    <t>Зелень кинзы свежая (уложено в карт. каробки в 5х ПЭТ баклашках со льдом в каждой каробке)</t>
  </si>
  <si>
    <t>Зелень Укропа свежая</t>
  </si>
  <si>
    <t>Зелень Петрушки свежая</t>
  </si>
  <si>
    <t xml:space="preserve">Зелень кинзы свежая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</si>
</sst>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2" applyFont="1" applyBorder="1" applyAlignment="1">
      <alignment horizontal="center" vertical="center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38</xdr:row>
      <xdr:rowOff>89647</xdr:rowOff>
    </xdr:from>
    <xdr:to>
      <xdr:col>4</xdr:col>
      <xdr:colOff>212668</xdr:colOff>
      <xdr:row>50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38</xdr:row>
      <xdr:rowOff>56029</xdr:rowOff>
    </xdr:from>
    <xdr:to>
      <xdr:col>3</xdr:col>
      <xdr:colOff>459195</xdr:colOff>
      <xdr:row>49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38</xdr:row>
      <xdr:rowOff>67235</xdr:rowOff>
    </xdr:from>
    <xdr:to>
      <xdr:col>9</xdr:col>
      <xdr:colOff>421901</xdr:colOff>
      <xdr:row>49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4"/>
  <sheetViews>
    <sheetView tabSelected="1" topLeftCell="A4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151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152</v>
      </c>
      <c r="B5" s="137"/>
      <c r="C5" s="137"/>
      <c r="D5" s="137"/>
      <c r="E5" s="137"/>
      <c r="F5" s="6"/>
      <c r="G5" s="139" t="s">
        <v>139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147</v>
      </c>
      <c r="B6" s="144"/>
      <c r="C6" s="144"/>
      <c r="D6" s="144"/>
      <c r="E6" s="144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4" t="s">
        <v>153</v>
      </c>
      <c r="B7" s="144"/>
      <c r="C7" s="144"/>
      <c r="D7" s="144"/>
      <c r="E7" s="144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149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0" t="s">
        <v>145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">
        <v>152</v>
      </c>
      <c r="B14" s="137"/>
      <c r="C14" s="137"/>
      <c r="D14" s="137"/>
      <c r="E14" s="137"/>
      <c r="F14" s="6"/>
      <c r="G14" s="139" t="s">
        <v>139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43" t="s">
        <v>147</v>
      </c>
      <c r="B15" s="144"/>
      <c r="C15" s="144"/>
      <c r="D15" s="144"/>
      <c r="E15" s="144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5" x14ac:dyDescent="0.25">
      <c r="A16" s="144" t="s">
        <v>153</v>
      </c>
      <c r="B16" s="144"/>
      <c r="C16" s="144"/>
      <c r="D16" s="144"/>
      <c r="E16" s="144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149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155</v>
      </c>
      <c r="B21" s="8"/>
      <c r="C21" s="8"/>
      <c r="D21" s="8"/>
      <c r="E21" s="8"/>
      <c r="G21" s="140" t="s">
        <v>145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5" t="s">
        <v>118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75" x14ac:dyDescent="0.25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">
        <v>161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60" x14ac:dyDescent="0.2">
      <c r="A30" s="127">
        <v>1</v>
      </c>
      <c r="B30" s="101" t="s">
        <v>163</v>
      </c>
      <c r="C30" s="107" t="s">
        <v>112</v>
      </c>
      <c r="D30" s="116" t="s">
        <v>113</v>
      </c>
      <c r="E30" s="101">
        <v>570</v>
      </c>
      <c r="F30" s="109" t="s">
        <v>27</v>
      </c>
      <c r="G30" s="106">
        <v>16530</v>
      </c>
      <c r="H30" s="106">
        <v>11400</v>
      </c>
      <c r="I30" s="108">
        <v>0.85</v>
      </c>
      <c r="J30" s="13">
        <f t="shared" ref="J30:J32" si="0">H30*I30</f>
        <v>9690</v>
      </c>
      <c r="K30" s="12">
        <v>0</v>
      </c>
      <c r="L30" s="12">
        <v>0</v>
      </c>
      <c r="M30" s="13">
        <f t="shared" ref="M30:M32" si="1">J30</f>
        <v>9690</v>
      </c>
      <c r="O30" s="100"/>
      <c r="Q30" s="100"/>
    </row>
    <row r="31" spans="1:17" ht="60" x14ac:dyDescent="0.2">
      <c r="A31" s="127">
        <v>2</v>
      </c>
      <c r="B31" s="101" t="s">
        <v>164</v>
      </c>
      <c r="C31" s="107" t="s">
        <v>112</v>
      </c>
      <c r="D31" s="116" t="s">
        <v>113</v>
      </c>
      <c r="E31" s="101">
        <v>150</v>
      </c>
      <c r="F31" s="109" t="s">
        <v>27</v>
      </c>
      <c r="G31" s="106">
        <v>4350</v>
      </c>
      <c r="H31" s="106">
        <v>3000</v>
      </c>
      <c r="I31" s="108">
        <v>0.85</v>
      </c>
      <c r="J31" s="13">
        <f t="shared" si="0"/>
        <v>2550</v>
      </c>
      <c r="K31" s="12">
        <v>0</v>
      </c>
      <c r="L31" s="12">
        <v>0</v>
      </c>
      <c r="M31" s="13">
        <f t="shared" si="1"/>
        <v>2550</v>
      </c>
      <c r="O31" s="100"/>
      <c r="Q31" s="100"/>
    </row>
    <row r="32" spans="1:17" ht="60" x14ac:dyDescent="0.2">
      <c r="A32" s="127">
        <v>3</v>
      </c>
      <c r="B32" s="101" t="s">
        <v>165</v>
      </c>
      <c r="C32" s="107" t="s">
        <v>112</v>
      </c>
      <c r="D32" s="116" t="s">
        <v>113</v>
      </c>
      <c r="E32" s="101">
        <v>60</v>
      </c>
      <c r="F32" s="109" t="s">
        <v>27</v>
      </c>
      <c r="G32" s="106">
        <v>1740</v>
      </c>
      <c r="H32" s="106">
        <v>1200</v>
      </c>
      <c r="I32" s="108">
        <v>0.85</v>
      </c>
      <c r="J32" s="13">
        <f t="shared" si="0"/>
        <v>1020</v>
      </c>
      <c r="K32" s="12">
        <v>0</v>
      </c>
      <c r="L32" s="12">
        <v>0</v>
      </c>
      <c r="M32" s="13">
        <f t="shared" si="1"/>
        <v>1020</v>
      </c>
      <c r="O32" s="100"/>
      <c r="Q32" s="100"/>
    </row>
    <row r="33" spans="1:16" ht="14.25" x14ac:dyDescent="0.2">
      <c r="A33" s="151" t="s">
        <v>0</v>
      </c>
      <c r="B33" s="152"/>
      <c r="C33" s="14"/>
      <c r="D33" s="15"/>
      <c r="E33" s="64">
        <f>SUM(E30:E32)</f>
        <v>780</v>
      </c>
      <c r="F33" s="15"/>
      <c r="G33" s="64">
        <f>SUM(G30:G32)</f>
        <v>22620</v>
      </c>
      <c r="H33" s="64">
        <f>SUM(H30:H32)</f>
        <v>15600</v>
      </c>
      <c r="I33" s="102"/>
      <c r="J33" s="17">
        <f>SUM(J30:J32)</f>
        <v>13260</v>
      </c>
      <c r="K33" s="16"/>
      <c r="L33" s="16"/>
      <c r="M33" s="17">
        <f>SUM(M30:M32)</f>
        <v>13260</v>
      </c>
      <c r="P33" s="66"/>
    </row>
    <row r="34" spans="1:16" ht="13.5" x14ac:dyDescent="0.25">
      <c r="A34" s="2" t="s">
        <v>17</v>
      </c>
      <c r="B34" s="3"/>
      <c r="C34" s="11"/>
      <c r="D34" s="11"/>
      <c r="E34" s="147" t="str">
        <f>Лист1!B3</f>
        <v>Тринадцать тысяч двести шестьдесят долларов США, 00 центов.</v>
      </c>
      <c r="F34" s="148"/>
      <c r="G34" s="148"/>
      <c r="H34" s="148"/>
      <c r="I34" s="148"/>
      <c r="J34" s="148"/>
      <c r="K34" s="148"/>
      <c r="L34" s="148"/>
      <c r="M34" s="148"/>
    </row>
    <row r="35" spans="1:16" ht="20.2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</row>
    <row r="36" spans="1:16" ht="25.5" customHeight="1" x14ac:dyDescent="0.2">
      <c r="A36" s="145" t="s">
        <v>109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26"/>
    </row>
    <row r="38" spans="1:16" ht="15" x14ac:dyDescent="0.25">
      <c r="A38" s="7" t="s">
        <v>28</v>
      </c>
      <c r="B38" s="7"/>
      <c r="D38" s="25" t="s">
        <v>156</v>
      </c>
      <c r="E38" s="24"/>
    </row>
    <row r="39" spans="1:16" ht="15" x14ac:dyDescent="0.25">
      <c r="A39" s="7"/>
      <c r="B39" s="9"/>
    </row>
    <row r="40" spans="1:16" ht="15" x14ac:dyDescent="0.25">
      <c r="A40" s="7" t="s">
        <v>18</v>
      </c>
      <c r="B40" s="9"/>
    </row>
    <row r="41" spans="1:16" ht="15" x14ac:dyDescent="0.25">
      <c r="A41" s="7"/>
      <c r="B41" s="9"/>
    </row>
    <row r="42" spans="1:16" ht="15" x14ac:dyDescent="0.25">
      <c r="A42" s="7" t="s">
        <v>29</v>
      </c>
      <c r="B42" s="9"/>
    </row>
    <row r="43" spans="1:16" ht="15" x14ac:dyDescent="0.25">
      <c r="A43" s="8"/>
      <c r="B43" s="9"/>
    </row>
    <row r="44" spans="1:16" x14ac:dyDescent="0.2">
      <c r="A44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6:M36"/>
    <mergeCell ref="G15:M15"/>
    <mergeCell ref="G13:M13"/>
    <mergeCell ref="G14:M14"/>
    <mergeCell ref="E34:M34"/>
    <mergeCell ref="E28:E29"/>
    <mergeCell ref="C28:C29"/>
    <mergeCell ref="D28:D29"/>
    <mergeCell ref="A35:M35"/>
    <mergeCell ref="A33:B33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F33" sqref="F33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UFG-M-11 от  27.08.2025г.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570</v>
      </c>
      <c r="D30" s="103" t="str">
        <f>+Инвойс!D30</f>
        <v>Карт. Коробка</v>
      </c>
      <c r="E30" s="103"/>
      <c r="F30" s="134" t="s">
        <v>166</v>
      </c>
      <c r="G30" s="104" t="str">
        <f>+Инвойс!C30</f>
        <v>0709999000</v>
      </c>
      <c r="H30" s="103"/>
      <c r="I30" s="105">
        <f>+Инвойс!G30</f>
        <v>16530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150</v>
      </c>
      <c r="D31" s="103" t="str">
        <f>+Инвойс!D31</f>
        <v>Карт. Коробка</v>
      </c>
      <c r="E31" s="103"/>
      <c r="F31" s="134" t="s">
        <v>167</v>
      </c>
      <c r="G31" s="104" t="str">
        <f>+Инвойс!C31</f>
        <v>0709999000</v>
      </c>
      <c r="H31" s="103"/>
      <c r="I31" s="105">
        <f>+Инвойс!G31</f>
        <v>4350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60</v>
      </c>
      <c r="D32" s="103" t="str">
        <f>+Инвойс!D32</f>
        <v>Карт. Коробка</v>
      </c>
      <c r="E32" s="103"/>
      <c r="F32" s="134" t="s">
        <v>168</v>
      </c>
      <c r="G32" s="104" t="str">
        <f>+Инвойс!C32</f>
        <v>0709999000</v>
      </c>
      <c r="H32" s="103"/>
      <c r="I32" s="105">
        <f>+Инвойс!G32</f>
        <v>1740</v>
      </c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1" t="str">
        <f>+C22</f>
        <v xml:space="preserve"> 27.08.2025г.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01586DMA/018637BA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4" sqref="F24:J3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01586DMA/018637BA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UFG-M-11 от  27.08.2025г.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570</v>
      </c>
      <c r="G18" s="168" t="str">
        <f>+CMR!F30</f>
        <v>Зелень Укропа свежая</v>
      </c>
      <c r="H18" s="168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 Коробка</v>
      </c>
      <c r="G19" s="162" t="str">
        <f>+Инвойс!C30</f>
        <v>0709999000</v>
      </c>
      <c r="H19" s="163"/>
      <c r="I19" s="122" t="s">
        <v>103</v>
      </c>
      <c r="J19" s="120">
        <f>+Инвойс!G30</f>
        <v>16530</v>
      </c>
    </row>
    <row r="20" spans="2:10" ht="13.5" customHeight="1" x14ac:dyDescent="0.25">
      <c r="B20" s="83"/>
      <c r="E20" s="123"/>
      <c r="F20" s="118">
        <f>+Инвойс!E31</f>
        <v>150</v>
      </c>
      <c r="G20" s="168" t="str">
        <f>+CMR!F31</f>
        <v>Зелень Петрушки свежая</v>
      </c>
      <c r="H20" s="168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Карт. Коробка</v>
      </c>
      <c r="G21" s="162" t="str">
        <f>+Инвойс!C31</f>
        <v>0709999000</v>
      </c>
      <c r="H21" s="163"/>
      <c r="I21" s="122" t="s">
        <v>103</v>
      </c>
      <c r="J21" s="120">
        <f>+Инвойс!G31</f>
        <v>4350</v>
      </c>
    </row>
    <row r="22" spans="2:10" ht="12.75" customHeight="1" x14ac:dyDescent="0.25">
      <c r="B22" s="83"/>
      <c r="E22" s="123"/>
      <c r="F22" s="118">
        <f>+Инвойс!E32</f>
        <v>60</v>
      </c>
      <c r="G22" s="168" t="str">
        <f>+CMR!F32</f>
        <v xml:space="preserve">Зелень кинзы свежая </v>
      </c>
      <c r="H22" s="168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Карт. Коробка</v>
      </c>
      <c r="G23" s="162" t="str">
        <f>+Инвойс!C32</f>
        <v>0709999000</v>
      </c>
      <c r="H23" s="163"/>
      <c r="I23" s="122" t="s">
        <v>103</v>
      </c>
      <c r="J23" s="120">
        <f>+Инвойс!G32</f>
        <v>1740</v>
      </c>
    </row>
    <row r="24" spans="2:10" ht="12.75" customHeight="1" x14ac:dyDescent="0.25">
      <c r="B24" s="87"/>
      <c r="E24" s="123"/>
      <c r="F24" s="118"/>
      <c r="G24" s="168"/>
      <c r="H24" s="168"/>
      <c r="I24" s="119"/>
      <c r="J24" s="120"/>
    </row>
    <row r="25" spans="2:10" ht="12.75" customHeight="1" x14ac:dyDescent="0.25">
      <c r="B25" s="87"/>
      <c r="E25" s="123"/>
      <c r="F25" s="121"/>
      <c r="G25" s="162"/>
      <c r="H25" s="163"/>
      <c r="I25" s="122"/>
      <c r="J25" s="120"/>
    </row>
    <row r="26" spans="2:10" ht="12" customHeight="1" x14ac:dyDescent="0.25">
      <c r="B26" s="87"/>
      <c r="E26" s="123"/>
      <c r="F26" s="118"/>
      <c r="G26" s="168"/>
      <c r="H26" s="168"/>
      <c r="I26" s="119"/>
      <c r="J26" s="120"/>
    </row>
    <row r="27" spans="2:10" ht="14.25" customHeight="1" x14ac:dyDescent="0.25">
      <c r="B27" s="87"/>
      <c r="E27" s="123"/>
      <c r="F27" s="121"/>
      <c r="G27" s="162"/>
      <c r="H27" s="163"/>
      <c r="I27" s="122"/>
      <c r="J27" s="120"/>
    </row>
    <row r="28" spans="2:10" ht="12.75" customHeight="1" x14ac:dyDescent="0.25">
      <c r="B28" s="87"/>
      <c r="E28" s="123"/>
      <c r="F28" s="118"/>
      <c r="G28" s="168"/>
      <c r="H28" s="168"/>
      <c r="I28" s="119"/>
      <c r="J28" s="120"/>
    </row>
    <row r="29" spans="2:10" ht="12.75" customHeight="1" x14ac:dyDescent="0.25">
      <c r="B29" s="87"/>
      <c r="E29" s="123"/>
      <c r="F29" s="121"/>
      <c r="G29" s="162"/>
      <c r="H29" s="163"/>
      <c r="I29" s="122"/>
      <c r="J29" s="120"/>
    </row>
    <row r="30" spans="2:10" ht="12.75" customHeight="1" x14ac:dyDescent="0.25">
      <c r="B30" s="87"/>
      <c r="E30" s="123"/>
      <c r="F30" s="118"/>
      <c r="G30" s="168"/>
      <c r="H30" s="168"/>
      <c r="I30" s="119"/>
      <c r="J30" s="120"/>
    </row>
    <row r="31" spans="2:10" ht="13.5" customHeight="1" x14ac:dyDescent="0.25">
      <c r="B31" s="87"/>
      <c r="E31" s="123"/>
      <c r="F31" s="121"/>
      <c r="G31" s="162"/>
      <c r="H31" s="163"/>
      <c r="I31" s="122"/>
      <c r="J31" s="120"/>
    </row>
    <row r="32" spans="2:10" ht="13.5" customHeight="1" x14ac:dyDescent="0.25">
      <c r="B32" s="87"/>
      <c r="E32" s="123"/>
      <c r="F32" s="118"/>
      <c r="G32" s="168"/>
      <c r="H32" s="168"/>
      <c r="I32" s="119"/>
      <c r="J32" s="120"/>
    </row>
    <row r="33" spans="2:10" ht="13.5" customHeight="1" x14ac:dyDescent="0.25">
      <c r="B33" s="87"/>
      <c r="E33" s="123"/>
      <c r="F33" s="121"/>
      <c r="G33" s="162"/>
      <c r="H33" s="163"/>
      <c r="I33" s="122"/>
      <c r="J33" s="120"/>
    </row>
    <row r="34" spans="2:10" ht="13.5" customHeight="1" x14ac:dyDescent="0.25">
      <c r="B34" s="87"/>
      <c r="E34" s="123"/>
      <c r="F34" s="118"/>
      <c r="G34" s="168"/>
      <c r="H34" s="168"/>
      <c r="I34" s="119"/>
      <c r="J34" s="120"/>
    </row>
    <row r="35" spans="2:10" ht="12.75" customHeight="1" x14ac:dyDescent="0.25">
      <c r="B35" s="87"/>
      <c r="E35" s="123"/>
      <c r="F35" s="121"/>
      <c r="G35" s="162"/>
      <c r="H35" s="163"/>
      <c r="I35" s="122"/>
      <c r="J35" s="120"/>
    </row>
    <row r="36" spans="2:10" x14ac:dyDescent="0.25">
      <c r="B36" s="87"/>
      <c r="E36" s="123"/>
      <c r="F36" s="118"/>
      <c r="G36" s="168"/>
      <c r="H36" s="168"/>
      <c r="I36" s="119"/>
      <c r="J36" s="120"/>
    </row>
    <row r="37" spans="2:10" ht="13.5" customHeight="1" x14ac:dyDescent="0.25">
      <c r="B37" s="87"/>
      <c r="E37" s="123"/>
      <c r="F37" s="121"/>
      <c r="G37" s="162"/>
      <c r="H37" s="163"/>
      <c r="I37" s="122"/>
      <c r="J37" s="120"/>
    </row>
    <row r="38" spans="2:10" x14ac:dyDescent="0.25">
      <c r="B38" s="87"/>
      <c r="E38" s="123"/>
      <c r="F38" s="118"/>
      <c r="G38" s="168"/>
      <c r="H38" s="168"/>
      <c r="I38" s="119"/>
      <c r="J38" s="120"/>
    </row>
    <row r="39" spans="2:10" ht="13.5" customHeight="1" x14ac:dyDescent="0.25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25">
      <c r="B40" s="87"/>
      <c r="E40" s="123"/>
      <c r="F40" s="118"/>
      <c r="G40" s="168"/>
      <c r="H40" s="168"/>
      <c r="I40" s="119"/>
      <c r="J40" s="120"/>
    </row>
    <row r="41" spans="2:10" ht="14.25" hidden="1" customHeight="1" x14ac:dyDescent="0.25">
      <c r="B41" s="87"/>
      <c r="E41" s="123"/>
      <c r="F41" s="121"/>
      <c r="G41" s="162"/>
      <c r="H41" s="163"/>
      <c r="I41" s="122"/>
      <c r="J41" s="120"/>
    </row>
    <row r="42" spans="2:10" hidden="1" x14ac:dyDescent="0.25">
      <c r="B42" s="87"/>
      <c r="E42" s="123"/>
      <c r="F42" s="118"/>
      <c r="G42" s="168"/>
      <c r="H42" s="168"/>
      <c r="I42" s="119"/>
      <c r="J42" s="120"/>
    </row>
    <row r="43" spans="2:10" x14ac:dyDescent="0.25">
      <c r="B43" s="87"/>
      <c r="E43" s="123"/>
      <c r="F43" s="121"/>
      <c r="G43" s="162"/>
      <c r="H43" s="163"/>
      <c r="I43" s="122"/>
      <c r="J43" s="120"/>
    </row>
    <row r="44" spans="2:10" ht="9" customHeight="1" x14ac:dyDescent="0.25">
      <c r="B44" s="87"/>
      <c r="E44" s="95"/>
      <c r="F44" s="92"/>
      <c r="G44" s="170"/>
      <c r="H44" s="170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1">
        <f>+F18+F20+F22+F24+F26+F28+F30+F32+F34+F36+F38+F40+F42</f>
        <v>780</v>
      </c>
      <c r="E47" s="144"/>
    </row>
    <row r="48" spans="2:10" ht="17.25" customHeight="1" x14ac:dyDescent="0.25">
      <c r="B48" s="169" t="s">
        <v>105</v>
      </c>
      <c r="C48" s="169"/>
      <c r="D48" s="169"/>
      <c r="E48" s="169"/>
    </row>
    <row r="49" spans="2:5" ht="21.75" customHeight="1" x14ac:dyDescent="0.25">
      <c r="B49" s="169"/>
      <c r="C49" s="169"/>
      <c r="D49" s="169"/>
      <c r="E49" s="16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4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5" t="s">
        <v>162</v>
      </c>
      <c r="C1" s="175"/>
      <c r="D1" s="175"/>
      <c r="E1" s="175"/>
      <c r="F1" s="135" t="str">
        <f>+Инвойс!F1</f>
        <v xml:space="preserve"> 27.08.2025г.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GR-UF-01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OOO UCHQIZIL FRUITS EXPORT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tr">
        <f>+Инвойс!A14</f>
        <v>OOO UCHQIZIL FRUITS EXPORT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116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tr">
        <f>+Инвойс!E26</f>
        <v>01586DMA/018637BA</v>
      </c>
      <c r="F26" s="157"/>
      <c r="G26" s="157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9.25" customHeight="1" x14ac:dyDescent="0.2">
      <c r="A30" s="127">
        <f>+Инвойс!A30</f>
        <v>1</v>
      </c>
      <c r="B30" s="101" t="str">
        <f>+Инвойс!B30</f>
        <v>Зелень Укропа свежая  (уложено в карт. каробки в 5х ПЭТ баклашках со льдом в каждой каробке)</v>
      </c>
      <c r="C30" s="107" t="str">
        <f>+Инвойс!C30</f>
        <v>0709999000</v>
      </c>
      <c r="D30" s="114" t="str">
        <f>+Инвойс!D30</f>
        <v>Карт. Коробка</v>
      </c>
      <c r="E30" s="101">
        <f>+Инвойс!E30</f>
        <v>570</v>
      </c>
      <c r="F30" s="115" t="str">
        <f>+Инвойс!F30</f>
        <v>кг</v>
      </c>
      <c r="G30" s="106">
        <f>+Инвойс!G30</f>
        <v>16530</v>
      </c>
      <c r="H30" s="106">
        <f>+Инвойс!H30</f>
        <v>11400</v>
      </c>
      <c r="I30" s="108">
        <f>+Инвойс!I30</f>
        <v>0.85</v>
      </c>
      <c r="J30" s="13">
        <f>+Инвойс!J30</f>
        <v>9690</v>
      </c>
      <c r="K30" s="12">
        <v>0</v>
      </c>
      <c r="L30" s="12">
        <v>0</v>
      </c>
      <c r="M30" s="13">
        <f>+Инвойс!M30</f>
        <v>9690</v>
      </c>
      <c r="O30" s="100"/>
      <c r="Q30" s="100"/>
    </row>
    <row r="31" spans="1:17" ht="29.25" customHeight="1" x14ac:dyDescent="0.2">
      <c r="A31" s="127">
        <f>+Инвойс!A31</f>
        <v>2</v>
      </c>
      <c r="B31" s="101" t="str">
        <f>+Инвойс!B31</f>
        <v>Зелень Петрушки свежая  (уложено в карт. каробки в 5х ПЭТ баклашках со льдом в каждой каробке)</v>
      </c>
      <c r="C31" s="107" t="str">
        <f>+Инвойс!C31</f>
        <v>0709999000</v>
      </c>
      <c r="D31" s="114" t="str">
        <f>+Инвойс!D31</f>
        <v>Карт. Коробка</v>
      </c>
      <c r="E31" s="101">
        <f>+Инвойс!E31</f>
        <v>150</v>
      </c>
      <c r="F31" s="115" t="str">
        <f>+Инвойс!F31</f>
        <v>кг</v>
      </c>
      <c r="G31" s="106">
        <f>+Инвойс!G31</f>
        <v>4350</v>
      </c>
      <c r="H31" s="106">
        <f>+Инвойс!H31</f>
        <v>3000</v>
      </c>
      <c r="I31" s="108">
        <f>+Инвойс!I31</f>
        <v>0.85</v>
      </c>
      <c r="J31" s="13">
        <f>+Инвойс!J31</f>
        <v>2550</v>
      </c>
      <c r="K31" s="12">
        <v>0</v>
      </c>
      <c r="L31" s="12">
        <v>0</v>
      </c>
      <c r="M31" s="13">
        <f>+Инвойс!M31</f>
        <v>2550</v>
      </c>
      <c r="O31" s="100"/>
      <c r="Q31" s="100"/>
    </row>
    <row r="32" spans="1:17" ht="29.25" customHeight="1" x14ac:dyDescent="0.2">
      <c r="A32" s="127">
        <f>+Инвойс!A32</f>
        <v>3</v>
      </c>
      <c r="B32" s="101" t="str">
        <f>+Инвойс!B32</f>
        <v>Зелень кинзы свежая (уложено в карт. каробки в 5х ПЭТ баклашках со льдом в каждой каробке)</v>
      </c>
      <c r="C32" s="107" t="str">
        <f>+Инвойс!C32</f>
        <v>0709999000</v>
      </c>
      <c r="D32" s="114" t="str">
        <f>+Инвойс!D32</f>
        <v>Карт. Коробка</v>
      </c>
      <c r="E32" s="101">
        <f>+Инвойс!E32</f>
        <v>60</v>
      </c>
      <c r="F32" s="115" t="str">
        <f>+Инвойс!F32</f>
        <v>кг</v>
      </c>
      <c r="G32" s="106">
        <f>+Инвойс!G32</f>
        <v>1740</v>
      </c>
      <c r="H32" s="106">
        <f>+Инвойс!H32</f>
        <v>1200</v>
      </c>
      <c r="I32" s="108">
        <f>+Инвойс!I32</f>
        <v>0.85</v>
      </c>
      <c r="J32" s="13">
        <f>+Инвойс!J32</f>
        <v>1020</v>
      </c>
      <c r="K32" s="12">
        <v>0</v>
      </c>
      <c r="L32" s="12">
        <v>0</v>
      </c>
      <c r="M32" s="13">
        <f>+Инвойс!M32</f>
        <v>1020</v>
      </c>
      <c r="O32" s="100"/>
      <c r="Q32" s="100"/>
    </row>
    <row r="33" spans="1:16" ht="14.25" x14ac:dyDescent="0.2">
      <c r="A33" s="151" t="s">
        <v>0</v>
      </c>
      <c r="B33" s="152"/>
      <c r="C33" s="14"/>
      <c r="D33" s="15"/>
      <c r="E33" s="64">
        <f>SUM(E30:E32)</f>
        <v>780</v>
      </c>
      <c r="F33" s="15"/>
      <c r="G33" s="64">
        <f>SUM(G30:G32)</f>
        <v>22620</v>
      </c>
      <c r="H33" s="64">
        <f>SUM(H30:H32)</f>
        <v>15600</v>
      </c>
      <c r="I33" s="102"/>
      <c r="J33" s="17">
        <f>SUM(J30:J32)</f>
        <v>13260</v>
      </c>
      <c r="K33" s="16"/>
      <c r="L33" s="16"/>
      <c r="M33" s="17">
        <f>SUM(M30:M32)</f>
        <v>13260</v>
      </c>
      <c r="P33" s="66"/>
    </row>
    <row r="34" spans="1:16" ht="13.5" x14ac:dyDescent="0.25">
      <c r="A34" s="2" t="s">
        <v>17</v>
      </c>
      <c r="B34" s="3"/>
      <c r="C34" s="11"/>
      <c r="D34" s="11"/>
      <c r="E34" s="147" t="str">
        <f>Лист1!B3</f>
        <v>Тринадцать тысяч двести шестьдесят долларов США, 00 центов.</v>
      </c>
      <c r="F34" s="148"/>
      <c r="G34" s="148"/>
      <c r="H34" s="148"/>
      <c r="I34" s="148"/>
      <c r="J34" s="148"/>
      <c r="K34" s="148"/>
      <c r="L34" s="148"/>
      <c r="M34" s="148"/>
    </row>
    <row r="35" spans="1:16" ht="20.2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</row>
    <row r="36" spans="1:16" ht="25.5" customHeight="1" x14ac:dyDescent="0.2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26"/>
    </row>
    <row r="38" spans="1:16" s="18" customFormat="1" ht="15.75" x14ac:dyDescent="0.25">
      <c r="A38" s="131" t="s">
        <v>157</v>
      </c>
      <c r="B38" s="131"/>
      <c r="D38" s="18" t="str">
        <f>+Инвойс!D38</f>
        <v>ЭШТЕМИРОВ Х.Х</v>
      </c>
      <c r="E38" s="132"/>
      <c r="G38" s="129" t="s">
        <v>129</v>
      </c>
      <c r="H38" s="18" t="str">
        <f>Инвойс!G5</f>
        <v>ООО «ГРИН ВОРЛД»</v>
      </c>
      <c r="K38" s="133" t="s">
        <v>146</v>
      </c>
    </row>
    <row r="39" spans="1:16" ht="15" x14ac:dyDescent="0.25">
      <c r="A39" s="7"/>
      <c r="B39" s="9"/>
    </row>
    <row r="40" spans="1:16" ht="15" x14ac:dyDescent="0.25">
      <c r="A40" s="7"/>
      <c r="B40" s="9"/>
    </row>
    <row r="41" spans="1:16" ht="15" x14ac:dyDescent="0.25">
      <c r="A41" s="7"/>
      <c r="B41" s="9"/>
    </row>
    <row r="42" spans="1:16" ht="15" x14ac:dyDescent="0.25">
      <c r="A42" s="7"/>
      <c r="B42" s="9"/>
    </row>
    <row r="43" spans="1:16" ht="15" x14ac:dyDescent="0.25">
      <c r="A43" s="8"/>
      <c r="B43" s="9"/>
    </row>
    <row r="44" spans="1:16" x14ac:dyDescent="0.2">
      <c r="A44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5:M35"/>
    <mergeCell ref="A36:M36"/>
    <mergeCell ref="G28:H28"/>
    <mergeCell ref="I28:I29"/>
    <mergeCell ref="K28:L28"/>
    <mergeCell ref="M28:M29"/>
    <mergeCell ref="A33:B33"/>
    <mergeCell ref="E34:M34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117</v>
      </c>
    </row>
    <row r="3" spans="1:10" ht="51" x14ac:dyDescent="0.2">
      <c r="A3" s="130" t="s">
        <v>127</v>
      </c>
    </row>
    <row r="5" spans="1:10" ht="38.25" x14ac:dyDescent="0.2">
      <c r="A5" s="126" t="s">
        <v>118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6" t="s">
        <v>119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6" t="s">
        <v>120</v>
      </c>
    </row>
    <row r="10" spans="1:10" x14ac:dyDescent="0.2">
      <c r="A10" s="126"/>
      <c r="E10" s="18" t="s">
        <v>133</v>
      </c>
      <c r="J10" s="25" t="s">
        <v>134</v>
      </c>
    </row>
    <row r="11" spans="1:10" ht="51" x14ac:dyDescent="0.2">
      <c r="A11" s="126" t="s">
        <v>158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6" t="s">
        <v>121</v>
      </c>
    </row>
    <row r="15" spans="1:10" ht="38.25" x14ac:dyDescent="0.2">
      <c r="A15" s="126" t="s">
        <v>122</v>
      </c>
    </row>
    <row r="17" spans="1:1" ht="38.25" x14ac:dyDescent="0.2">
      <c r="A17" s="126" t="s">
        <v>123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Инвойс!M33</f>
        <v>13260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Тринадцать тысяч двести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45896</v>
      </c>
      <c r="O3" s="179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Тринадцать тысяч двести шестьдесят долларов США, 00 центов. (в т.ч. НДС - 357,79)</v>
      </c>
      <c r="H4" s="32"/>
      <c r="I4" s="32"/>
      <c r="J4" s="32"/>
      <c r="K4" s="180" t="str">
        <f ca="1">CONCATENATE(" «  ",P3,"  »  ",Q3,"  ",R3," г.")</f>
        <v xml:space="preserve"> «  27  »  августа  2025 г.</v>
      </c>
      <c r="L4" s="180"/>
      <c r="M4" s="180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тринадцать тысяч двести шестьдесят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тринадцать тысяч двести шестьдесят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тринадцать тысяч </v>
      </c>
      <c r="D10" s="47"/>
      <c r="E10" s="48"/>
      <c r="F10" s="41" t="str">
        <f>PROPER(F9)</f>
        <v>Т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шестьдесят долларов США, 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13260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13</v>
      </c>
      <c r="B25" s="47">
        <f>TRUNC(RIGHT(A25))</f>
        <v>3</v>
      </c>
      <c r="C25" s="51">
        <f>IF(B24=1,B25+10,IF(B25=0,0,B25))</f>
        <v>13</v>
      </c>
      <c r="D25" s="43" t="str">
        <f>IF(AND(C25&gt;9,C25&lt;16),IF(C25=10,D34,IF(C25=11,D35,IF(C25=12,D36,IF(C25=13,D37,IF(C25=14,D38,IF(C25=15,D39,)))))),"")</f>
        <v xml:space="preserve">тринадцать </v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13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132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1326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">
      <c r="A29" s="54">
        <f>E13</f>
        <v>13260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2025-08-26T19:30:26Z</cp:lastPrinted>
  <dcterms:created xsi:type="dcterms:W3CDTF">1996-10-14T23:33:28Z</dcterms:created>
  <dcterms:modified xsi:type="dcterms:W3CDTF">2025-08-26T19:30:28Z</dcterms:modified>
</cp:coreProperties>
</file>