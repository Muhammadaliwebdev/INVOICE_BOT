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4C84E49C-8B5A-4365-A414-362256E640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J31" i="2"/>
  <c r="M31" i="2" s="1"/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M31" i="7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<sst xmlns="http://schemas.openxmlformats.org/spreadsheetml/2006/main" count="214" uniqueCount="163">
  <si>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</si>
  <si>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</si>
  <si>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</si>
  <si>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</si>
  <si>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</si>
  <si>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</si>
  <si>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</si>
  <si>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</si>
  <si>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</si>
  <si>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</si>
  <si>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</si>
  <si>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</si>
  <si>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</si>
  <si>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</si>
  <si>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</si>
  <si>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</si>
  <si>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</si>
  <si>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</si>
  <si>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</si>
  <si>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</si>
  <si>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</si>
  <si>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</si>
  <si>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</si>
  <si>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</si>
  <si>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</si>
  <si>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</si>
  <si>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</si>
  <si>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</si>
  <si>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</si>
  <si>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</si>
  <si>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</si>
  <si>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</si>
  <si>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</si>
  <si>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</si>
  <si>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</si>
  <si>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</si>
  <si>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</si>
  <si>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</si>
  <si>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</si>
  <si>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</si>
  <si>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</si>
  <si>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</si>
  <si>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</si>
  <si>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</si>
  <si>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</si>
  <si>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</si>
  <si>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</si>
  <si>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</si>
  <si>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</si>
  <si>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</si>
  <si>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</si>
  <si>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</si>
  <si>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</si>
  <si>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</si>
  <si>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</si>
  <si>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</si>
  <si>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</si>
  <si>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</si>
  <si>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</si>
  <si>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</si>
  <si>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</si>
  <si>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</si>
  <si>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</si>
  <si>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</si>
  <si>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</si>
  <si>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</si>
  <si>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</si>
  <si>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</si>
  <si>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</si>
  <si>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</si>
  <si>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</si>
  <si>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</si>
  <si>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</si>
  <si>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</si>
  <si>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</si>
  <si>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</si>
  <si>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</si>
  <si>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</si>
  <si>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</si>
  <si>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</si>
  <si>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</si>
  <si>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</si>
  <si>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</si>
  <si>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</si>
  <si>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</si>
  <si>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</si>
  <si>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</si>
  <si>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</si>
  <si>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</si>
  <si>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</si>
  <si>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</si>
  <si>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</si>
  <si>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</si>
  <si>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</si>
  <si>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</si>
  <si>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</si>
  <si>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</si>
  <si>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</si>
  <si>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</si>
  <si>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</si>
  <si>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</si>
  <si>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</si>
  <si>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</si>
  <si>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</si>
  <si>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</si>
  <si>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</si>
  <si>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</si>
  <si>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</si>
  <si>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</si>
  <si>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</si>
  <si>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</si>
  <si>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</si>
  <si>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</si>
  <si>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>Томаты свежие некалиброванный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</si>
  <si>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</si>
  <si>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</si>
  <si>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</si>
  <si>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</si>
  <si>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</si>
  <si>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</si>
  <si>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</si>
  <si>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</si>
  <si>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</si>
  <si>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0702000005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</si>
  <si>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</si>
  <si>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</si>
  <si>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</si>
  <si>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</si>
  <si>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</si>
  <si>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</si>
  <si>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</si>
  <si>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</si>
  <si>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</si>
  <si>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</si>
  <si>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</si>
  <si>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</si>
  <si>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</si>
  <si>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</si>
  <si>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</si>
  <si>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</si>
  <si>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</si>
  <si>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</si>
  <si>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</si>
  <si>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</si>
  <si>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</si>
  <si>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</si>
  <si>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</si>
  <si>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</si>
  <si>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</si>
  <si>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</si>
  <si>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</si>
  <si>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</si>
  <si>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</si>
  <si>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</si>
  <si>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</si>
  <si>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</si>
  <si>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</si>
  <si>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Енисейская, 87А код поста 10504080   ООО "ГРИН ВОРЛД" 
RU/0237/2 от 27.12.2024</t>
  </si>
  <si>
    <t xml:space="preserve"> 04.09.2025г.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</si>
  <si>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</si>
  <si>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ИНВОЙС № VG-N-76 от </t>
  </si>
  <si>
    <t xml:space="preserve">СПЕЦИФИКАЦИЯ № VG-N-76 от </t>
  </si>
  <si>
    <t>85Y987OA/855805AA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</si>
</sst>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37</xdr:row>
      <xdr:rowOff>89647</xdr:rowOff>
    </xdr:from>
    <xdr:to>
      <xdr:col>4</xdr:col>
      <xdr:colOff>166394</xdr:colOff>
      <xdr:row>40</xdr:row>
      <xdr:rowOff>171674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37</xdr:row>
      <xdr:rowOff>100852</xdr:rowOff>
    </xdr:from>
    <xdr:to>
      <xdr:col>3</xdr:col>
      <xdr:colOff>47624</xdr:colOff>
      <xdr:row>49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37</xdr:row>
      <xdr:rowOff>145677</xdr:rowOff>
    </xdr:from>
    <xdr:to>
      <xdr:col>3</xdr:col>
      <xdr:colOff>569805</xdr:colOff>
      <xdr:row>41</xdr:row>
      <xdr:rowOff>44825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37</xdr:row>
      <xdr:rowOff>156882</xdr:rowOff>
    </xdr:from>
    <xdr:to>
      <xdr:col>2</xdr:col>
      <xdr:colOff>462242</xdr:colOff>
      <xdr:row>50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37</xdr:row>
      <xdr:rowOff>145676</xdr:rowOff>
    </xdr:from>
    <xdr:to>
      <xdr:col>9</xdr:col>
      <xdr:colOff>634813</xdr:colOff>
      <xdr:row>49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158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148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139</v>
      </c>
      <c r="B5" s="136"/>
      <c r="C5" s="136"/>
      <c r="D5" s="136"/>
      <c r="E5" s="136"/>
      <c r="F5" s="6"/>
      <c r="G5" s="138" t="s">
        <v>149</v>
      </c>
      <c r="H5" s="138"/>
      <c r="I5" s="138"/>
      <c r="J5" s="138"/>
      <c r="K5" s="138"/>
      <c r="L5" s="138"/>
      <c r="M5" s="138"/>
    </row>
    <row r="6" spans="1:15" ht="13.8" x14ac:dyDescent="0.25">
      <c r="A6" s="142" t="s">
        <v>140</v>
      </c>
      <c r="B6" s="143"/>
      <c r="C6" s="143"/>
      <c r="D6" s="143"/>
      <c r="E6" s="143"/>
      <c r="F6" s="7"/>
      <c r="G6" s="140" t="s">
        <v>150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147</v>
      </c>
      <c r="B7" s="143"/>
      <c r="C7" s="143"/>
      <c r="D7" s="143"/>
      <c r="E7" s="143"/>
      <c r="F7" s="63"/>
      <c r="G7" s="140" t="s">
        <v>151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141</v>
      </c>
      <c r="B8" s="8"/>
      <c r="C8" s="8"/>
      <c r="D8" s="8"/>
      <c r="E8" s="8"/>
      <c r="F8" s="63"/>
      <c r="G8" s="7" t="s">
        <v>152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142</v>
      </c>
      <c r="B9" s="8"/>
      <c r="C9" s="8"/>
      <c r="D9" s="8"/>
      <c r="E9" s="8"/>
      <c r="F9" s="7"/>
      <c r="G9" s="7" t="s">
        <v>153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143</v>
      </c>
      <c r="B10" s="125"/>
      <c r="C10" s="125"/>
      <c r="D10" s="125"/>
      <c r="E10" s="125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144</v>
      </c>
      <c r="B11" s="8"/>
      <c r="C11" s="8"/>
      <c r="D11" s="8"/>
      <c r="E11" s="8"/>
      <c r="F11" s="7"/>
      <c r="G11" s="7" t="s">
        <v>154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 t="s">
        <v>155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139</v>
      </c>
      <c r="B14" s="136"/>
      <c r="C14" s="136"/>
      <c r="D14" s="136"/>
      <c r="E14" s="136"/>
      <c r="F14" s="6"/>
      <c r="G14" s="138" t="s">
        <v>149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140</v>
      </c>
      <c r="B15" s="143"/>
      <c r="C15" s="143"/>
      <c r="D15" s="143"/>
      <c r="E15" s="143"/>
      <c r="F15" s="7"/>
      <c r="G15" s="140" t="s">
        <v>150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147</v>
      </c>
      <c r="B16" s="143"/>
      <c r="C16" s="143"/>
      <c r="D16" s="143"/>
      <c r="E16" s="143"/>
      <c r="F16" s="63"/>
      <c r="G16" s="140" t="s">
        <v>151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141</v>
      </c>
      <c r="B17" s="8"/>
      <c r="C17" s="8"/>
      <c r="D17" s="8"/>
      <c r="E17" s="8"/>
      <c r="F17" s="63"/>
      <c r="G17" s="7" t="s">
        <v>152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142</v>
      </c>
      <c r="B18" s="8"/>
      <c r="C18" s="8"/>
      <c r="D18" s="8"/>
      <c r="E18" s="8"/>
      <c r="F18" s="7"/>
      <c r="G18" s="7" t="s">
        <v>153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143</v>
      </c>
      <c r="B19" s="125"/>
      <c r="C19" s="125"/>
      <c r="D19" s="125"/>
      <c r="E19" s="125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144</v>
      </c>
      <c r="B20" s="8"/>
      <c r="C20" s="8"/>
      <c r="D20" s="8"/>
      <c r="E20" s="8"/>
      <c r="F20" s="7"/>
      <c r="G20" s="7" t="s">
        <v>154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39" t="s">
        <v>155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124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137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13.8" x14ac:dyDescent="0.25">
      <c r="A30" s="127">
        <v>1</v>
      </c>
      <c r="B30" s="101" t="s">
        <v>113</v>
      </c>
      <c r="C30" s="107" t="s">
        <v>123</v>
      </c>
      <c r="D30" s="109" t="s">
        <v>112</v>
      </c>
      <c r="E30" s="101">
        <v>2860</v>
      </c>
      <c r="F30" s="110" t="s">
        <v>27</v>
      </c>
      <c r="G30" s="106">
        <v>20306</v>
      </c>
      <c r="H30" s="106">
        <v>15730</v>
      </c>
      <c r="I30" s="108">
        <v>0.55000000000000004</v>
      </c>
      <c r="J30" s="13">
        <f t="shared" ref="J30:J31" si="0">H30*I30</f>
        <v>8651.5</v>
      </c>
      <c r="K30" s="12">
        <v>0</v>
      </c>
      <c r="L30" s="12">
        <v>0</v>
      </c>
      <c r="M30" s="13">
        <f t="shared" ref="M30:M31" si="1">J30</f>
        <v>8651.5</v>
      </c>
      <c r="O30" s="100"/>
      <c r="Q30" s="100"/>
    </row>
    <row r="31" spans="1:17" ht="13.8" x14ac:dyDescent="0.25">
      <c r="A31" s="127">
        <v>2</v>
      </c>
      <c r="B31" s="101" t="s">
        <v>113</v>
      </c>
      <c r="C31" s="107" t="s">
        <v>123</v>
      </c>
      <c r="D31" s="109" t="s">
        <v>112</v>
      </c>
      <c r="E31" s="101">
        <v>100</v>
      </c>
      <c r="F31" s="110" t="s">
        <v>27</v>
      </c>
      <c r="G31" s="106">
        <v>730</v>
      </c>
      <c r="H31" s="106">
        <v>570</v>
      </c>
      <c r="I31" s="108">
        <v>0.55000000000000004</v>
      </c>
      <c r="J31" s="13">
        <f t="shared" si="0"/>
        <v>313.5</v>
      </c>
      <c r="K31" s="12">
        <v>0</v>
      </c>
      <c r="L31" s="12">
        <v>0</v>
      </c>
      <c r="M31" s="13">
        <f t="shared" si="1"/>
        <v>313.5</v>
      </c>
      <c r="O31" s="100"/>
      <c r="Q31" s="100"/>
    </row>
    <row r="32" spans="1:17" ht="13.8" x14ac:dyDescent="0.25">
      <c r="A32" s="150" t="s">
        <v>0</v>
      </c>
      <c r="B32" s="151"/>
      <c r="C32" s="14"/>
      <c r="D32" s="15"/>
      <c r="E32" s="64">
        <f>SUM(E30:E31)</f>
        <v>2960</v>
      </c>
      <c r="F32" s="15"/>
      <c r="G32" s="64">
        <f>SUM(G30:G31)</f>
        <v>21036</v>
      </c>
      <c r="H32" s="64">
        <f>SUM(H30:H31)</f>
        <v>16300</v>
      </c>
      <c r="I32" s="102"/>
      <c r="J32" s="17">
        <f>SUM(J30:J31)</f>
        <v>8965</v>
      </c>
      <c r="K32" s="16"/>
      <c r="L32" s="16"/>
      <c r="M32" s="17">
        <f>SUM(M30:M31)</f>
        <v>8965</v>
      </c>
      <c r="P32" s="66"/>
    </row>
    <row r="33" spans="1:14" ht="13.8" x14ac:dyDescent="0.3">
      <c r="A33" s="2" t="s">
        <v>17</v>
      </c>
      <c r="B33" s="3"/>
      <c r="C33" s="11"/>
      <c r="D33" s="11"/>
      <c r="E33" s="146" t="str">
        <f>Лист1!B3</f>
        <v>Восемь тысяч девятьсот шестьдесят пять долларов США, 00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5">
      <c r="A35" s="144" t="s">
        <v>109</v>
      </c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ht="13.8" x14ac:dyDescent="0.25">
      <c r="A37" s="7" t="s">
        <v>28</v>
      </c>
      <c r="B37" s="7"/>
      <c r="D37" s="25" t="s">
        <v>145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32" sqref="B32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04.09.2025г.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VG-N-76 от  04.09.2025г.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2860</v>
      </c>
      <c r="D30" s="103" t="str">
        <f>+Инвойс!D30</f>
        <v>Дер. ящик</v>
      </c>
      <c r="E30" s="103"/>
      <c r="F30" s="103" t="str">
        <f>+Инвойс!B30</f>
        <v>Томаты свежие некалиброванный</v>
      </c>
      <c r="G30" s="104" t="str">
        <f>+Инвойс!C30</f>
        <v>0702000005</v>
      </c>
      <c r="H30" s="103"/>
      <c r="I30" s="105">
        <f>+Инвойс!G30</f>
        <v>20306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100</v>
      </c>
      <c r="D31" s="103" t="str">
        <f>+Инвойс!D31</f>
        <v>Дер. ящик</v>
      </c>
      <c r="E31" s="103"/>
      <c r="F31" s="103" t="str">
        <f>+Инвойс!B31</f>
        <v>Томаты свежие некалиброванный</v>
      </c>
      <c r="G31" s="104" t="str">
        <f>+Инвойс!C31</f>
        <v>0702000005</v>
      </c>
      <c r="H31" s="103"/>
      <c r="I31" s="105">
        <f>+Инвойс!G31</f>
        <v>730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"ОМАС" 10610050 - т/п Омский 
644117, Омская обл., г. Омск, ул. 3-я Молодежная, д. 6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60" t="str">
        <f>+C22</f>
        <v xml:space="preserve"> 04.09.2025г.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85Y987OA/855805AA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F22" sqref="F22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85Y987OA/855805AA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04.09.2025г.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VG-N-76 от  04.09.2025г.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2860</v>
      </c>
      <c r="G18" s="167" t="str">
        <f>+CMR!F30</f>
        <v>Томаты свежие некалиброванный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Дер. ящик</v>
      </c>
      <c r="G19" s="161" t="str">
        <f>+Инвойс!C30</f>
        <v>0702000005</v>
      </c>
      <c r="H19" s="162"/>
      <c r="I19" s="122" t="s">
        <v>103</v>
      </c>
      <c r="J19" s="120">
        <f>+Инвойс!G30</f>
        <v>20306</v>
      </c>
    </row>
    <row r="20" spans="2:10" ht="13.5" customHeight="1" x14ac:dyDescent="0.3">
      <c r="B20" s="83"/>
      <c r="E20" s="123"/>
      <c r="F20" s="118">
        <f>+Инвойс!E31</f>
        <v>100</v>
      </c>
      <c r="G20" s="167" t="str">
        <f>+CMR!F31</f>
        <v>Томаты свежие некалиброванный</v>
      </c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Дер. ящик</v>
      </c>
      <c r="G21" s="161" t="str">
        <f>+Инвойс!C31</f>
        <v>0702000005</v>
      </c>
      <c r="H21" s="162"/>
      <c r="I21" s="122" t="s">
        <v>103</v>
      </c>
      <c r="J21" s="120">
        <f>+Инвойс!G31</f>
        <v>730</v>
      </c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2960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zoomScale="70" zoomScaleNormal="70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161</v>
      </c>
      <c r="C1" s="174"/>
      <c r="D1" s="174"/>
      <c r="E1" s="174"/>
      <c r="F1" s="134" t="str">
        <f>+Инвойс!F1</f>
        <v xml:space="preserve"> 04.09.2025г.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GR-VT-01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ООО «VISTOTRADE»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 xml:space="preserve">Республика Узбекистан. Кашкадарьинская область, 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Г. Гулам, МФУ, улица Гузара, дом 14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«KAPITAL BANK» МФО: 01158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р/с: 20208840407263267001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SWIFT: KACHUZ22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ИНН: 312236782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ООО «VISTOTRADE»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 xml:space="preserve">Республика Узбекистан. Кашкадарьинская область, 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Г. Гулам, МФУ, улица Гузара, дом 14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«KAPITAL BANK» МФО: 01158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р/с: 20208840407263267001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SWIFT: KACHUZ22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ИНН: 312236782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125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116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85Y987OA/855805AA</v>
      </c>
      <c r="F26" s="156"/>
      <c r="G26" s="156"/>
      <c r="J26" s="21"/>
    </row>
    <row r="27" spans="1:17" ht="34.5" customHeight="1" x14ac:dyDescent="0.25">
      <c r="A27" s="67" t="s">
        <v>126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f>+Инвойс!A30</f>
        <v>1</v>
      </c>
      <c r="B30" s="101" t="str">
        <f>+Инвойс!B30</f>
        <v>Томаты свежие некалиброванный</v>
      </c>
      <c r="C30" s="107" t="str">
        <f>+Инвойс!C30</f>
        <v>0702000005</v>
      </c>
      <c r="D30" s="115" t="str">
        <f>+Инвойс!D30</f>
        <v>Дер. ящик</v>
      </c>
      <c r="E30" s="101">
        <f>+Инвойс!E30</f>
        <v>2860</v>
      </c>
      <c r="F30" s="116" t="str">
        <f>+Инвойс!F30</f>
        <v>кг</v>
      </c>
      <c r="G30" s="106">
        <f>+Инвойс!G30</f>
        <v>20306</v>
      </c>
      <c r="H30" s="106">
        <f>+Инвойс!H30</f>
        <v>15730</v>
      </c>
      <c r="I30" s="108">
        <f>+Инвойс!I30</f>
        <v>0.55000000000000004</v>
      </c>
      <c r="J30" s="13">
        <f>+Инвойс!J30</f>
        <v>8651.5</v>
      </c>
      <c r="K30" s="12">
        <v>0</v>
      </c>
      <c r="L30" s="12">
        <v>0</v>
      </c>
      <c r="M30" s="13">
        <f>+Инвойс!M30</f>
        <v>8651.5</v>
      </c>
      <c r="O30" s="100"/>
      <c r="Q30" s="100"/>
    </row>
    <row r="31" spans="1:17" ht="27.6" x14ac:dyDescent="0.25">
      <c r="A31" s="127">
        <f>+Инвойс!A31</f>
        <v>2</v>
      </c>
      <c r="B31" s="101" t="str">
        <f>+Инвойс!B31</f>
        <v>Томаты свежие некалиброванный</v>
      </c>
      <c r="C31" s="107" t="str">
        <f>+Инвойс!C31</f>
        <v>0702000005</v>
      </c>
      <c r="D31" s="115" t="str">
        <f>+Инвойс!D31</f>
        <v>Дер. ящик</v>
      </c>
      <c r="E31" s="101">
        <f>+Инвойс!E31</f>
        <v>100</v>
      </c>
      <c r="F31" s="116" t="str">
        <f>+Инвойс!F31</f>
        <v>кг</v>
      </c>
      <c r="G31" s="106">
        <f>+Инвойс!G31</f>
        <v>730</v>
      </c>
      <c r="H31" s="106">
        <f>+Инвойс!H31</f>
        <v>570</v>
      </c>
      <c r="I31" s="108">
        <f>+Инвойс!I31</f>
        <v>0.55000000000000004</v>
      </c>
      <c r="J31" s="13">
        <f>+Инвойс!J31</f>
        <v>313.5</v>
      </c>
      <c r="K31" s="12">
        <v>0</v>
      </c>
      <c r="L31" s="12">
        <v>0</v>
      </c>
      <c r="M31" s="13">
        <f>+Инвойс!M31</f>
        <v>313.5</v>
      </c>
      <c r="O31" s="100"/>
      <c r="Q31" s="100"/>
    </row>
    <row r="32" spans="1:17" ht="13.8" x14ac:dyDescent="0.25">
      <c r="A32" s="150" t="s">
        <v>0</v>
      </c>
      <c r="B32" s="151"/>
      <c r="C32" s="14"/>
      <c r="D32" s="15"/>
      <c r="E32" s="64">
        <f>SUM(E30:E31)</f>
        <v>2960</v>
      </c>
      <c r="F32" s="15"/>
      <c r="G32" s="64">
        <f>SUM(G30:G31)</f>
        <v>21036</v>
      </c>
      <c r="H32" s="64">
        <f>SUM(H30:H31)</f>
        <v>16300</v>
      </c>
      <c r="I32" s="102"/>
      <c r="J32" s="17">
        <f>SUM(J30:J31)</f>
        <v>8965</v>
      </c>
      <c r="K32" s="16"/>
      <c r="L32" s="16"/>
      <c r="M32" s="17">
        <f>SUM(M30:M31)</f>
        <v>8965</v>
      </c>
      <c r="P32" s="66"/>
    </row>
    <row r="33" spans="1:14" ht="13.8" x14ac:dyDescent="0.3">
      <c r="A33" s="2" t="s">
        <v>17</v>
      </c>
      <c r="B33" s="3"/>
      <c r="C33" s="11"/>
      <c r="D33" s="11"/>
      <c r="E33" s="146" t="str">
        <f>Лист1!B3</f>
        <v>Восемь тысяч девятьсот шестьдесят пять долларов США, 00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s="18" customFormat="1" ht="15.6" x14ac:dyDescent="0.3">
      <c r="A37" s="131" t="s">
        <v>146</v>
      </c>
      <c r="B37" s="131"/>
      <c r="D37" s="18" t="str">
        <f>+Инвойс!D37</f>
        <v>Авазов К.Ф</v>
      </c>
      <c r="E37" s="132"/>
      <c r="G37" s="129" t="s">
        <v>129</v>
      </c>
      <c r="H37" s="18" t="str">
        <f>Инвойс!G5</f>
        <v>ООО «ГРИН ВОРЛД»</v>
      </c>
      <c r="K37" s="133" t="s">
        <v>156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A5" sqref="A5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117</v>
      </c>
    </row>
    <row r="3" spans="1:10" ht="52.8" x14ac:dyDescent="0.25">
      <c r="A3" s="130" t="s">
        <v>127</v>
      </c>
    </row>
    <row r="5" spans="1:10" ht="92.4" x14ac:dyDescent="0.25">
      <c r="A5" s="126" t="s">
        <v>159</v>
      </c>
    </row>
    <row r="6" spans="1:10" x14ac:dyDescent="0.25">
      <c r="E6" s="18" t="s">
        <v>128</v>
      </c>
      <c r="J6" s="25" t="s">
        <v>131</v>
      </c>
    </row>
    <row r="7" spans="1:10" ht="52.8" x14ac:dyDescent="0.25">
      <c r="A7" s="126" t="s">
        <v>118</v>
      </c>
    </row>
    <row r="8" spans="1:10" x14ac:dyDescent="0.25">
      <c r="E8" s="18" t="s">
        <v>137</v>
      </c>
      <c r="J8" s="25" t="s">
        <v>132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133</v>
      </c>
      <c r="J10" s="25" t="s">
        <v>134</v>
      </c>
    </row>
    <row r="11" spans="1:10" ht="52.8" x14ac:dyDescent="0.25">
      <c r="A11" s="126" t="s">
        <v>157</v>
      </c>
    </row>
    <row r="12" spans="1:10" x14ac:dyDescent="0.25">
      <c r="E12" s="18" t="s">
        <v>135</v>
      </c>
      <c r="J12" s="25" t="s">
        <v>136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124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Инвойс!M32</f>
        <v>8965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Восемь тысяч девятьсот шестьдесят пять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45904</v>
      </c>
      <c r="O3" s="178"/>
      <c r="P3">
        <f ca="1">DAY(N3)</f>
        <v>4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Восемь тысяч девятьсот шестьдесят пять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4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восемь тысяч девятьсот шестьдесят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восемь тысяч девятьсот шестьдесят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226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в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восемь тысяч </v>
      </c>
      <c r="D10" s="47"/>
      <c r="E10" s="48"/>
      <c r="F10" s="41" t="str">
        <f>PROPER(F9)</f>
        <v>В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девятьсот шестьдесят пять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45904</v>
      </c>
    </row>
    <row r="13" spans="1:19" s="43" customFormat="1" x14ac:dyDescent="0.25">
      <c r="A13" s="49"/>
      <c r="D13" s="51"/>
      <c r="E13" s="52">
        <f>TRUNC(E2)</f>
        <v>8965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8</v>
      </c>
      <c r="B25" s="47">
        <f>TRUNC(RIGHT(A25))</f>
        <v>8</v>
      </c>
      <c r="C25" s="51">
        <f>IF(B24=1,B25+10,IF(B25=0,0,B25))</f>
        <v>8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восемь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8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89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896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8965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965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2025-09-04T13:47:43Z</cp:lastPrinted>
  <dcterms:created xsi:type="dcterms:W3CDTF">1996-10-14T23:33:28Z</dcterms:created>
  <dcterms:modified xsi:type="dcterms:W3CDTF">2025-09-04T13:47:46Z</dcterms:modified>
</cp:coreProperties>
</file>