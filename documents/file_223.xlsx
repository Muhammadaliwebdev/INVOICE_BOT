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J30" i="2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<sst xmlns="http://schemas.openxmlformats.org/spreadsheetml/2006/main" count="201" uniqueCount="163">
  <si>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</si>
  <si>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</si>
  <si>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</si>
  <si>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</si>
  <si>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</si>
  <si>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</si>
  <si>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</si>
  <si>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</si>
  <si>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</si>
  <si>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</si>
  <si>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</si>
  <si>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</si>
  <si>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</si>
  <si>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</si>
  <si>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</si>
  <si>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</si>
  <si>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</si>
  <si>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</si>
  <si>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</si>
  <si>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</si>
  <si>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</si>
  <si>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</si>
  <si>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</si>
  <si>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</si>
  <si>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</si>
  <si>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</si>
  <si>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</si>
  <si>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</si>
  <si>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</si>
  <si>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</si>
  <si>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</si>
  <si>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</si>
  <si>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</si>
  <si>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</si>
  <si>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</si>
  <si>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</si>
  <si>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</si>
  <si>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</si>
  <si>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</si>
  <si>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</si>
  <si>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</si>
  <si>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</si>
  <si>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</si>
  <si>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</si>
  <si>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</si>
  <si>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</si>
  <si>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</si>
  <si>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</si>
  <si>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</si>
  <si>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</si>
  <si>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</si>
  <si>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</si>
  <si>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</si>
  <si>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</si>
  <si>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</si>
  <si>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</si>
  <si>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</si>
  <si>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</si>
  <si>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</si>
  <si>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</si>
  <si>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</si>
  <si>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</si>
  <si>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</si>
  <si>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</si>
  <si>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</si>
  <si>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</si>
  <si>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</si>
  <si>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</si>
  <si>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</si>
  <si>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</si>
  <si>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</si>
  <si>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</si>
  <si>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</si>
  <si>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</si>
  <si>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</si>
  <si>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</si>
  <si>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</si>
  <si>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</si>
  <si>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</si>
  <si>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</si>
  <si>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</si>
  <si>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</si>
  <si>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</si>
  <si>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</si>
  <si>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</si>
  <si>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</si>
  <si>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</si>
  <si>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</si>
  <si>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</si>
  <si>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</si>
  <si>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</si>
  <si>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</si>
  <si>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</si>
  <si>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</si>
  <si>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</si>
  <si>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</si>
  <si>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</si>
  <si>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</si>
  <si>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</si>
  <si>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</si>
  <si>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</si>
  <si>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</si>
  <si>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</si>
  <si>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</si>
  <si>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</si>
  <si>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</si>
  <si>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</si>
  <si>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</si>
  <si>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</si>
  <si>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</si>
  <si>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</si>
  <si>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</si>
  <si>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</si>
  <si>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</si>
  <si>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</si>
  <si>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</si>
  <si>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</si>
  <si>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</si>
  <si>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</si>
  <si>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</si>
  <si>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</si>
  <si>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</si>
  <si>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</si>
  <si>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</si>
  <si>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</si>
  <si>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</si>
  <si>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</si>
  <si>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</si>
  <si>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</si>
  <si>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</si>
  <si>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</si>
  <si>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</si>
  <si>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</si>
  <si>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</si>
  <si>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</si>
  <si>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</si>
  <si>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</si>
  <si>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</si>
  <si>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</si>
  <si>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</si>
  <si>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</si>
  <si>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</si>
  <si>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</si>
  <si>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</si>
  <si>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</si>
  <si>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</si>
  <si>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</si>
  <si>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</si>
  <si>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</si>
  <si>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</si>
  <si>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</si>
  <si>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</si>
  <si>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</si>
  <si>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</si>
  <si>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</si>
  <si>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</si>
  <si>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</si>
  <si>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</si>
  <si>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</si>
  <si>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13.08.2025г.</t>
  </si>
  <si>
    <t xml:space="preserve">ИНВОЙС № BEZ-A-88 от </t>
  </si>
  <si>
    <t xml:space="preserve">СПЕЦИФИКАЦИЯ № BEZ-A-88 от </t>
  </si>
  <si>
    <t>01831SHA/019444BA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</si>
</sst>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xmlns="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xmlns="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160</v>
      </c>
      <c r="D1" s="149"/>
      <c r="E1" s="149"/>
      <c r="F1" s="148" t="s">
        <v>159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149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150</v>
      </c>
      <c r="B5" s="150"/>
      <c r="C5" s="150"/>
      <c r="D5" s="150"/>
      <c r="E5" s="150"/>
      <c r="F5" s="6"/>
      <c r="G5" s="143" t="s">
        <v>139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151</v>
      </c>
      <c r="B6" s="124"/>
      <c r="C6" s="124"/>
      <c r="D6" s="124"/>
      <c r="E6" s="124"/>
      <c r="F6" s="7"/>
      <c r="G6" s="138" t="s">
        <v>140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152</v>
      </c>
      <c r="B7" s="124"/>
      <c r="C7" s="124"/>
      <c r="D7" s="124"/>
      <c r="E7" s="124"/>
      <c r="F7" s="63"/>
      <c r="G7" s="138" t="s">
        <v>141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155</v>
      </c>
      <c r="B10" s="124"/>
      <c r="C10" s="124"/>
      <c r="D10" s="124"/>
      <c r="E10" s="124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150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151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152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155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119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162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970</v>
      </c>
      <c r="F30" s="115" t="s">
        <v>27</v>
      </c>
      <c r="G30" s="106">
        <v>23000</v>
      </c>
      <c r="H30" s="106">
        <v>21254</v>
      </c>
      <c r="I30" s="108">
        <v>0.2</v>
      </c>
      <c r="J30" s="13">
        <f t="shared" ref="J30" si="0">H30*I30</f>
        <v>4250.8</v>
      </c>
      <c r="K30" s="12">
        <v>0</v>
      </c>
      <c r="L30" s="12">
        <v>0</v>
      </c>
      <c r="M30" s="13">
        <f t="shared" ref="M30" si="1">J30</f>
        <v>4250.8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4250.8</v>
      </c>
      <c r="K31" s="16"/>
      <c r="L31" s="16"/>
      <c r="M31" s="17">
        <f>SUM(M30:M30)</f>
        <v>4250.8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пятьдесят долларов США, 80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Normal="100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BEZ-A-88 от  13.08.2025г.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"Уралкомплект" 10412130 - т/п Оренбургский
460027, Оренбургская обл., г. Оренбург, ул. Донгузская, д. 62А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13.08.2025г.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01831SHA/019444BA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="70" zoomScaleNormal="70" workbookViewId="0">
      <selection activeCell="B48" sqref="B48:E49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01831SHA/019444BA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BEZ-A-88 от  13.08.2025г.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970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59"/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970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161</v>
      </c>
      <c r="C1" s="168"/>
      <c r="D1" s="168"/>
      <c r="E1" s="168"/>
      <c r="F1" s="148" t="str">
        <f>+Инвойс!F1</f>
        <v xml:space="preserve"> 13.08.2025г.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Казыгурт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01831SHA/019444BA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970</v>
      </c>
      <c r="F30" s="115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</v>
      </c>
      <c r="J30" s="13">
        <f>+Инвойс!J30</f>
        <v>4250.8</v>
      </c>
      <c r="K30" s="12">
        <v>0</v>
      </c>
      <c r="L30" s="12">
        <v>0</v>
      </c>
      <c r="M30" s="13">
        <f>+Инвойс!M30</f>
        <v>4250.8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4250.8</v>
      </c>
      <c r="K31" s="16"/>
      <c r="L31" s="16"/>
      <c r="M31" s="17">
        <f>SUM(M30:M30)</f>
        <v>4250.8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пятьдесят долларов США, 80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158</v>
      </c>
      <c r="B36" s="7"/>
      <c r="D36" s="25" t="s">
        <v>157</v>
      </c>
      <c r="E36" s="24"/>
      <c r="G36" s="128" t="s">
        <v>146</v>
      </c>
      <c r="H36" t="str">
        <f>Инвойс!G5</f>
        <v>ООО ТД «РЕСУРС»</v>
      </c>
      <c r="K36" s="129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4250.8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пятьдесят долларов США, 80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45882</v>
      </c>
      <c r="O3" s="175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пятьдесят долларов США, 80 центов. (в т.ч. НДС - 357,79)</v>
      </c>
      <c r="H4" s="32"/>
      <c r="I4" s="32"/>
      <c r="J4" s="32"/>
      <c r="K4" s="176" t="str">
        <f ca="1">CONCATENATE(" «  ",P3,"  »  ",Q3,"  ",R3," г.")</f>
        <v xml:space="preserve"> «  13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пятьдесят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пятьдесят долларов США, 80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4250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4250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2025-08-13T14:28:57Z</cp:lastPrinted>
  <dcterms:created xsi:type="dcterms:W3CDTF">1996-10-14T23:33:28Z</dcterms:created>
  <dcterms:modified xsi:type="dcterms:W3CDTF">2025-08-13T14:29:00Z</dcterms:modified>
</cp:coreProperties>
</file>