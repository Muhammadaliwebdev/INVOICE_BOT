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3B624CE-40EA-4307-ABCE-93E0E2D2A5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<sst xmlns="http://schemas.openxmlformats.org/spreadsheetml/2006/main" count="201" uniqueCount="163">
  <si>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</si>
  <si>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</si>
  <si>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</si>
  <si>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</si>
  <si>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</si>
  <si>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</si>
  <si>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</si>
  <si>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</si>
  <si>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</si>
  <si>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</si>
  <si>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</si>
  <si>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</si>
  <si>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</si>
  <si>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</si>
  <si>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</si>
  <si>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</si>
  <si>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</si>
  <si>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</si>
  <si>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</si>
  <si>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</si>
  <si>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</si>
  <si>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</si>
  <si>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</si>
  <si>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</si>
  <si>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</si>
  <si>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</si>
  <si>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</si>
  <si>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</si>
  <si>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</si>
  <si>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</si>
  <si>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</si>
  <si>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</si>
  <si>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</si>
  <si>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</si>
  <si>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</si>
  <si>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</si>
  <si>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</si>
  <si>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</si>
  <si>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</si>
  <si>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</si>
  <si>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</si>
  <si>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</si>
  <si>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</si>
  <si>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</si>
  <si>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</si>
  <si>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</si>
  <si>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</si>
  <si>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</si>
  <si>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</si>
  <si>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</si>
  <si>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</si>
  <si>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</si>
  <si>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</si>
  <si>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</si>
  <si>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</si>
  <si>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</si>
  <si>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</si>
  <si>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</si>
  <si>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</si>
  <si>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</si>
  <si>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</si>
  <si>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</si>
  <si>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</si>
  <si>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</si>
  <si>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</si>
  <si>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</si>
  <si>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</si>
  <si>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</si>
  <si>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</si>
  <si>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</si>
  <si>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</si>
  <si>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</si>
  <si>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</si>
  <si>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</si>
  <si>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</si>
  <si>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</si>
  <si>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</si>
  <si>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</si>
  <si>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</si>
  <si>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</si>
  <si>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</si>
  <si>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</si>
  <si>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</si>
  <si>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</si>
  <si>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</si>
  <si>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</si>
  <si>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</si>
  <si>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</si>
  <si>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</si>
  <si>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</si>
  <si>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</si>
  <si>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</si>
  <si>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</si>
  <si>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</si>
  <si>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</si>
  <si>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</si>
  <si>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</si>
  <si>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</si>
  <si>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</si>
  <si>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</si>
  <si>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</si>
  <si>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</si>
  <si>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</si>
  <si>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</si>
  <si>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</si>
  <si>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</si>
  <si>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</si>
  <si>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</si>
  <si>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</si>
  <si>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</si>
  <si>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</si>
  <si>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</si>
  <si>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</si>
  <si>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</si>
  <si>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</si>
  <si>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</si>
  <si>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</si>
  <si>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</si>
  <si>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</si>
  <si>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</si>
  <si>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</si>
  <si>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</si>
  <si>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</si>
  <si>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</si>
  <si>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</si>
  <si>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</si>
  <si>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</si>
  <si>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</si>
  <si>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</si>
  <si>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</si>
  <si>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</si>
  <si>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</si>
  <si>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</si>
  <si>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</si>
  <si>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</si>
  <si>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</si>
  <si>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</si>
  <si>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</si>
  <si>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</si>
  <si>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</si>
  <si>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</si>
  <si>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</si>
  <si>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</si>
  <si>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</si>
  <si>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</si>
  <si>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</si>
  <si>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</si>
  <si>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</si>
  <si>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</si>
  <si>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</si>
  <si>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</si>
  <si>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</si>
  <si>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</si>
  <si>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</si>
  <si>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</si>
  <si>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</si>
  <si>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</si>
  <si>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</si>
  <si>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BEZ-F-59 от </t>
  </si>
  <si>
    <t xml:space="preserve"> 14.08.2025г.</t>
  </si>
  <si>
    <t>DAP - с Амандык , Республика Казахстан</t>
  </si>
  <si>
    <t>30562NBA/307043AA</t>
  </si>
  <si>
    <t xml:space="preserve">СПЕЦИФИКАЦИЯ № BEZ-F-59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</si>
</sst>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1040</v>
      </c>
      <c r="F30" s="110" t="s">
        <v>27</v>
      </c>
      <c r="G30" s="106">
        <v>22800</v>
      </c>
      <c r="H30" s="106">
        <v>20828</v>
      </c>
      <c r="I30" s="108">
        <v>0.2</v>
      </c>
      <c r="J30" s="13">
        <f t="shared" ref="J30" si="0">H30*I30</f>
        <v>4165.6000000000004</v>
      </c>
      <c r="K30" s="12">
        <v>0</v>
      </c>
      <c r="L30" s="12">
        <v>0</v>
      </c>
      <c r="M30" s="13">
        <f t="shared" ref="M30" si="1">J30</f>
        <v>4165.6000000000004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1040</v>
      </c>
      <c r="F31" s="15"/>
      <c r="G31" s="64">
        <f>SUM(G30:G30)</f>
        <v>22800</v>
      </c>
      <c r="H31" s="64">
        <f>SUM(H30:H30)</f>
        <v>20828</v>
      </c>
      <c r="I31" s="102"/>
      <c r="J31" s="17">
        <f>SUM(J30:J30)</f>
        <v>4165.6000000000004</v>
      </c>
      <c r="K31" s="16"/>
      <c r="L31" s="16"/>
      <c r="M31" s="17">
        <f>SUM(M30:M30)</f>
        <v>4165.6000000000004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шестьдесят пять долларов США, 60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G37" sqref="G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BEZ-F-59 от  14.08.2025г.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1040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30562NBA/307043AA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J27" sqref="J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30562NBA/307043AA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BEZ-F-59 от  14.08.2025г.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1040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22800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1040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S29" sqref="S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30562NBA/307043AA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1040</v>
      </c>
      <c r="F30" s="116" t="str">
        <f>+Инвойс!F30</f>
        <v>кг</v>
      </c>
      <c r="G30" s="106">
        <f>+Инвойс!G30</f>
        <v>22800</v>
      </c>
      <c r="H30" s="106">
        <f>+Инвойс!H30</f>
        <v>20828</v>
      </c>
      <c r="I30" s="108">
        <f>+Инвойс!I30</f>
        <v>0.2</v>
      </c>
      <c r="J30" s="13">
        <f>+Инвойс!J30</f>
        <v>4165.6000000000004</v>
      </c>
      <c r="K30" s="12">
        <v>0</v>
      </c>
      <c r="L30" s="12">
        <v>0</v>
      </c>
      <c r="M30" s="13">
        <f>+Инвойс!M30</f>
        <v>4165.6000000000004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1040</v>
      </c>
      <c r="F31" s="15"/>
      <c r="G31" s="64">
        <f>SUM(G30:G30)</f>
        <v>22800</v>
      </c>
      <c r="H31" s="64">
        <f>SUM(H30:H30)</f>
        <v>20828</v>
      </c>
      <c r="I31" s="102"/>
      <c r="J31" s="17">
        <f>SUM(J30:J30)</f>
        <v>4165.6000000000004</v>
      </c>
      <c r="K31" s="16"/>
      <c r="L31" s="16"/>
      <c r="M31" s="17">
        <f>SUM(M30:M30)</f>
        <v>4165.6000000000004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шестьдесят пять долларов США, 60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4165.6000000000004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шестьдесят пять долларов США, 60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45883</v>
      </c>
      <c r="O3" s="176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шестьдесят пять долларов США, 60 центов. (в т.ч. НДС - 357,79)</v>
      </c>
      <c r="H4" s="32"/>
      <c r="I4" s="32"/>
      <c r="J4" s="32"/>
      <c r="K4" s="177" t="str">
        <f ca="1">CONCATENATE(" «  ",P3,"  »  ",Q3,"  ",R3," г.")</f>
        <v xml:space="preserve"> «  14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шестьдесят пять долларов США, 60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шестьдесят пять долларов США, 60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шестьдесят пять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60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4165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4165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165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60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2025-08-14T07:33:56Z</cp:lastPrinted>
  <dcterms:created xsi:type="dcterms:W3CDTF">1996-10-14T23:33:28Z</dcterms:created>
  <dcterms:modified xsi:type="dcterms:W3CDTF">2025-08-14T07:34:00Z</dcterms:modified>
</cp:coreProperties>
</file>