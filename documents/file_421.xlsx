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8BFF6BF2-35AD-4DA2-B43E-D6FB566084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2" l="1"/>
  <c r="M32" i="2" s="1"/>
  <c r="J30" i="2"/>
  <c r="M30" i="2" s="1"/>
  <c r="J35" i="2" l="1"/>
  <c r="M35" i="2" s="1"/>
  <c r="J31" i="2"/>
  <c r="M31" i="2" s="1"/>
  <c r="J34" i="2"/>
  <c r="M34" i="2" s="1"/>
  <c r="J36" i="2"/>
  <c r="M36" i="2" s="1"/>
  <c r="J33" i="2"/>
  <c r="M33" i="2" s="1"/>
  <c r="D42" i="7"/>
  <c r="H42" i="7" l="1"/>
  <c r="I31" i="4" l="1"/>
  <c r="I32" i="4"/>
  <c r="I33" i="4"/>
  <c r="I34" i="4"/>
  <c r="I35" i="4"/>
  <c r="I36" i="4"/>
  <c r="G31" i="4"/>
  <c r="G32" i="4"/>
  <c r="G33" i="4"/>
  <c r="G34" i="4"/>
  <c r="G35" i="4"/>
  <c r="G36" i="4"/>
  <c r="F31" i="4"/>
  <c r="F32" i="4"/>
  <c r="F33" i="4"/>
  <c r="F34" i="4"/>
  <c r="F35" i="4"/>
  <c r="F36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B36" i="4"/>
  <c r="C36" i="4"/>
  <c r="D36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6" i="7" l="1"/>
  <c r="C35" i="7"/>
  <c r="C34" i="7"/>
  <c r="C33" i="7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A34" i="7"/>
  <c r="B34" i="7"/>
  <c r="D34" i="7"/>
  <c r="E34" i="7"/>
  <c r="F34" i="7"/>
  <c r="G34" i="7"/>
  <c r="H34" i="7"/>
  <c r="I34" i="7"/>
  <c r="A35" i="7"/>
  <c r="B35" i="7"/>
  <c r="D35" i="7"/>
  <c r="E35" i="7"/>
  <c r="F35" i="7"/>
  <c r="G35" i="7"/>
  <c r="H35" i="7"/>
  <c r="I35" i="7"/>
  <c r="A36" i="7"/>
  <c r="B36" i="7"/>
  <c r="D36" i="7"/>
  <c r="E36" i="7"/>
  <c r="F36" i="7"/>
  <c r="G36" i="7"/>
  <c r="H36" i="7"/>
  <c r="I36" i="7"/>
  <c r="I30" i="7"/>
  <c r="H30" i="7"/>
  <c r="F30" i="7"/>
  <c r="G30" i="7"/>
  <c r="E30" i="7"/>
  <c r="D30" i="7"/>
  <c r="B30" i="7"/>
  <c r="A30" i="7"/>
  <c r="E26" i="7"/>
  <c r="C24" i="7"/>
  <c r="F1" i="7"/>
  <c r="G37" i="7" l="1"/>
  <c r="E37" i="7"/>
  <c r="H37" i="7" l="1"/>
  <c r="E37" i="2" l="1"/>
  <c r="G37" i="2" l="1"/>
  <c r="H37" i="2"/>
  <c r="G31" i="5"/>
  <c r="G29" i="5"/>
  <c r="G27" i="5"/>
  <c r="G25" i="5"/>
  <c r="G23" i="5"/>
  <c r="G21" i="5"/>
  <c r="G19" i="5"/>
  <c r="J31" i="5"/>
  <c r="J29" i="5"/>
  <c r="J27" i="5"/>
  <c r="J25" i="5"/>
  <c r="J23" i="5"/>
  <c r="J21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G26" i="5"/>
  <c r="G28" i="5"/>
  <c r="G3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6" i="7"/>
  <c r="J32" i="7"/>
  <c r="M30" i="7" l="1"/>
  <c r="J30" i="7"/>
  <c r="M31" i="7"/>
  <c r="J31" i="7"/>
  <c r="M34" i="7"/>
  <c r="J34" i="7"/>
  <c r="M33" i="7"/>
  <c r="J33" i="7"/>
  <c r="M35" i="7"/>
  <c r="J35" i="7"/>
  <c r="M36" i="7"/>
  <c r="J37" i="2"/>
  <c r="M32" i="7"/>
  <c r="S3" i="3"/>
  <c r="S4" i="3"/>
  <c r="P3" i="3"/>
  <c r="R3" i="3"/>
  <c r="Q3" i="3" l="1"/>
  <c r="K4" i="3" s="1"/>
  <c r="J37" i="7"/>
  <c r="M37" i="7"/>
  <c r="M37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8" i="2" l="1"/>
  <c r="E3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<sst xmlns="http://schemas.openxmlformats.org/spreadsheetml/2006/main" count="237" uniqueCount="173">
  <si>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</si>
  <si>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</si>
  <si>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</si>
  <si>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</si>
  <si>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</si>
  <si>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</si>
  <si>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</si>
  <si>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</si>
  <si>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</si>
  <si>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</si>
  <si>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</si>
  <si>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</si>
  <si>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</si>
  <si>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</si>
  <si>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</si>
  <si>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</si>
  <si>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</si>
  <si>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</si>
  <si>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</si>
  <si>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</si>
  <si>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</si>
  <si>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</si>
  <si>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</si>
  <si>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</si>
  <si>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</si>
  <si>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</si>
  <si>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</si>
  <si>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</si>
  <si>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</si>
  <si>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</si>
  <si>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</si>
  <si>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</si>
  <si>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</si>
  <si>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</si>
  <si>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</si>
  <si>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</si>
  <si>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</si>
  <si>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</si>
  <si>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</si>
  <si>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</si>
  <si>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</si>
  <si>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</si>
  <si>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</si>
  <si>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</si>
  <si>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</si>
  <si>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</si>
  <si>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</si>
  <si>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</si>
  <si>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</si>
  <si>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</si>
  <si>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</si>
  <si>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</si>
  <si>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</si>
  <si>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</si>
  <si>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</si>
  <si>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</si>
  <si>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</si>
  <si>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</si>
  <si>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</si>
  <si>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</si>
  <si>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</si>
  <si>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</si>
  <si>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</si>
  <si>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</si>
  <si>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</si>
  <si>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</si>
  <si>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</si>
  <si>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</si>
  <si>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</si>
  <si>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</si>
  <si>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</si>
  <si>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</si>
  <si>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</si>
  <si>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</si>
  <si>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</si>
  <si>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</si>
  <si>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</si>
  <si>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</si>
  <si>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</si>
  <si>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</si>
  <si>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</si>
  <si>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</si>
  <si>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</si>
  <si>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</si>
  <si>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</si>
  <si>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</si>
  <si>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</si>
  <si>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</si>
  <si>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</si>
  <si>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</si>
  <si>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</si>
  <si>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</si>
  <si>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</si>
  <si>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</si>
  <si>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</si>
  <si>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</si>
  <si>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</si>
  <si>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</si>
  <si>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</si>
  <si>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</si>
  <si>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</si>
  <si>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</si>
  <si>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</si>
  <si>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</si>
  <si>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</si>
  <si>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</si>
  <si>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</si>
  <si>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</si>
  <si>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</si>
  <si>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</si>
  <si>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</si>
  <si>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</si>
  <si>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</si>
  <si>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</si>
  <si>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>Персики свежие</t>
  </si>
  <si>
    <t>Нектарины свежие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</si>
  <si>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</si>
  <si>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</si>
  <si>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</si>
  <si>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</si>
  <si>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</si>
  <si>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</si>
  <si>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</si>
  <si>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0809309001</t>
  </si>
  <si>
    <t>0809301001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</si>
  <si>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</si>
  <si>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</si>
  <si>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</si>
  <si>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</si>
  <si>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</si>
  <si>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Сливы свежие</t>
  </si>
  <si>
    <t>0809400501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</si>
  <si>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</si>
  <si>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</si>
  <si>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</si>
  <si>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</si>
  <si>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</si>
  <si>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</si>
  <si>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</si>
  <si>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</si>
  <si>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</si>
  <si>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</si>
  <si>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</si>
  <si>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</si>
  <si>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Гранат свежий</t>
  </si>
  <si>
    <t>0810907504</t>
  </si>
  <si>
    <t>Айва свежая</t>
  </si>
  <si>
    <t>0808400009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</si>
  <si>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</si>
  <si>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</si>
  <si>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</si>
  <si>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</si>
  <si>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</si>
  <si>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</si>
  <si>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</si>
  <si>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</si>
  <si>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</si>
  <si>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</si>
  <si>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</si>
  <si>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</si>
  <si>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</si>
  <si>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</si>
  <si>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</si>
  <si>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</si>
  <si>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</si>
  <si>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</si>
  <si>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</si>
  <si>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г.Челябинский таможенный пост г.Челябинск ул. Енисейская, 87А код поста 10504080   ООО "ГРИН ВОРЛД" 
RU/0237/2 от 27.12.2024</t>
  </si>
  <si>
    <t xml:space="preserve"> 04.09.2025г.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</si>
  <si>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</si>
  <si>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MEG-N-53 от </t>
  </si>
  <si>
    <t xml:space="preserve">СПЕЦИФИКАЦИЯ № MEG-N-53 от </t>
  </si>
  <si>
    <t>40Z899UA/403524BA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</si>
</sst>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3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22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43</xdr:row>
      <xdr:rowOff>33618</xdr:rowOff>
    </xdr:from>
    <xdr:to>
      <xdr:col>3</xdr:col>
      <xdr:colOff>224118</xdr:colOff>
      <xdr:row>55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43</xdr:row>
      <xdr:rowOff>100855</xdr:rowOff>
    </xdr:from>
    <xdr:to>
      <xdr:col>4</xdr:col>
      <xdr:colOff>389833</xdr:colOff>
      <xdr:row>45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43</xdr:row>
      <xdr:rowOff>22412</xdr:rowOff>
    </xdr:from>
    <xdr:to>
      <xdr:col>2</xdr:col>
      <xdr:colOff>392207</xdr:colOff>
      <xdr:row>55</xdr:row>
      <xdr:rowOff>10889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43</xdr:row>
      <xdr:rowOff>89649</xdr:rowOff>
    </xdr:from>
    <xdr:to>
      <xdr:col>3</xdr:col>
      <xdr:colOff>546715</xdr:colOff>
      <xdr:row>45</xdr:row>
      <xdr:rowOff>140636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560294</xdr:colOff>
      <xdr:row>42</xdr:row>
      <xdr:rowOff>145677</xdr:rowOff>
    </xdr:from>
    <xdr:to>
      <xdr:col>9</xdr:col>
      <xdr:colOff>746872</xdr:colOff>
      <xdr:row>54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8"/>
  <sheetViews>
    <sheetView tabSelected="1" topLeftCell="A2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170</v>
      </c>
      <c r="D1" s="153"/>
      <c r="E1" s="153"/>
      <c r="F1" s="152" t="s">
        <v>168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148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136</v>
      </c>
      <c r="B5" s="154"/>
      <c r="C5" s="154"/>
      <c r="D5" s="154"/>
      <c r="E5" s="154"/>
      <c r="F5" s="6"/>
      <c r="G5" s="147" t="s">
        <v>149</v>
      </c>
      <c r="H5" s="147"/>
      <c r="I5" s="147"/>
      <c r="J5" s="147"/>
      <c r="K5" s="147"/>
      <c r="L5" s="147"/>
      <c r="M5" s="147"/>
    </row>
    <row r="6" spans="1:15" ht="13.8" x14ac:dyDescent="0.25">
      <c r="A6" s="127" t="s">
        <v>137</v>
      </c>
      <c r="B6" s="125"/>
      <c r="C6" s="125"/>
      <c r="D6" s="125"/>
      <c r="E6" s="125"/>
      <c r="F6" s="7"/>
      <c r="G6" s="142" t="s">
        <v>150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7" t="s">
        <v>142</v>
      </c>
      <c r="B7" s="125"/>
      <c r="C7" s="125"/>
      <c r="D7" s="125"/>
      <c r="E7" s="125"/>
      <c r="F7" s="63"/>
      <c r="G7" s="142" t="s">
        <v>151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139</v>
      </c>
      <c r="B8" s="8"/>
      <c r="C8" s="8"/>
      <c r="D8" s="8"/>
      <c r="E8" s="8"/>
      <c r="F8" s="63"/>
      <c r="G8" s="7" t="s">
        <v>152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138</v>
      </c>
      <c r="B9" s="8"/>
      <c r="C9" s="8"/>
      <c r="D9" s="8"/>
      <c r="E9" s="8"/>
      <c r="F9" s="7"/>
      <c r="G9" s="7" t="s">
        <v>153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140</v>
      </c>
      <c r="B10" s="125"/>
      <c r="C10" s="125"/>
      <c r="D10" s="125"/>
      <c r="E10" s="125"/>
      <c r="F10" s="7"/>
      <c r="G10" s="7" t="s">
        <v>154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156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136</v>
      </c>
      <c r="B14" s="154"/>
      <c r="C14" s="154"/>
      <c r="D14" s="154"/>
      <c r="E14" s="154"/>
      <c r="F14" s="6"/>
      <c r="G14" s="147" t="s">
        <v>149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7" t="s">
        <v>137</v>
      </c>
      <c r="B15" s="125"/>
      <c r="C15" s="125"/>
      <c r="D15" s="125"/>
      <c r="E15" s="125"/>
      <c r="F15" s="7"/>
      <c r="G15" s="142" t="s">
        <v>150</v>
      </c>
      <c r="H15" s="142"/>
      <c r="I15" s="142"/>
      <c r="J15" s="142"/>
      <c r="K15" s="142"/>
      <c r="L15" s="142"/>
      <c r="M15" s="142"/>
    </row>
    <row r="16" spans="1:15" ht="13.8" x14ac:dyDescent="0.25">
      <c r="A16" s="127" t="s">
        <v>142</v>
      </c>
      <c r="B16" s="125"/>
      <c r="C16" s="125"/>
      <c r="D16" s="125"/>
      <c r="E16" s="125"/>
      <c r="F16" s="63"/>
      <c r="G16" s="142" t="s">
        <v>151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139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138</v>
      </c>
      <c r="B18" s="8"/>
      <c r="C18" s="8"/>
      <c r="D18" s="8"/>
      <c r="E18" s="8"/>
      <c r="F18" s="7"/>
      <c r="G18" s="7" t="s">
        <v>153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140</v>
      </c>
      <c r="B19" s="125"/>
      <c r="C19" s="125"/>
      <c r="D19" s="125"/>
      <c r="E19" s="125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156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40" t="s">
        <v>127</v>
      </c>
      <c r="D23" s="140"/>
      <c r="E23" s="140"/>
      <c r="F23" s="140"/>
      <c r="G23" s="140"/>
      <c r="H23" s="140"/>
      <c r="I23" s="140"/>
      <c r="J23" s="140"/>
      <c r="K23" s="140"/>
      <c r="L23" s="140"/>
      <c r="M23" s="140"/>
    </row>
    <row r="24" spans="1:17" ht="15.6" x14ac:dyDescent="0.3">
      <c r="A24" s="20" t="s">
        <v>22</v>
      </c>
      <c r="C24" s="18" t="s">
        <v>161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1" t="s">
        <v>172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6" t="s">
        <v>1</v>
      </c>
      <c r="B28" s="136" t="s">
        <v>2</v>
      </c>
      <c r="C28" s="136" t="s">
        <v>3</v>
      </c>
      <c r="D28" s="136" t="s">
        <v>4</v>
      </c>
      <c r="E28" s="136" t="s">
        <v>5</v>
      </c>
      <c r="F28" s="136" t="s">
        <v>6</v>
      </c>
      <c r="G28" s="138" t="s">
        <v>7</v>
      </c>
      <c r="H28" s="139"/>
      <c r="I28" s="136" t="s">
        <v>8</v>
      </c>
      <c r="J28" s="111" t="s">
        <v>9</v>
      </c>
      <c r="K28" s="138" t="s">
        <v>10</v>
      </c>
      <c r="L28" s="139"/>
      <c r="M28" s="136" t="s">
        <v>11</v>
      </c>
    </row>
    <row r="29" spans="1:17" ht="31.8" x14ac:dyDescent="0.25">
      <c r="A29" s="137"/>
      <c r="B29" s="137"/>
      <c r="C29" s="137"/>
      <c r="D29" s="137"/>
      <c r="E29" s="137"/>
      <c r="F29" s="137"/>
      <c r="G29" s="111" t="s">
        <v>12</v>
      </c>
      <c r="H29" s="111" t="s">
        <v>13</v>
      </c>
      <c r="I29" s="137"/>
      <c r="J29" s="112" t="s">
        <v>14</v>
      </c>
      <c r="K29" s="10" t="s">
        <v>15</v>
      </c>
      <c r="L29" s="10" t="s">
        <v>16</v>
      </c>
      <c r="M29" s="137"/>
    </row>
    <row r="30" spans="1:17" ht="13.8" x14ac:dyDescent="0.25">
      <c r="A30" s="129">
        <v>1</v>
      </c>
      <c r="B30" s="101" t="s">
        <v>115</v>
      </c>
      <c r="C30" s="107" t="s">
        <v>124</v>
      </c>
      <c r="D30" s="109" t="s">
        <v>113</v>
      </c>
      <c r="E30" s="101">
        <v>150</v>
      </c>
      <c r="F30" s="110" t="s">
        <v>27</v>
      </c>
      <c r="G30" s="106">
        <v>1200</v>
      </c>
      <c r="H30" s="106">
        <v>990</v>
      </c>
      <c r="I30" s="108">
        <v>1.05</v>
      </c>
      <c r="J30" s="13">
        <f t="shared" ref="J30:J35" si="0">H30*I30</f>
        <v>1039.5</v>
      </c>
      <c r="K30" s="12">
        <v>0</v>
      </c>
      <c r="L30" s="12">
        <v>0</v>
      </c>
      <c r="M30" s="13">
        <f t="shared" ref="M30:M35" si="1">J30</f>
        <v>1039.5</v>
      </c>
      <c r="O30" s="100"/>
      <c r="Q30" s="100"/>
    </row>
    <row r="31" spans="1:17" ht="13.8" x14ac:dyDescent="0.25">
      <c r="A31" s="129">
        <v>2</v>
      </c>
      <c r="B31" s="101" t="s">
        <v>130</v>
      </c>
      <c r="C31" s="107" t="s">
        <v>131</v>
      </c>
      <c r="D31" s="109" t="s">
        <v>113</v>
      </c>
      <c r="E31" s="101">
        <v>293</v>
      </c>
      <c r="F31" s="110" t="s">
        <v>27</v>
      </c>
      <c r="G31" s="106">
        <v>2640</v>
      </c>
      <c r="H31" s="106">
        <v>2230</v>
      </c>
      <c r="I31" s="108">
        <v>0.6</v>
      </c>
      <c r="J31" s="13">
        <f t="shared" si="0"/>
        <v>1338</v>
      </c>
      <c r="K31" s="12">
        <v>0</v>
      </c>
      <c r="L31" s="12">
        <v>0</v>
      </c>
      <c r="M31" s="13">
        <f t="shared" si="1"/>
        <v>1338</v>
      </c>
      <c r="O31" s="100"/>
      <c r="Q31" s="100"/>
    </row>
    <row r="32" spans="1:17" ht="13.8" x14ac:dyDescent="0.25">
      <c r="A32" s="129">
        <v>3</v>
      </c>
      <c r="B32" s="101" t="s">
        <v>114</v>
      </c>
      <c r="C32" s="107" t="s">
        <v>123</v>
      </c>
      <c r="D32" s="109" t="s">
        <v>113</v>
      </c>
      <c r="E32" s="101">
        <v>136</v>
      </c>
      <c r="F32" s="110" t="s">
        <v>27</v>
      </c>
      <c r="G32" s="106">
        <v>713</v>
      </c>
      <c r="H32" s="106">
        <v>550</v>
      </c>
      <c r="I32" s="108">
        <v>1.1499999999999999</v>
      </c>
      <c r="J32" s="13">
        <f t="shared" si="0"/>
        <v>632.5</v>
      </c>
      <c r="K32" s="12">
        <v>0</v>
      </c>
      <c r="L32" s="12">
        <v>0</v>
      </c>
      <c r="M32" s="13">
        <f t="shared" si="1"/>
        <v>632.5</v>
      </c>
      <c r="O32" s="100"/>
      <c r="Q32" s="100"/>
    </row>
    <row r="33" spans="1:17" ht="13.8" x14ac:dyDescent="0.25">
      <c r="A33" s="129">
        <v>4</v>
      </c>
      <c r="B33" s="126" t="s">
        <v>146</v>
      </c>
      <c r="C33" s="107" t="s">
        <v>147</v>
      </c>
      <c r="D33" s="109" t="s">
        <v>113</v>
      </c>
      <c r="E33" s="101">
        <v>64</v>
      </c>
      <c r="F33" s="110" t="s">
        <v>27</v>
      </c>
      <c r="G33" s="106">
        <v>415</v>
      </c>
      <c r="H33" s="106">
        <v>325</v>
      </c>
      <c r="I33" s="108">
        <v>1.55</v>
      </c>
      <c r="J33" s="13">
        <f t="shared" si="0"/>
        <v>503.75</v>
      </c>
      <c r="K33" s="12">
        <v>0</v>
      </c>
      <c r="L33" s="12">
        <v>0</v>
      </c>
      <c r="M33" s="13">
        <f t="shared" si="1"/>
        <v>503.75</v>
      </c>
      <c r="O33" s="100"/>
      <c r="Q33" s="100"/>
    </row>
    <row r="34" spans="1:17" ht="27.6" x14ac:dyDescent="0.25">
      <c r="A34" s="129">
        <v>5</v>
      </c>
      <c r="B34" s="101" t="s">
        <v>130</v>
      </c>
      <c r="C34" s="107" t="s">
        <v>131</v>
      </c>
      <c r="D34" s="109" t="s">
        <v>111</v>
      </c>
      <c r="E34" s="101">
        <v>268</v>
      </c>
      <c r="F34" s="116" t="s">
        <v>27</v>
      </c>
      <c r="G34" s="106">
        <v>2413</v>
      </c>
      <c r="H34" s="106">
        <v>2225</v>
      </c>
      <c r="I34" s="108">
        <v>0.6</v>
      </c>
      <c r="J34" s="13">
        <f t="shared" si="0"/>
        <v>1335</v>
      </c>
      <c r="K34" s="12">
        <v>0</v>
      </c>
      <c r="L34" s="12">
        <v>0</v>
      </c>
      <c r="M34" s="13">
        <f t="shared" si="1"/>
        <v>1335</v>
      </c>
      <c r="O34" s="100"/>
      <c r="Q34" s="100"/>
    </row>
    <row r="35" spans="1:17" ht="27.6" x14ac:dyDescent="0.25">
      <c r="A35" s="129">
        <v>6</v>
      </c>
      <c r="B35" s="101" t="s">
        <v>126</v>
      </c>
      <c r="C35" s="107" t="s">
        <v>125</v>
      </c>
      <c r="D35" s="109" t="s">
        <v>113</v>
      </c>
      <c r="E35" s="101">
        <v>1541</v>
      </c>
      <c r="F35" s="110" t="s">
        <v>27</v>
      </c>
      <c r="G35" s="106">
        <v>14717</v>
      </c>
      <c r="H35" s="106">
        <v>12560</v>
      </c>
      <c r="I35" s="108">
        <v>1</v>
      </c>
      <c r="J35" s="13">
        <f t="shared" si="0"/>
        <v>12560</v>
      </c>
      <c r="K35" s="12">
        <v>0</v>
      </c>
      <c r="L35" s="12">
        <v>0</v>
      </c>
      <c r="M35" s="13">
        <f t="shared" si="1"/>
        <v>12560</v>
      </c>
      <c r="O35" s="100"/>
      <c r="Q35" s="100"/>
    </row>
    <row r="36" spans="1:17" ht="13.8" x14ac:dyDescent="0.25">
      <c r="A36" s="129">
        <v>7</v>
      </c>
      <c r="B36" s="101" t="s">
        <v>144</v>
      </c>
      <c r="C36" s="107" t="s">
        <v>145</v>
      </c>
      <c r="D36" s="109" t="s">
        <v>113</v>
      </c>
      <c r="E36" s="101">
        <v>88</v>
      </c>
      <c r="F36" s="110" t="s">
        <v>27</v>
      </c>
      <c r="G36" s="106">
        <v>618</v>
      </c>
      <c r="H36" s="106">
        <v>495</v>
      </c>
      <c r="I36" s="108">
        <v>1.9</v>
      </c>
      <c r="J36" s="13">
        <f t="shared" ref="J36" si="2">H36*I36</f>
        <v>940.5</v>
      </c>
      <c r="K36" s="12">
        <v>0</v>
      </c>
      <c r="L36" s="12">
        <v>0</v>
      </c>
      <c r="M36" s="13">
        <f t="shared" ref="M36" si="3">J36</f>
        <v>940.5</v>
      </c>
      <c r="O36" s="100"/>
      <c r="Q36" s="100"/>
    </row>
    <row r="37" spans="1:17" ht="13.8" x14ac:dyDescent="0.25">
      <c r="A37" s="150" t="s">
        <v>0</v>
      </c>
      <c r="B37" s="151"/>
      <c r="C37" s="14"/>
      <c r="D37" s="15"/>
      <c r="E37" s="64">
        <f>SUM(E30:E36)</f>
        <v>2540</v>
      </c>
      <c r="F37" s="15"/>
      <c r="G37" s="64">
        <f>SUM(G30:G36)</f>
        <v>22716</v>
      </c>
      <c r="H37" s="64">
        <f>SUM(H30:H36)</f>
        <v>19375</v>
      </c>
      <c r="I37" s="102"/>
      <c r="J37" s="17">
        <f>SUM(J30:J36)</f>
        <v>18349.25</v>
      </c>
      <c r="K37" s="16"/>
      <c r="L37" s="16"/>
      <c r="M37" s="17">
        <f>SUM(M30:M36)</f>
        <v>18349.25</v>
      </c>
      <c r="P37" s="66"/>
    </row>
    <row r="38" spans="1:17" ht="13.8" x14ac:dyDescent="0.3">
      <c r="A38" s="2" t="s">
        <v>17</v>
      </c>
      <c r="B38" s="3"/>
      <c r="C38" s="11"/>
      <c r="D38" s="11"/>
      <c r="E38" s="148" t="str">
        <f>Лист1!B3</f>
        <v>Восемнадцать тысяч триста сорок девять долларов США, 25 центов.</v>
      </c>
      <c r="F38" s="149"/>
      <c r="G38" s="149"/>
      <c r="H38" s="149"/>
      <c r="I38" s="149"/>
      <c r="J38" s="149"/>
      <c r="K38" s="149"/>
      <c r="L38" s="149"/>
      <c r="M38" s="149"/>
    </row>
    <row r="39" spans="1:17" ht="20.25" customHeight="1" x14ac:dyDescent="0.25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</row>
    <row r="40" spans="1:17" ht="25.5" customHeight="1" x14ac:dyDescent="0.25">
      <c r="A40" s="144" t="s">
        <v>109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26"/>
    </row>
    <row r="42" spans="1:17" ht="13.8" x14ac:dyDescent="0.25">
      <c r="A42" s="7" t="s">
        <v>28</v>
      </c>
      <c r="B42" s="7"/>
      <c r="D42" s="25" t="s">
        <v>141</v>
      </c>
      <c r="E42" s="24"/>
    </row>
    <row r="43" spans="1:17" ht="13.8" x14ac:dyDescent="0.25">
      <c r="A43" s="7"/>
      <c r="B43" s="9"/>
    </row>
    <row r="44" spans="1:17" ht="13.8" x14ac:dyDescent="0.25">
      <c r="A44" s="7" t="s">
        <v>18</v>
      </c>
      <c r="B44" s="9"/>
    </row>
    <row r="45" spans="1:17" ht="13.8" x14ac:dyDescent="0.25">
      <c r="A45" s="7"/>
      <c r="B45" s="9"/>
    </row>
    <row r="46" spans="1:17" ht="13.8" x14ac:dyDescent="0.25">
      <c r="A46" s="7" t="s">
        <v>29</v>
      </c>
      <c r="B46" s="9"/>
    </row>
    <row r="47" spans="1:17" ht="13.8" x14ac:dyDescent="0.25">
      <c r="A47" s="8"/>
      <c r="B47" s="9"/>
    </row>
    <row r="48" spans="1:17" x14ac:dyDescent="0.25">
      <c r="A48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40:M40"/>
    <mergeCell ref="G15:M15"/>
    <mergeCell ref="G13:M13"/>
    <mergeCell ref="G14:M14"/>
    <mergeCell ref="E38:M38"/>
    <mergeCell ref="E28:E29"/>
    <mergeCell ref="C28:C29"/>
    <mergeCell ref="D28:D29"/>
    <mergeCell ref="A39:M39"/>
    <mergeCell ref="A37:B37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2" zoomScale="115" zoomScaleNormal="115" workbookViewId="0">
      <selection activeCell="B37" sqref="B37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135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158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MEG-N-53 от  04.09.2025г.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150</v>
      </c>
      <c r="D30" s="103" t="str">
        <f>+Инвойс!D30</f>
        <v>Дер. ящик</v>
      </c>
      <c r="E30" s="103"/>
      <c r="F30" s="103" t="str">
        <f>+Инвойс!B30</f>
        <v>Нектарины свежие</v>
      </c>
      <c r="G30" s="104" t="str">
        <f>+Инвойс!C30</f>
        <v>0809301001</v>
      </c>
      <c r="H30" s="103"/>
      <c r="I30" s="105">
        <f>+Инвойс!G30</f>
        <v>1200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293</v>
      </c>
      <c r="D31" s="103" t="str">
        <f>+Инвойс!D31</f>
        <v>Дер. ящик</v>
      </c>
      <c r="E31" s="103"/>
      <c r="F31" s="103" t="str">
        <f>+Инвойс!B31</f>
        <v>Сливы свежие</v>
      </c>
      <c r="G31" s="104" t="str">
        <f>+Инвойс!C31</f>
        <v>0809400501</v>
      </c>
      <c r="H31" s="103"/>
      <c r="I31" s="105">
        <f>+Инвойс!G31</f>
        <v>2640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136</v>
      </c>
      <c r="D32" s="103" t="str">
        <f>+Инвойс!D32</f>
        <v>Дер. ящик</v>
      </c>
      <c r="E32" s="103"/>
      <c r="F32" s="103" t="str">
        <f>+Инвойс!B32</f>
        <v>Персики свежие</v>
      </c>
      <c r="G32" s="104" t="str">
        <f>+Инвойс!C32</f>
        <v>0809309001</v>
      </c>
      <c r="H32" s="103"/>
      <c r="I32" s="105">
        <f>+Инвойс!G32</f>
        <v>713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64</v>
      </c>
      <c r="D33" s="103" t="str">
        <f>+Инвойс!D33</f>
        <v>Дер. ящик</v>
      </c>
      <c r="E33" s="103"/>
      <c r="F33" s="103" t="str">
        <f>+Инвойс!B33</f>
        <v>Айва свежая</v>
      </c>
      <c r="G33" s="104" t="str">
        <f>+Инвойс!C33</f>
        <v>0808400009</v>
      </c>
      <c r="H33" s="103"/>
      <c r="I33" s="105">
        <f>+Инвойс!G33</f>
        <v>415</v>
      </c>
    </row>
    <row r="34" spans="1:9" ht="9" customHeight="1" x14ac:dyDescent="0.2">
      <c r="A34" s="74"/>
      <c r="B34" s="103">
        <f>+Инвойс!A34</f>
        <v>5</v>
      </c>
      <c r="C34" s="103">
        <f>+Инвойс!E34</f>
        <v>268</v>
      </c>
      <c r="D34" s="103" t="str">
        <f>+Инвойс!D34</f>
        <v>Пласт. ящик</v>
      </c>
      <c r="E34" s="103"/>
      <c r="F34" s="103" t="str">
        <f>+Инвойс!B34</f>
        <v>Сливы свежие</v>
      </c>
      <c r="G34" s="104" t="str">
        <f>+Инвойс!C34</f>
        <v>0809400501</v>
      </c>
      <c r="H34" s="103"/>
      <c r="I34" s="105">
        <f>+Инвойс!G34</f>
        <v>2413</v>
      </c>
    </row>
    <row r="35" spans="1:9" ht="9" customHeight="1" x14ac:dyDescent="0.2">
      <c r="B35" s="103">
        <f>+Инвойс!A35</f>
        <v>6</v>
      </c>
      <c r="C35" s="103">
        <f>+Инвойс!E35</f>
        <v>1541</v>
      </c>
      <c r="D35" s="103" t="str">
        <f>+Инвойс!D35</f>
        <v>Дер. ящик</v>
      </c>
      <c r="E35" s="103"/>
      <c r="F35" s="103" t="str">
        <f>+Инвойс!B35</f>
        <v>Виноград свежий столовых сортов</v>
      </c>
      <c r="G35" s="104" t="str">
        <f>+Инвойс!C35</f>
        <v>0806101001</v>
      </c>
      <c r="H35" s="103"/>
      <c r="I35" s="105">
        <f>+Инвойс!G35</f>
        <v>14717</v>
      </c>
    </row>
    <row r="36" spans="1:9" x14ac:dyDescent="0.2">
      <c r="B36" s="103">
        <f>+Инвойс!A36</f>
        <v>7</v>
      </c>
      <c r="C36" s="103">
        <f>+Инвойс!E36</f>
        <v>88</v>
      </c>
      <c r="D36" s="103" t="str">
        <f>+Инвойс!D36</f>
        <v>Дер. ящик</v>
      </c>
      <c r="E36" s="103"/>
      <c r="F36" s="103" t="str">
        <f>+Инвойс!B36</f>
        <v>Гранат свежий</v>
      </c>
      <c r="G36" s="104" t="str">
        <f>+Инвойс!C36</f>
        <v>0810907504</v>
      </c>
      <c r="H36" s="103"/>
      <c r="I36" s="105">
        <f>+Инвойс!G36</f>
        <v>618</v>
      </c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"ОМАС" 10610050 - т/п Омский 
644117, Омская обл., г. Омск, ул. 3-я Молодежная, д. 6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159</v>
      </c>
      <c r="D49" s="159" t="str">
        <f>+C22</f>
        <v xml:space="preserve"> 04.09.2025г.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40Z899UA/403524BA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F32" sqref="F32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40Z899UA/403524BA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MEG-N-53 от  04.09.2025г.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150</v>
      </c>
      <c r="G18" s="162" t="str">
        <f>+CMR!F30</f>
        <v>Нектарины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Дер. ящик</v>
      </c>
      <c r="G19" s="160" t="str">
        <f>+Инвойс!C30</f>
        <v>0809301001</v>
      </c>
      <c r="H19" s="161"/>
      <c r="I19" s="122" t="s">
        <v>103</v>
      </c>
      <c r="J19" s="120">
        <f>+Инвойс!G30</f>
        <v>1200</v>
      </c>
    </row>
    <row r="20" spans="2:10" ht="13.5" customHeight="1" x14ac:dyDescent="0.3">
      <c r="B20" s="83"/>
      <c r="E20" s="123"/>
      <c r="F20" s="118">
        <f>+Инвойс!E31</f>
        <v>293</v>
      </c>
      <c r="G20" s="162" t="str">
        <f>+CMR!F31</f>
        <v>Сливы свежие</v>
      </c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Дер. ящик</v>
      </c>
      <c r="G21" s="160" t="str">
        <f>+Инвойс!C31</f>
        <v>0809400501</v>
      </c>
      <c r="H21" s="161"/>
      <c r="I21" s="122" t="s">
        <v>103</v>
      </c>
      <c r="J21" s="120">
        <f>+Инвойс!G31</f>
        <v>2640</v>
      </c>
    </row>
    <row r="22" spans="2:10" ht="12.75" customHeight="1" x14ac:dyDescent="0.3">
      <c r="B22" s="83"/>
      <c r="E22" s="123"/>
      <c r="F22" s="118">
        <f>+Инвойс!E32</f>
        <v>136</v>
      </c>
      <c r="G22" s="162" t="str">
        <f>+CMR!F32</f>
        <v>Персики свежие</v>
      </c>
      <c r="H22" s="162"/>
      <c r="I22" s="119"/>
      <c r="J22" s="120"/>
    </row>
    <row r="23" spans="2:10" ht="14.25" customHeight="1" x14ac:dyDescent="0.3">
      <c r="B23" s="83"/>
      <c r="E23" s="123"/>
      <c r="F23" s="121" t="str">
        <f>+Инвойс!D32</f>
        <v>Дер. ящик</v>
      </c>
      <c r="G23" s="160" t="str">
        <f>+Инвойс!C32</f>
        <v>0809309001</v>
      </c>
      <c r="H23" s="161"/>
      <c r="I23" s="122" t="s">
        <v>103</v>
      </c>
      <c r="J23" s="120">
        <f>+Инвойс!G32</f>
        <v>713</v>
      </c>
    </row>
    <row r="24" spans="2:10" ht="12.75" customHeight="1" x14ac:dyDescent="0.3">
      <c r="B24" s="87"/>
      <c r="E24" s="123"/>
      <c r="F24" s="118">
        <f>+Инвойс!E33</f>
        <v>64</v>
      </c>
      <c r="G24" s="162" t="str">
        <f>+CMR!F33</f>
        <v>Айва свежая</v>
      </c>
      <c r="H24" s="162"/>
      <c r="I24" s="119"/>
      <c r="J24" s="120"/>
    </row>
    <row r="25" spans="2:10" ht="12.75" customHeight="1" x14ac:dyDescent="0.3">
      <c r="B25" s="87"/>
      <c r="E25" s="123"/>
      <c r="F25" s="121" t="str">
        <f>+Инвойс!D33</f>
        <v>Дер. ящик</v>
      </c>
      <c r="G25" s="160" t="str">
        <f>+Инвойс!C33</f>
        <v>0808400009</v>
      </c>
      <c r="H25" s="161"/>
      <c r="I25" s="122" t="s">
        <v>103</v>
      </c>
      <c r="J25" s="120">
        <f>+Инвойс!G33</f>
        <v>415</v>
      </c>
    </row>
    <row r="26" spans="2:10" ht="12" customHeight="1" x14ac:dyDescent="0.3">
      <c r="B26" s="87"/>
      <c r="E26" s="123"/>
      <c r="F26" s="118">
        <f>+Инвойс!E34</f>
        <v>268</v>
      </c>
      <c r="G26" s="162" t="str">
        <f>+CMR!F34</f>
        <v>Сливы свежие</v>
      </c>
      <c r="H26" s="162"/>
      <c r="I26" s="119"/>
      <c r="J26" s="120"/>
    </row>
    <row r="27" spans="2:10" ht="14.25" customHeight="1" x14ac:dyDescent="0.3">
      <c r="B27" s="87"/>
      <c r="E27" s="123"/>
      <c r="F27" s="121" t="str">
        <f>+Инвойс!D34</f>
        <v>Пласт. ящик</v>
      </c>
      <c r="G27" s="160" t="str">
        <f>+Инвойс!C34</f>
        <v>0809400501</v>
      </c>
      <c r="H27" s="161"/>
      <c r="I27" s="122" t="s">
        <v>103</v>
      </c>
      <c r="J27" s="120">
        <f>+Инвойс!G34</f>
        <v>2413</v>
      </c>
    </row>
    <row r="28" spans="2:10" ht="12.75" customHeight="1" x14ac:dyDescent="0.3">
      <c r="B28" s="87"/>
      <c r="E28" s="123"/>
      <c r="F28" s="118">
        <f>+Инвойс!E35</f>
        <v>1541</v>
      </c>
      <c r="G28" s="162" t="str">
        <f>+CMR!F35</f>
        <v>Виноград свежий столовых сортов</v>
      </c>
      <c r="H28" s="162"/>
      <c r="I28" s="119"/>
      <c r="J28" s="120"/>
    </row>
    <row r="29" spans="2:10" ht="12.75" customHeight="1" x14ac:dyDescent="0.3">
      <c r="B29" s="87"/>
      <c r="E29" s="123"/>
      <c r="F29" s="121" t="str">
        <f>+Инвойс!D35</f>
        <v>Дер. ящик</v>
      </c>
      <c r="G29" s="160" t="str">
        <f>+Инвойс!C35</f>
        <v>0806101001</v>
      </c>
      <c r="H29" s="161"/>
      <c r="I29" s="122" t="s">
        <v>103</v>
      </c>
      <c r="J29" s="120">
        <f>+Инвойс!G35</f>
        <v>14717</v>
      </c>
    </row>
    <row r="30" spans="2:10" ht="12.75" customHeight="1" x14ac:dyDescent="0.3">
      <c r="B30" s="87"/>
      <c r="E30" s="123"/>
      <c r="F30" s="118">
        <f>+Инвойс!E36</f>
        <v>88</v>
      </c>
      <c r="G30" s="162" t="str">
        <f>+CMR!F36</f>
        <v>Гранат свежий</v>
      </c>
      <c r="H30" s="162"/>
      <c r="I30" s="119"/>
      <c r="J30" s="120"/>
    </row>
    <row r="31" spans="2:10" ht="13.5" customHeight="1" x14ac:dyDescent="0.3">
      <c r="B31" s="87"/>
      <c r="E31" s="123"/>
      <c r="F31" s="121" t="str">
        <f>+Инвойс!D36</f>
        <v>Дер. ящик</v>
      </c>
      <c r="G31" s="160" t="str">
        <f>+Инвойс!C36</f>
        <v>0810907504</v>
      </c>
      <c r="H31" s="161"/>
      <c r="I31" s="122" t="s">
        <v>103</v>
      </c>
      <c r="J31" s="120">
        <f>+Инвойс!G36</f>
        <v>618</v>
      </c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2540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8"/>
  <sheetViews>
    <sheetView zoomScale="55" zoomScaleNormal="55" workbookViewId="0">
      <selection activeCell="A37" sqref="A37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171</v>
      </c>
      <c r="C1" s="171"/>
      <c r="D1" s="171"/>
      <c r="E1" s="171"/>
      <c r="F1" s="152" t="str">
        <f>+Инвойс!F1</f>
        <v xml:space="preserve"> 04.09.2025г.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GR-MG-01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ООО «MEGA EXIMPORT»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5" t="str">
        <f>+Инвойс!A6</f>
        <v xml:space="preserve">Республика Узбекистан, Ферганская область, </v>
      </c>
      <c r="B6" s="175"/>
      <c r="C6" s="175"/>
      <c r="D6" s="175"/>
      <c r="E6" s="175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75" t="str">
        <f>+Инвойс!A7</f>
        <v>Кува Район, Гулобод МФЙ, Сарбоз улитца</v>
      </c>
      <c r="B7" s="175"/>
      <c r="C7" s="175"/>
      <c r="D7" s="175"/>
      <c r="E7" s="175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75" t="str">
        <f>+Инвойс!A8</f>
        <v xml:space="preserve">Р/с N 20208840607249418001   (USD)    </v>
      </c>
      <c r="B8" s="175"/>
      <c r="C8" s="175"/>
      <c r="D8" s="175"/>
      <c r="E8" s="175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75" t="str">
        <f>+Инвойс!A9</f>
        <v xml:space="preserve">в АКБ «KAPITAL BANK» МФО: 01088 Swift: KACHUZ22  </v>
      </c>
      <c r="B9" s="175"/>
      <c r="C9" s="175"/>
      <c r="D9" s="175"/>
      <c r="E9" s="175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75" t="str">
        <f>+Инвойс!A10</f>
        <v xml:space="preserve"> ИНН: 312169146</v>
      </c>
      <c r="B10" s="175"/>
      <c r="C10" s="175"/>
      <c r="D10" s="175"/>
      <c r="E10" s="175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75"/>
      <c r="B11" s="175"/>
      <c r="C11" s="175"/>
      <c r="D11" s="175"/>
      <c r="E11" s="175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ООО «MEGA EXIMPORT»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5" t="str">
        <f>+Инвойс!A15</f>
        <v xml:space="preserve">Республика Узбекистан, Ферганская область, </v>
      </c>
      <c r="B15" s="175"/>
      <c r="C15" s="175"/>
      <c r="D15" s="175"/>
      <c r="E15" s="175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75" t="str">
        <f>+Инвойс!A16</f>
        <v>Кува Район, Гулобод МФЙ, Сарбоз улитца</v>
      </c>
      <c r="B16" s="175"/>
      <c r="C16" s="175"/>
      <c r="D16" s="175"/>
      <c r="E16" s="175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75" t="str">
        <f>+Инвойс!A17</f>
        <v xml:space="preserve">Р/с N 20208840607249418001   (USD)    </v>
      </c>
      <c r="B17" s="175"/>
      <c r="C17" s="175"/>
      <c r="D17" s="175"/>
      <c r="E17" s="175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75" t="str">
        <f>+Инвойс!A18</f>
        <v xml:space="preserve">в АКБ «KAPITAL BANK» МФО: 01088 Swift: KACHUZ22  </v>
      </c>
      <c r="B18" s="175"/>
      <c r="C18" s="175"/>
      <c r="D18" s="175"/>
      <c r="E18" s="175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75" t="str">
        <f>+Инвойс!A19</f>
        <v xml:space="preserve"> ИНН: 312169146</v>
      </c>
      <c r="B19" s="175"/>
      <c r="C19" s="175"/>
      <c r="D19" s="175"/>
      <c r="E19" s="175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75"/>
      <c r="B20" s="175"/>
      <c r="C20" s="175"/>
      <c r="D20" s="175"/>
      <c r="E20" s="175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75"/>
      <c r="B21" s="175"/>
      <c r="C21" s="175"/>
      <c r="D21" s="175"/>
      <c r="E21" s="175"/>
      <c r="G21" s="7"/>
      <c r="H21" s="23"/>
      <c r="I21" s="23"/>
      <c r="J21" s="23"/>
    </row>
    <row r="22" spans="1:17" ht="43.5" customHeight="1" x14ac:dyDescent="0.3">
      <c r="A22" s="1" t="s">
        <v>128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116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1" t="str">
        <f>+Инвойс!E26</f>
        <v>40Z899UA/403524BA</v>
      </c>
      <c r="F26" s="172"/>
      <c r="G26" s="172"/>
      <c r="J26" s="21"/>
    </row>
    <row r="27" spans="1:17" ht="34.5" customHeight="1" x14ac:dyDescent="0.25">
      <c r="A27" s="67" t="s">
        <v>129</v>
      </c>
      <c r="C27" s="18"/>
      <c r="E27" s="22"/>
      <c r="F27" s="22"/>
      <c r="G27" s="22"/>
      <c r="J27" s="21"/>
    </row>
    <row r="28" spans="1:17" ht="24" customHeight="1" x14ac:dyDescent="0.25">
      <c r="A28" s="136" t="s">
        <v>1</v>
      </c>
      <c r="B28" s="136" t="s">
        <v>2</v>
      </c>
      <c r="C28" s="136" t="s">
        <v>3</v>
      </c>
      <c r="D28" s="136" t="s">
        <v>4</v>
      </c>
      <c r="E28" s="136" t="s">
        <v>5</v>
      </c>
      <c r="F28" s="136" t="s">
        <v>6</v>
      </c>
      <c r="G28" s="138" t="s">
        <v>7</v>
      </c>
      <c r="H28" s="139"/>
      <c r="I28" s="136" t="s">
        <v>8</v>
      </c>
      <c r="J28" s="111" t="s">
        <v>9</v>
      </c>
      <c r="K28" s="138" t="s">
        <v>10</v>
      </c>
      <c r="L28" s="139"/>
      <c r="M28" s="136" t="s">
        <v>11</v>
      </c>
    </row>
    <row r="29" spans="1:17" ht="31.8" x14ac:dyDescent="0.25">
      <c r="A29" s="137"/>
      <c r="B29" s="137"/>
      <c r="C29" s="137"/>
      <c r="D29" s="137"/>
      <c r="E29" s="137"/>
      <c r="F29" s="137"/>
      <c r="G29" s="111" t="s">
        <v>12</v>
      </c>
      <c r="H29" s="111" t="s">
        <v>13</v>
      </c>
      <c r="I29" s="137"/>
      <c r="J29" s="112" t="s">
        <v>14</v>
      </c>
      <c r="K29" s="10" t="s">
        <v>15</v>
      </c>
      <c r="L29" s="10" t="s">
        <v>16</v>
      </c>
      <c r="M29" s="137"/>
    </row>
    <row r="30" spans="1:17" ht="27.6" x14ac:dyDescent="0.25">
      <c r="A30" s="129">
        <f>+Инвойс!A30</f>
        <v>1</v>
      </c>
      <c r="B30" s="101" t="str">
        <f>+Инвойс!B30</f>
        <v>Нектарины свежие</v>
      </c>
      <c r="C30" s="107" t="str">
        <f>+Инвойс!C30</f>
        <v>0809301001</v>
      </c>
      <c r="D30" s="115" t="str">
        <f>+Инвойс!D30</f>
        <v>Дер. ящик</v>
      </c>
      <c r="E30" s="101">
        <f>+Инвойс!E30</f>
        <v>150</v>
      </c>
      <c r="F30" s="116" t="str">
        <f>+Инвойс!F30</f>
        <v>кг</v>
      </c>
      <c r="G30" s="106">
        <f>+Инвойс!G30</f>
        <v>1200</v>
      </c>
      <c r="H30" s="106">
        <f>+Инвойс!H30</f>
        <v>990</v>
      </c>
      <c r="I30" s="108">
        <f>+Инвойс!I30</f>
        <v>1.05</v>
      </c>
      <c r="J30" s="13">
        <f>+Инвойс!J30</f>
        <v>1039.5</v>
      </c>
      <c r="K30" s="12">
        <v>0</v>
      </c>
      <c r="L30" s="12">
        <v>0</v>
      </c>
      <c r="M30" s="13">
        <f>+Инвойс!M30</f>
        <v>1039.5</v>
      </c>
      <c r="O30" s="100"/>
      <c r="Q30" s="100"/>
    </row>
    <row r="31" spans="1:17" ht="27.6" x14ac:dyDescent="0.25">
      <c r="A31" s="129">
        <f>+Инвойс!A31</f>
        <v>2</v>
      </c>
      <c r="B31" s="101" t="str">
        <f>+Инвойс!B31</f>
        <v>Сливы свежие</v>
      </c>
      <c r="C31" s="107" t="str">
        <f>+Инвойс!C31</f>
        <v>0809400501</v>
      </c>
      <c r="D31" s="115" t="str">
        <f>+Инвойс!D31</f>
        <v>Дер. ящик</v>
      </c>
      <c r="E31" s="101">
        <f>+Инвойс!E31</f>
        <v>293</v>
      </c>
      <c r="F31" s="116" t="str">
        <f>+Инвойс!F31</f>
        <v>кг</v>
      </c>
      <c r="G31" s="106">
        <f>+Инвойс!G31</f>
        <v>2640</v>
      </c>
      <c r="H31" s="106">
        <f>+Инвойс!H31</f>
        <v>2230</v>
      </c>
      <c r="I31" s="108">
        <f>+Инвойс!I31</f>
        <v>0.6</v>
      </c>
      <c r="J31" s="13">
        <f>+Инвойс!J31</f>
        <v>1338</v>
      </c>
      <c r="K31" s="12">
        <v>0</v>
      </c>
      <c r="L31" s="12">
        <v>0</v>
      </c>
      <c r="M31" s="13">
        <f>+Инвойс!M31</f>
        <v>1338</v>
      </c>
      <c r="O31" s="100"/>
      <c r="Q31" s="100"/>
    </row>
    <row r="32" spans="1:17" ht="27.6" x14ac:dyDescent="0.25">
      <c r="A32" s="129">
        <f>+Инвойс!A32</f>
        <v>3</v>
      </c>
      <c r="B32" s="101" t="str">
        <f>+Инвойс!B32</f>
        <v>Персики свежие</v>
      </c>
      <c r="C32" s="107" t="str">
        <f>+Инвойс!C32</f>
        <v>0809309001</v>
      </c>
      <c r="D32" s="115" t="str">
        <f>+Инвойс!D32</f>
        <v>Дер. ящик</v>
      </c>
      <c r="E32" s="101">
        <f>+Инвойс!E32</f>
        <v>136</v>
      </c>
      <c r="F32" s="116" t="str">
        <f>+Инвойс!F32</f>
        <v>кг</v>
      </c>
      <c r="G32" s="106">
        <f>+Инвойс!G32</f>
        <v>713</v>
      </c>
      <c r="H32" s="106">
        <f>+Инвойс!H32</f>
        <v>550</v>
      </c>
      <c r="I32" s="108">
        <f>+Инвойс!I32</f>
        <v>1.1499999999999999</v>
      </c>
      <c r="J32" s="13">
        <f>+Инвойс!J32</f>
        <v>632.5</v>
      </c>
      <c r="K32" s="12">
        <v>0</v>
      </c>
      <c r="L32" s="12">
        <v>0</v>
      </c>
      <c r="M32" s="13">
        <f>+Инвойс!M32</f>
        <v>632.5</v>
      </c>
      <c r="O32" s="100"/>
      <c r="Q32" s="100"/>
    </row>
    <row r="33" spans="1:17" ht="27.6" x14ac:dyDescent="0.25">
      <c r="A33" s="129">
        <f>+Инвойс!A33</f>
        <v>4</v>
      </c>
      <c r="B33" s="101" t="str">
        <f>+Инвойс!B33</f>
        <v>Айва свежая</v>
      </c>
      <c r="C33" s="107" t="str">
        <f>+Инвойс!C33</f>
        <v>0808400009</v>
      </c>
      <c r="D33" s="115" t="str">
        <f>+Инвойс!D33</f>
        <v>Дер. ящик</v>
      </c>
      <c r="E33" s="101">
        <f>+Инвойс!E33</f>
        <v>64</v>
      </c>
      <c r="F33" s="116" t="str">
        <f>+Инвойс!F33</f>
        <v>кг</v>
      </c>
      <c r="G33" s="106">
        <f>+Инвойс!G33</f>
        <v>415</v>
      </c>
      <c r="H33" s="106">
        <f>+Инвойс!H33</f>
        <v>325</v>
      </c>
      <c r="I33" s="108">
        <f>+Инвойс!I33</f>
        <v>1.55</v>
      </c>
      <c r="J33" s="13">
        <f>+Инвойс!J33</f>
        <v>503.75</v>
      </c>
      <c r="K33" s="12">
        <v>0</v>
      </c>
      <c r="L33" s="12">
        <v>0</v>
      </c>
      <c r="M33" s="13">
        <f>+Инвойс!M33</f>
        <v>503.75</v>
      </c>
      <c r="O33" s="100"/>
      <c r="Q33" s="100"/>
    </row>
    <row r="34" spans="1:17" ht="27.6" x14ac:dyDescent="0.25">
      <c r="A34" s="129">
        <f>+Инвойс!A34</f>
        <v>5</v>
      </c>
      <c r="B34" s="101" t="str">
        <f>+Инвойс!B34</f>
        <v>Сливы свежие</v>
      </c>
      <c r="C34" s="107" t="str">
        <f>+Инвойс!C34</f>
        <v>0809400501</v>
      </c>
      <c r="D34" s="115" t="str">
        <f>+Инвойс!D34</f>
        <v>Пласт. ящик</v>
      </c>
      <c r="E34" s="101">
        <f>+Инвойс!E34</f>
        <v>268</v>
      </c>
      <c r="F34" s="116" t="str">
        <f>+Инвойс!F34</f>
        <v>кг</v>
      </c>
      <c r="G34" s="106">
        <f>+Инвойс!G34</f>
        <v>2413</v>
      </c>
      <c r="H34" s="106">
        <f>+Инвойс!H34</f>
        <v>2225</v>
      </c>
      <c r="I34" s="108">
        <f>+Инвойс!I34</f>
        <v>0.6</v>
      </c>
      <c r="J34" s="13">
        <f>+Инвойс!J34</f>
        <v>1335</v>
      </c>
      <c r="K34" s="12">
        <v>0</v>
      </c>
      <c r="L34" s="12">
        <v>0</v>
      </c>
      <c r="M34" s="13">
        <f>+Инвойс!M34</f>
        <v>1335</v>
      </c>
      <c r="O34" s="100"/>
      <c r="Q34" s="100"/>
    </row>
    <row r="35" spans="1:17" ht="27.6" x14ac:dyDescent="0.25">
      <c r="A35" s="129">
        <f>+Инвойс!A35</f>
        <v>6</v>
      </c>
      <c r="B35" s="101" t="str">
        <f>+Инвойс!B35</f>
        <v>Виноград свежий столовых сортов</v>
      </c>
      <c r="C35" s="107" t="str">
        <f>+Инвойс!C35</f>
        <v>0806101001</v>
      </c>
      <c r="D35" s="115" t="str">
        <f>+Инвойс!D35</f>
        <v>Дер. ящик</v>
      </c>
      <c r="E35" s="101">
        <f>+Инвойс!E35</f>
        <v>1541</v>
      </c>
      <c r="F35" s="116" t="str">
        <f>+Инвойс!F35</f>
        <v>кг</v>
      </c>
      <c r="G35" s="106">
        <f>+Инвойс!G35</f>
        <v>14717</v>
      </c>
      <c r="H35" s="106">
        <f>+Инвойс!H35</f>
        <v>12560</v>
      </c>
      <c r="I35" s="108">
        <f>+Инвойс!I35</f>
        <v>1</v>
      </c>
      <c r="J35" s="13">
        <f>+Инвойс!J35</f>
        <v>12560</v>
      </c>
      <c r="K35" s="12">
        <v>0</v>
      </c>
      <c r="L35" s="12">
        <v>0</v>
      </c>
      <c r="M35" s="13">
        <f>+Инвойс!M35</f>
        <v>12560</v>
      </c>
      <c r="O35" s="100"/>
      <c r="Q35" s="100"/>
    </row>
    <row r="36" spans="1:17" ht="27.6" x14ac:dyDescent="0.25">
      <c r="A36" s="129">
        <f>+Инвойс!A36</f>
        <v>7</v>
      </c>
      <c r="B36" s="101" t="str">
        <f>+Инвойс!B36</f>
        <v>Гранат свежий</v>
      </c>
      <c r="C36" s="107" t="str">
        <f>+Инвойс!C36</f>
        <v>0810907504</v>
      </c>
      <c r="D36" s="115" t="str">
        <f>+Инвойс!D36</f>
        <v>Дер. ящик</v>
      </c>
      <c r="E36" s="101">
        <f>+Инвойс!E36</f>
        <v>88</v>
      </c>
      <c r="F36" s="116" t="str">
        <f>+Инвойс!F36</f>
        <v>кг</v>
      </c>
      <c r="G36" s="106">
        <f>+Инвойс!G36</f>
        <v>618</v>
      </c>
      <c r="H36" s="106">
        <f>+Инвойс!H36</f>
        <v>495</v>
      </c>
      <c r="I36" s="108">
        <f>+Инвойс!I36</f>
        <v>1.9</v>
      </c>
      <c r="J36" s="13">
        <f>+Инвойс!J36</f>
        <v>940.5</v>
      </c>
      <c r="K36" s="12">
        <v>0</v>
      </c>
      <c r="L36" s="12">
        <v>0</v>
      </c>
      <c r="M36" s="13">
        <f>+Инвойс!M36</f>
        <v>940.5</v>
      </c>
      <c r="O36" s="100"/>
      <c r="Q36" s="100"/>
    </row>
    <row r="37" spans="1:17" ht="13.8" x14ac:dyDescent="0.25">
      <c r="A37" s="150" t="s">
        <v>0</v>
      </c>
      <c r="B37" s="151"/>
      <c r="C37" s="14"/>
      <c r="D37" s="15"/>
      <c r="E37" s="64">
        <f>SUM(E30:E36)</f>
        <v>2540</v>
      </c>
      <c r="F37" s="15"/>
      <c r="G37" s="64">
        <f>SUM(G30:G36)</f>
        <v>22716</v>
      </c>
      <c r="H37" s="64">
        <f>SUM(H30:H36)</f>
        <v>19375</v>
      </c>
      <c r="I37" s="102"/>
      <c r="J37" s="17">
        <f>SUM(J30:J36)</f>
        <v>18349.25</v>
      </c>
      <c r="K37" s="16"/>
      <c r="L37" s="16"/>
      <c r="M37" s="17">
        <f>SUM(M30:M36)</f>
        <v>18349.25</v>
      </c>
      <c r="P37" s="66"/>
    </row>
    <row r="38" spans="1:17" ht="13.8" x14ac:dyDescent="0.3">
      <c r="A38" s="2" t="s">
        <v>17</v>
      </c>
      <c r="B38" s="3"/>
      <c r="C38" s="11"/>
      <c r="D38" s="11"/>
      <c r="E38" s="148" t="str">
        <f>Лист1!B3</f>
        <v>Восемнадцать тысяч триста сорок девять долларов США, 25 центов.</v>
      </c>
      <c r="F38" s="149"/>
      <c r="G38" s="149"/>
      <c r="H38" s="149"/>
      <c r="I38" s="149"/>
      <c r="J38" s="149"/>
      <c r="K38" s="149"/>
      <c r="L38" s="149"/>
      <c r="M38" s="149"/>
    </row>
    <row r="39" spans="1:17" ht="20.25" customHeight="1" x14ac:dyDescent="0.25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</row>
    <row r="40" spans="1:17" ht="25.5" customHeight="1" x14ac:dyDescent="0.25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26"/>
    </row>
    <row r="42" spans="1:17" s="18" customFormat="1" ht="15.6" x14ac:dyDescent="0.3">
      <c r="A42" s="133" t="s">
        <v>143</v>
      </c>
      <c r="B42" s="133"/>
      <c r="D42" s="18" t="str">
        <f>+Инвойс!D42</f>
        <v>Эргашев О.Р</v>
      </c>
      <c r="E42" s="134"/>
      <c r="G42" s="131" t="s">
        <v>134</v>
      </c>
      <c r="H42" s="18" t="str">
        <f>Инвойс!G5</f>
        <v>ООО «ГРИН ВОРЛД»</v>
      </c>
      <c r="K42" s="135" t="s">
        <v>157</v>
      </c>
    </row>
    <row r="43" spans="1:17" ht="13.8" x14ac:dyDescent="0.25">
      <c r="A43" s="7"/>
      <c r="B43" s="9"/>
    </row>
    <row r="44" spans="1:17" ht="13.8" x14ac:dyDescent="0.25">
      <c r="A44" s="7"/>
      <c r="B44" s="9"/>
    </row>
    <row r="45" spans="1:17" ht="13.8" x14ac:dyDescent="0.25">
      <c r="A45" s="7"/>
      <c r="B45" s="9"/>
    </row>
    <row r="46" spans="1:17" ht="13.8" x14ac:dyDescent="0.25">
      <c r="A46" s="7"/>
      <c r="B46" s="9"/>
    </row>
    <row r="47" spans="1:17" ht="13.8" x14ac:dyDescent="0.25">
      <c r="A47" s="8"/>
      <c r="B47" s="9"/>
    </row>
    <row r="48" spans="1:17" x14ac:dyDescent="0.25">
      <c r="A48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9:M39"/>
    <mergeCell ref="A40:M40"/>
    <mergeCell ref="G28:H28"/>
    <mergeCell ref="I28:I29"/>
    <mergeCell ref="K28:L28"/>
    <mergeCell ref="M28:M29"/>
    <mergeCell ref="A37:B37"/>
    <mergeCell ref="E38:M38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7"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8" t="s">
        <v>117</v>
      </c>
    </row>
    <row r="3" spans="1:10" ht="52.8" x14ac:dyDescent="0.25">
      <c r="A3" s="132" t="s">
        <v>132</v>
      </c>
    </row>
    <row r="5" spans="1:10" ht="92.4" x14ac:dyDescent="0.25">
      <c r="A5" s="128" t="s">
        <v>169</v>
      </c>
    </row>
    <row r="6" spans="1:10" x14ac:dyDescent="0.25">
      <c r="E6" s="18" t="s">
        <v>133</v>
      </c>
      <c r="J6" s="25" t="s">
        <v>160</v>
      </c>
    </row>
    <row r="7" spans="1:10" ht="52.8" x14ac:dyDescent="0.25">
      <c r="A7" s="128" t="s">
        <v>118</v>
      </c>
    </row>
    <row r="8" spans="1:10" x14ac:dyDescent="0.25">
      <c r="E8" s="18" t="s">
        <v>161</v>
      </c>
      <c r="J8" s="25" t="s">
        <v>162</v>
      </c>
    </row>
    <row r="9" spans="1:10" ht="52.8" x14ac:dyDescent="0.25">
      <c r="A9" s="128" t="s">
        <v>119</v>
      </c>
    </row>
    <row r="10" spans="1:10" x14ac:dyDescent="0.25">
      <c r="A10" s="128"/>
      <c r="E10" s="18" t="s">
        <v>163</v>
      </c>
      <c r="J10" s="25" t="s">
        <v>164</v>
      </c>
    </row>
    <row r="11" spans="1:10" ht="52.8" x14ac:dyDescent="0.25">
      <c r="A11" s="128" t="s">
        <v>167</v>
      </c>
    </row>
    <row r="12" spans="1:10" x14ac:dyDescent="0.25">
      <c r="E12" s="18" t="s">
        <v>165</v>
      </c>
      <c r="J12" s="25" t="s">
        <v>166</v>
      </c>
    </row>
    <row r="13" spans="1:10" ht="52.8" x14ac:dyDescent="0.25">
      <c r="A13" s="128" t="s">
        <v>120</v>
      </c>
    </row>
    <row r="15" spans="1:10" ht="39.6" x14ac:dyDescent="0.25">
      <c r="A15" s="128" t="s">
        <v>121</v>
      </c>
    </row>
    <row r="17" spans="1:1" ht="39.6" x14ac:dyDescent="0.25">
      <c r="A17" s="128" t="s">
        <v>122</v>
      </c>
    </row>
    <row r="19" spans="1:1" ht="39.6" x14ac:dyDescent="0.25">
      <c r="A19" s="130" t="s">
        <v>127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8" t="s">
        <v>32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9" ht="15.6" x14ac:dyDescent="0.3">
      <c r="E2" s="27">
        <f>Инвойс!M37</f>
        <v>18349.25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Восемнадцать тысяч триста сорок девять долларов США, 25 центов.</v>
      </c>
      <c r="E3" s="31"/>
      <c r="H3" s="32"/>
      <c r="J3" s="32"/>
      <c r="K3" s="32"/>
      <c r="L3" s="32"/>
      <c r="M3" s="33" t="s">
        <v>34</v>
      </c>
      <c r="N3" s="179">
        <f ca="1">TODAY()</f>
        <v>45904</v>
      </c>
      <c r="O3" s="179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Восемнадцать тысяч триста сорок девять долларов США, 25 центов. (в т.ч. НДС - 357,79)</v>
      </c>
      <c r="H4" s="32"/>
      <c r="I4" s="32"/>
      <c r="J4" s="32"/>
      <c r="K4" s="180" t="str">
        <f ca="1">CONCATENATE(" «  ",P3,"  »  ",Q3,"  ",R3," г.")</f>
        <v xml:space="preserve"> «  4  »  сентября  2025 г.</v>
      </c>
      <c r="L4" s="180"/>
      <c r="M4" s="180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восемнадцать тысяч триста сорок девять долларов США, 25 центов.</v>
      </c>
    </row>
    <row r="6" spans="1:19" s="36" customFormat="1" x14ac:dyDescent="0.25">
      <c r="A6" s="38" t="s">
        <v>37</v>
      </c>
      <c r="B6" s="36" t="str">
        <f>CONCATENATE(A8,A9,A10,A11,A12,B8,B9,C9)</f>
        <v>восемнадцать тысяч триста сорок девять долларов США, 25 центов. (в т.ч. НДС - 357,79)</v>
      </c>
      <c r="C6"/>
      <c r="D6"/>
      <c r="E6"/>
      <c r="H6" s="39"/>
    </row>
    <row r="7" spans="1:19" x14ac:dyDescent="0.25">
      <c r="D7" s="33"/>
      <c r="H7" s="181" t="s">
        <v>38</v>
      </c>
      <c r="I7" s="181"/>
      <c r="J7" s="181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226</v>
      </c>
      <c r="G8" s="42"/>
      <c r="H8" s="181"/>
      <c r="I8" s="181"/>
      <c r="J8" s="181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в</v>
      </c>
      <c r="G9" s="42"/>
      <c r="H9" s="181"/>
      <c r="I9" s="181"/>
      <c r="J9" s="181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восемнадцать тысяч </v>
      </c>
      <c r="D10" s="47"/>
      <c r="E10" s="48"/>
      <c r="F10" s="41" t="str">
        <f>PROPER(F9)</f>
        <v>В</v>
      </c>
      <c r="G10" s="42"/>
      <c r="H10" s="181"/>
      <c r="I10" s="181"/>
      <c r="J10" s="181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сорок девять долларов США, </v>
      </c>
      <c r="D11" s="47"/>
      <c r="E11" s="48"/>
      <c r="H11" s="181"/>
      <c r="I11" s="181"/>
      <c r="J11" s="181"/>
    </row>
    <row r="12" spans="1:19" s="43" customFormat="1" x14ac:dyDescent="0.25">
      <c r="A12" s="49" t="str">
        <f>CONCATENATE(IF(C31=0,"0",C31),IF(C32=0,"0",C32)," ",F33)</f>
        <v>25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18349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18</v>
      </c>
      <c r="B25" s="47">
        <f>TRUNC(RIGHT(A25))</f>
        <v>8</v>
      </c>
      <c r="C25" s="51">
        <f>IF(B24=1,B25+10,IF(B25=0,0,B25))</f>
        <v>18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восемь </v>
      </c>
      <c r="F25" s="43" t="str">
        <f>IF(AND(C25&gt;15,C25&lt;20),IF(C25=16,D40,IF(C25=17,D41,IF(C25=18,D42,IF(C25=19,D43,)))),"")</f>
        <v xml:space="preserve">восемнадцать </v>
      </c>
    </row>
    <row r="26" spans="1:9" s="43" customFormat="1" x14ac:dyDescent="0.25">
      <c r="A26" s="54"/>
      <c r="B26" s="47"/>
      <c r="C26" s="51"/>
      <c r="E26" s="57">
        <f>B23*100+B24*10+B25</f>
        <v>18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183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1834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18349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349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2" t="s">
        <v>81</v>
      </c>
      <c r="B44" s="182"/>
      <c r="C44" s="182"/>
      <c r="D44" s="182"/>
      <c r="E44" s="182"/>
      <c r="F44" s="182"/>
      <c r="G44" s="182"/>
      <c r="H44" s="182"/>
      <c r="I44" s="182"/>
      <c r="J44" s="177" t="s">
        <v>82</v>
      </c>
      <c r="K44" s="177"/>
    </row>
    <row r="45" spans="1:11" s="43" customFormat="1" x14ac:dyDescent="0.25">
      <c r="A45" s="182"/>
      <c r="B45" s="182"/>
      <c r="C45" s="182"/>
      <c r="D45" s="182"/>
      <c r="E45" s="182"/>
      <c r="F45" s="182"/>
      <c r="G45" s="182"/>
      <c r="H45" s="182"/>
      <c r="I45" s="182"/>
      <c r="J45" s="177"/>
      <c r="K45" s="177"/>
    </row>
    <row r="46" spans="1:11" s="43" customFormat="1" x14ac:dyDescent="0.25">
      <c r="B46" s="61"/>
      <c r="C46" s="61"/>
      <c r="G46" s="176" t="s">
        <v>83</v>
      </c>
      <c r="H46" s="176"/>
      <c r="I46" s="176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7" t="s">
        <v>85</v>
      </c>
      <c r="B100" s="177"/>
      <c r="C100" s="177"/>
      <c r="D100" s="177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2025-09-04T17:50:30Z</cp:lastPrinted>
  <dcterms:created xsi:type="dcterms:W3CDTF">1996-10-14T23:33:28Z</dcterms:created>
  <dcterms:modified xsi:type="dcterms:W3CDTF">2025-09-04T17:50:32Z</dcterms:modified>
</cp:coreProperties>
</file>