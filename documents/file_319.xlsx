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05618DD-0286-4C3E-8D89-CCCA298869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<sst xmlns="http://schemas.openxmlformats.org/spreadsheetml/2006/main" count="211" uniqueCount="164">
  <si>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</si>
  <si>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</si>
  <si>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</si>
  <si>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</si>
  <si>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</si>
  <si>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</si>
  <si>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</si>
  <si>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</si>
  <si>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</si>
  <si>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</si>
  <si>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</si>
  <si>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</si>
  <si>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</si>
  <si>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</si>
  <si>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</si>
  <si>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</si>
  <si>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</si>
  <si>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</si>
  <si>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</si>
  <si>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</si>
  <si>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</si>
  <si>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</si>
  <si>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</si>
  <si>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</si>
  <si>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</si>
  <si>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</si>
  <si>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</si>
  <si>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</si>
  <si>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</si>
  <si>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</si>
  <si>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</si>
  <si>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</si>
  <si>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</si>
  <si>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</si>
  <si>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</si>
  <si>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</si>
  <si>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</si>
  <si>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</si>
  <si>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</si>
  <si>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</si>
  <si>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</si>
  <si>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</si>
  <si>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</si>
  <si>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</si>
  <si>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</si>
  <si>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</si>
  <si>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</si>
  <si>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</si>
  <si>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</si>
  <si>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</si>
  <si>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</si>
  <si>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</si>
  <si>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</si>
  <si>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</si>
  <si>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</si>
  <si>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</si>
  <si>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</si>
  <si>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</si>
  <si>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</si>
  <si>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</si>
  <si>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</si>
  <si>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</si>
  <si>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</si>
  <si>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</si>
  <si>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</si>
  <si>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</si>
  <si>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</si>
  <si>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</si>
  <si>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</si>
  <si>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</si>
  <si>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</si>
  <si>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</si>
  <si>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</si>
  <si>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</si>
  <si>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</si>
  <si>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</si>
  <si>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</si>
  <si>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</si>
  <si>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</si>
  <si>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</si>
  <si>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</si>
  <si>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</si>
  <si>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</si>
  <si>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</si>
  <si>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</si>
  <si>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</si>
  <si>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</si>
  <si>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</si>
  <si>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</si>
  <si>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</si>
  <si>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</si>
  <si>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</si>
  <si>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</si>
  <si>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</si>
  <si>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</si>
  <si>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</si>
  <si>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</si>
  <si>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</si>
  <si>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</si>
  <si>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</si>
  <si>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</si>
  <si>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</si>
  <si>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</si>
  <si>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</si>
  <si>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</si>
  <si>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</si>
  <si>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</si>
  <si>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</si>
  <si>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</si>
  <si>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</si>
  <si>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</si>
  <si>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</si>
  <si>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</si>
  <si>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</si>
  <si>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</si>
  <si>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</si>
  <si>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</si>
  <si>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</si>
  <si>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</si>
  <si>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</si>
  <si>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</si>
  <si>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</si>
  <si>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</si>
  <si>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</si>
  <si>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</si>
  <si>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</si>
  <si>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</si>
  <si>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</si>
  <si>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</si>
  <si>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</si>
  <si>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</si>
  <si>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</si>
  <si>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</si>
  <si>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</si>
  <si>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</si>
  <si>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</si>
  <si>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</si>
  <si>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</si>
  <si>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</si>
  <si>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</si>
  <si>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</si>
  <si>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</si>
  <si>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</si>
  <si>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</si>
  <si>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</si>
  <si>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</si>
  <si>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</si>
  <si>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</si>
  <si>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</si>
  <si>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</si>
  <si>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</si>
  <si>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</si>
  <si>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</si>
  <si>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</si>
  <si>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</si>
  <si>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</si>
  <si>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</si>
  <si>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</si>
  <si>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</si>
  <si>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</si>
  <si>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UFG-M-38 от </t>
  </si>
  <si>
    <t xml:space="preserve"> 31.08.2025г.</t>
  </si>
  <si>
    <t>01591DMA/018633BA</t>
  </si>
  <si>
    <t xml:space="preserve">СПЕЦИФИКАЦИЯ № UFG-M-38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</si>
</sst>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152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153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148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154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150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151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153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148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154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150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151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116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138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938</v>
      </c>
      <c r="F30" s="110" t="s">
        <v>27</v>
      </c>
      <c r="G30" s="106">
        <v>23370</v>
      </c>
      <c r="H30" s="106">
        <v>21682</v>
      </c>
      <c r="I30" s="108">
        <v>0.25</v>
      </c>
      <c r="J30" s="13">
        <f t="shared" ref="J30" si="0">H30*I30</f>
        <v>5420.5</v>
      </c>
      <c r="K30" s="12">
        <v>0</v>
      </c>
      <c r="L30" s="12">
        <v>0</v>
      </c>
      <c r="M30" s="13">
        <f t="shared" ref="M30" si="1">J30</f>
        <v>5420.5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938</v>
      </c>
      <c r="F31" s="15"/>
      <c r="G31" s="64">
        <f>SUM(G30:G30)</f>
        <v>23370</v>
      </c>
      <c r="H31" s="64">
        <f>SUM(H30:H30)</f>
        <v>21682</v>
      </c>
      <c r="I31" s="102"/>
      <c r="J31" s="17">
        <f>SUM(J30:J30)</f>
        <v>5420.5</v>
      </c>
      <c r="K31" s="16"/>
      <c r="L31" s="16"/>
      <c r="M31" s="17">
        <f>SUM(M30:M30)</f>
        <v>5420.5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четыреста двадцать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K40" sqref="K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UFG-M-38 от  31.08.2025г.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938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23370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"Агротерминал-Таможня" 10606060 - т/п Красноярский 660131, Красноярский край, г. Красноярск, ул. Ястынская, д. 47, стр. 12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31.08.2025г.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01591DMA/018633BA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G29" sqref="G29:H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01591DMA/018633BA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31.08.2025г.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UFG-M-38 от  31.08.2025г.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938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23370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938</v>
      </c>
      <c r="E47" s="143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C28" sqref="C28:C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31.08.2025г.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GR-UF-01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UCHQIZIL FRUITS EXPORT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72" t="str">
        <f>+Инвойс!A6</f>
        <v>РЕСПУБЛИКА УЗБЕКИСТАН. СУРХАНДАРЬИНСКАЯ ОБЛАСТЬ,</v>
      </c>
      <c r="B6" s="172"/>
      <c r="C6" s="172"/>
      <c r="D6" s="172"/>
      <c r="E6" s="172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2" t="str">
        <f>+Инвойс!A7</f>
        <v>ТЕРМИЗСКИЙ РАЙОН,ЯНГИХАЯТ МФЙ, УЛИЦА БОГИ ШАМОЛ, 20-А</v>
      </c>
      <c r="B7" s="172"/>
      <c r="C7" s="172"/>
      <c r="D7" s="172"/>
      <c r="E7" s="172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2" t="str">
        <f>+Инвойс!A8</f>
        <v>в АКБ“KAPITAL BANK”  МФО: 01158  Swift: KACHUZ22</v>
      </c>
      <c r="B8" s="172"/>
      <c r="C8" s="172"/>
      <c r="D8" s="172"/>
      <c r="E8" s="172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2" t="str">
        <f>+Инвойс!A9</f>
        <v>Доллар США: 20208840207293094001</v>
      </c>
      <c r="B9" s="172"/>
      <c r="C9" s="172"/>
      <c r="D9" s="172"/>
      <c r="E9" s="172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2" t="str">
        <f>+Инвойс!A10</f>
        <v>Корреспондирующий банк (RUB): АКБ "Азия Инвест Банк" (АО) :</v>
      </c>
      <c r="B10" s="172"/>
      <c r="C10" s="172"/>
      <c r="D10" s="172"/>
      <c r="E10" s="172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2" t="str">
        <f>+Инвойс!A11</f>
        <v>SWIFT:ASIJRUMM / БИК 044525234,</v>
      </c>
      <c r="B11" s="172"/>
      <c r="C11" s="172"/>
      <c r="D11" s="172"/>
      <c r="E11" s="172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UCHQIZIL FRUITS EXPORT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72" t="str">
        <f>+Инвойс!A15</f>
        <v>РЕСПУБЛИКА УЗБЕКИСТАН. СУРХАНДАРЬИНСКАЯ ОБЛАСТЬ,</v>
      </c>
      <c r="B15" s="172"/>
      <c r="C15" s="172"/>
      <c r="D15" s="172"/>
      <c r="E15" s="172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2" t="str">
        <f>+Инвойс!A16</f>
        <v>ТЕРМИЗСКИЙ РАЙОН,ЯНГИХАЯТ МФЙ, УЛИЦА БОГИ ШАМОЛ, 20-А</v>
      </c>
      <c r="B16" s="172"/>
      <c r="C16" s="172"/>
      <c r="D16" s="172"/>
      <c r="E16" s="172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2" t="str">
        <f>+Инвойс!A17</f>
        <v>в АКБ“KAPITAL BANK”  МФО: 01158  Swift: KACHUZ22</v>
      </c>
      <c r="B17" s="172"/>
      <c r="C17" s="172"/>
      <c r="D17" s="172"/>
      <c r="E17" s="172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2" t="str">
        <f>+Инвойс!A18</f>
        <v>Доллар США: 20208840207293094001</v>
      </c>
      <c r="B18" s="172"/>
      <c r="C18" s="172"/>
      <c r="D18" s="172"/>
      <c r="E18" s="172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2" t="str">
        <f>+Инвойс!A19</f>
        <v>Корреспондирующий банк (RUB): АКБ "Азия Инвест Банк" (АО) :</v>
      </c>
      <c r="B19" s="172"/>
      <c r="C19" s="172"/>
      <c r="D19" s="172"/>
      <c r="E19" s="172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2" t="str">
        <f>+Инвойс!A20</f>
        <v>SWIFT:ASIJRUMM / БИК 044525234,</v>
      </c>
      <c r="B20" s="172"/>
      <c r="C20" s="172"/>
      <c r="D20" s="172"/>
      <c r="E20" s="172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124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01591DMA/018633BA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8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938</v>
      </c>
      <c r="F30" s="116" t="str">
        <f>+Инвойс!F30</f>
        <v>кг</v>
      </c>
      <c r="G30" s="106">
        <f>+Инвойс!G30</f>
        <v>23370</v>
      </c>
      <c r="H30" s="106">
        <f>+Инвойс!H30</f>
        <v>21682</v>
      </c>
      <c r="I30" s="108">
        <f>+Инвойс!I30</f>
        <v>0.25</v>
      </c>
      <c r="J30" s="13">
        <f>+Инвойс!J30</f>
        <v>5420.5</v>
      </c>
      <c r="K30" s="12">
        <v>0</v>
      </c>
      <c r="L30" s="12">
        <v>0</v>
      </c>
      <c r="M30" s="13">
        <f>+Инвойс!M30</f>
        <v>5420.5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938</v>
      </c>
      <c r="F31" s="15"/>
      <c r="G31" s="64">
        <f>SUM(G30:G30)</f>
        <v>23370</v>
      </c>
      <c r="H31" s="64">
        <f>SUM(H30:H30)</f>
        <v>21682</v>
      </c>
      <c r="I31" s="102"/>
      <c r="J31" s="17">
        <f>SUM(J30:J30)</f>
        <v>5420.5</v>
      </c>
      <c r="K31" s="16"/>
      <c r="L31" s="16"/>
      <c r="M31" s="17">
        <f>SUM(M30:M30)</f>
        <v>5420.5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Пять тысяч четыреста двадцать долларов США, 50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158</v>
      </c>
      <c r="B36" s="131"/>
      <c r="D36" s="18" t="str">
        <f>+Инвойс!D36</f>
        <v>ЭШТЕМИРОВ Х.Х</v>
      </c>
      <c r="E36" s="132"/>
      <c r="G36" s="129" t="s">
        <v>130</v>
      </c>
      <c r="H36" s="18" t="str">
        <f>Инвойс!G5</f>
        <v>ООО «ГРИН ВОРЛД»</v>
      </c>
      <c r="K36" s="133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128</v>
      </c>
    </row>
    <row r="5" spans="1:10" ht="39.6" x14ac:dyDescent="0.25">
      <c r="A5" s="126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6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6" t="s">
        <v>119</v>
      </c>
    </row>
    <row r="10" spans="1:10" x14ac:dyDescent="0.25">
      <c r="A10" s="126"/>
      <c r="E10" s="18" t="s">
        <v>134</v>
      </c>
      <c r="J10" s="25" t="s">
        <v>135</v>
      </c>
    </row>
    <row r="11" spans="1:10" ht="52.8" x14ac:dyDescent="0.25">
      <c r="A11" s="126" t="s">
        <v>159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6" t="s">
        <v>120</v>
      </c>
    </row>
    <row r="15" spans="1:10" ht="39.6" x14ac:dyDescent="0.25">
      <c r="A15" s="126" t="s">
        <v>121</v>
      </c>
    </row>
    <row r="17" spans="1:1" ht="39.6" x14ac:dyDescent="0.25">
      <c r="A17" s="126" t="s">
        <v>122</v>
      </c>
    </row>
    <row r="19" spans="1:1" ht="39.6" x14ac:dyDescent="0.25">
      <c r="A19" s="128" t="s">
        <v>123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5420.5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двадцать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45900</v>
      </c>
      <c r="O3" s="178"/>
      <c r="P3">
        <f ca="1">DAY(N3)</f>
        <v>31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четыреста двадцать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31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двадцать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двадцать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двадцать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45900</v>
      </c>
    </row>
    <row r="13" spans="1:19" s="43" customFormat="1" x14ac:dyDescent="0.25">
      <c r="A13" s="49"/>
      <c r="D13" s="51"/>
      <c r="E13" s="52">
        <f>TRUNC(E2)</f>
        <v>5420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5420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2025-08-31T11:55:32Z</cp:lastPrinted>
  <dcterms:created xsi:type="dcterms:W3CDTF">1996-10-14T23:33:28Z</dcterms:created>
  <dcterms:modified xsi:type="dcterms:W3CDTF">2025-08-31T11:55:35Z</dcterms:modified>
</cp:coreProperties>
</file>