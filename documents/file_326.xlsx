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<sst xmlns="http://schemas.openxmlformats.org/spreadsheetml/2006/main" count="209" uniqueCount="163">
  <si>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</si>
  <si>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</si>
  <si>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</si>
  <si>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</si>
  <si>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</si>
  <si>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</si>
  <si>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</si>
  <si>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</si>
  <si>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</si>
  <si>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</si>
  <si>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</si>
  <si>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</si>
  <si>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</si>
  <si>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</si>
  <si>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</si>
  <si>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</si>
  <si>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</si>
  <si>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</si>
  <si>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</si>
  <si>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</si>
  <si>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</si>
  <si>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</si>
  <si>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</si>
  <si>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</si>
  <si>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</si>
  <si>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</si>
  <si>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</si>
  <si>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</si>
  <si>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</si>
  <si>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</si>
  <si>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</si>
  <si>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</si>
  <si>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</si>
  <si>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</si>
  <si>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</si>
  <si>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</si>
  <si>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</si>
  <si>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</si>
  <si>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</si>
  <si>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</si>
  <si>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</si>
  <si>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</si>
  <si>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</si>
  <si>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</si>
  <si>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</si>
  <si>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</si>
  <si>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</si>
  <si>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</si>
  <si>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</si>
  <si>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</si>
  <si>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</si>
  <si>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</si>
  <si>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</si>
  <si>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</si>
  <si>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</si>
  <si>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</si>
  <si>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</si>
  <si>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</si>
  <si>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</si>
  <si>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</si>
  <si>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</si>
  <si>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</si>
  <si>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</si>
  <si>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</si>
  <si>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</si>
  <si>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</si>
  <si>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</si>
  <si>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</si>
  <si>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</si>
  <si>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</si>
  <si>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</si>
  <si>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</si>
  <si>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</si>
  <si>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</si>
  <si>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</si>
  <si>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</si>
  <si>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</si>
  <si>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</si>
  <si>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</si>
  <si>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</si>
  <si>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</si>
  <si>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</si>
  <si>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</si>
  <si>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</si>
  <si>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</si>
  <si>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</si>
  <si>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</si>
  <si>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</si>
  <si>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</si>
  <si>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</si>
  <si>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</si>
  <si>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</si>
  <si>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</si>
  <si>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</si>
  <si>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</si>
  <si>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</si>
  <si>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</si>
  <si>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</si>
  <si>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</si>
  <si>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</si>
  <si>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</si>
  <si>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</si>
  <si>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</si>
  <si>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</si>
  <si>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</si>
  <si>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</si>
  <si>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</si>
  <si>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</si>
  <si>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</si>
  <si>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</si>
  <si>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</si>
  <si>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</si>
  <si>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</si>
  <si>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</si>
  <si>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</si>
  <si>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</si>
  <si>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</si>
  <si>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</si>
  <si>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</si>
  <si>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</si>
  <si>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</si>
  <si>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</si>
  <si>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</si>
  <si>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</si>
  <si>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</si>
  <si>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</si>
  <si>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</si>
  <si>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</si>
  <si>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</si>
  <si>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</si>
  <si>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</si>
  <si>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</si>
  <si>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</si>
  <si>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</si>
  <si>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</si>
  <si>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</si>
  <si>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</si>
  <si>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</si>
  <si>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</si>
  <si>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</si>
  <si>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</si>
  <si>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</si>
  <si>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</si>
  <si>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</si>
  <si>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</si>
  <si>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</si>
  <si>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</si>
  <si>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</si>
  <si>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</si>
  <si>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</si>
  <si>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</si>
  <si>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</si>
  <si>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</si>
  <si>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</si>
  <si>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</si>
  <si>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</si>
  <si>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</si>
  <si>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</si>
  <si>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Енисейская, 87А код поста 10504080   ООО "ГРИН ВОРЛД" 
RU/0237/2 от 27.12.2024</t>
  </si>
  <si>
    <t xml:space="preserve"> 31.08.2025г.</t>
  </si>
  <si>
    <t xml:space="preserve">ИНВОЙС № VG-N-59 от </t>
  </si>
  <si>
    <t>40289TBA/402101BA</t>
  </si>
  <si>
    <t xml:space="preserve">СПЕЦИФИКАЦИЯ № VG-N-59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</si>
</sst>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179294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160</v>
      </c>
      <c r="D1" s="135"/>
      <c r="E1" s="135"/>
      <c r="F1" s="134" t="s">
        <v>159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149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140</v>
      </c>
      <c r="B5" s="136"/>
      <c r="C5" s="136"/>
      <c r="D5" s="136"/>
      <c r="E5" s="136"/>
      <c r="F5" s="6"/>
      <c r="G5" s="138" t="s">
        <v>150</v>
      </c>
      <c r="H5" s="138"/>
      <c r="I5" s="138"/>
      <c r="J5" s="138"/>
      <c r="K5" s="138"/>
      <c r="L5" s="138"/>
      <c r="M5" s="138"/>
    </row>
    <row r="6" spans="1:15" ht="15" x14ac:dyDescent="0.25">
      <c r="A6" s="142" t="s">
        <v>141</v>
      </c>
      <c r="B6" s="143"/>
      <c r="C6" s="143"/>
      <c r="D6" s="143"/>
      <c r="E6" s="143"/>
      <c r="F6" s="7"/>
      <c r="G6" s="140" t="s">
        <v>151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148</v>
      </c>
      <c r="B7" s="143"/>
      <c r="C7" s="143"/>
      <c r="D7" s="143"/>
      <c r="E7" s="143"/>
      <c r="F7" s="63"/>
      <c r="G7" s="140" t="s">
        <v>152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5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144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156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140</v>
      </c>
      <c r="B14" s="136"/>
      <c r="C14" s="136"/>
      <c r="D14" s="136"/>
      <c r="E14" s="136"/>
      <c r="F14" s="6"/>
      <c r="G14" s="138" t="s">
        <v>150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141</v>
      </c>
      <c r="B15" s="143"/>
      <c r="C15" s="143"/>
      <c r="D15" s="143"/>
      <c r="E15" s="143"/>
      <c r="F15" s="7"/>
      <c r="G15" s="140" t="s">
        <v>151</v>
      </c>
      <c r="H15" s="140"/>
      <c r="I15" s="140"/>
      <c r="J15" s="140"/>
      <c r="K15" s="140"/>
      <c r="L15" s="140"/>
      <c r="M15" s="140"/>
    </row>
    <row r="16" spans="1:15" ht="15" x14ac:dyDescent="0.25">
      <c r="A16" s="143" t="s">
        <v>148</v>
      </c>
      <c r="B16" s="143"/>
      <c r="C16" s="143"/>
      <c r="D16" s="143"/>
      <c r="E16" s="143"/>
      <c r="F16" s="63"/>
      <c r="G16" s="140" t="s">
        <v>152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144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9" t="s">
        <v>156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4" t="s">
        <v>125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">
        <v>138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124</v>
      </c>
      <c r="C30" s="107" t="s">
        <v>123</v>
      </c>
      <c r="D30" s="109" t="s">
        <v>112</v>
      </c>
      <c r="E30" s="101">
        <v>2492</v>
      </c>
      <c r="F30" s="110" t="s">
        <v>27</v>
      </c>
      <c r="G30" s="106">
        <v>22709</v>
      </c>
      <c r="H30" s="106">
        <v>19220</v>
      </c>
      <c r="I30" s="108">
        <v>1</v>
      </c>
      <c r="J30" s="13">
        <f t="shared" ref="J30" si="0">H30*I30</f>
        <v>19220</v>
      </c>
      <c r="K30" s="12">
        <v>0</v>
      </c>
      <c r="L30" s="12">
        <v>0</v>
      </c>
      <c r="M30" s="13">
        <f t="shared" ref="M30" si="1">J30</f>
        <v>19220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2492</v>
      </c>
      <c r="F31" s="15"/>
      <c r="G31" s="64">
        <f>SUM(G30:G30)</f>
        <v>22709</v>
      </c>
      <c r="H31" s="64">
        <f>SUM(H30:H30)</f>
        <v>19220</v>
      </c>
      <c r="I31" s="102"/>
      <c r="J31" s="17">
        <f>SUM(J30:J30)</f>
        <v>19220</v>
      </c>
      <c r="K31" s="16"/>
      <c r="L31" s="16"/>
      <c r="M31" s="17">
        <f>SUM(M30:M30)</f>
        <v>19220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Девятнадцать тысяч двести двадцать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146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VG-N-59 от  31.08.2025г.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2492</v>
      </c>
      <c r="D30" s="103" t="str">
        <f>+Инвойс!D30</f>
        <v>Дер.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22709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"ОМАС" 10610050 - т/п Омский 
644117, Омская обл., г. Омск, ул. 3-я Молодежная, д. 6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31.08.2025г.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40289TBA/402101BA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40289TBA/402101BA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31.08.2025г.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VG-N-59 от  31.08.2025г.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2492</v>
      </c>
      <c r="G18" s="167" t="str">
        <f>+CMR!F30</f>
        <v>Виноград свежий столовых сортов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Дер.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22709</v>
      </c>
    </row>
    <row r="20" spans="2:10" ht="13.5" customHeight="1" x14ac:dyDescent="0.25">
      <c r="B20" s="83"/>
      <c r="E20" s="123"/>
      <c r="F20" s="118"/>
      <c r="G20" s="167"/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2492</v>
      </c>
      <c r="E47" s="171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162</v>
      </c>
      <c r="C1" s="174"/>
      <c r="D1" s="174"/>
      <c r="E1" s="174"/>
      <c r="F1" s="134" t="str">
        <f>+Инвойс!F1</f>
        <v xml:space="preserve"> 31.08.2025г.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GR-VT-01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ООО «VISTOTRADE»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42" t="str">
        <f>+Инвойс!A6</f>
        <v xml:space="preserve">Республика Узбекистан. Кашкадарьинская область, 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Г. Гулам, МФУ, улица Гузара, дом 14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«KAPITAL BANK» МФО: 01158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р/с: 20208840407263267001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SWIFT: KACHUZ22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ИНН: 312236782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ООО «VISTOTRADE»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tr">
        <f>+Инвойс!A15</f>
        <v xml:space="preserve">Республика Узбекистан. Кашкадарьинская область, 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Г. Гулам, МФУ, улица Гузара, дом 14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«KAPITAL BANK» МФО: 01158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р/с: 20208840407263267001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SWIFT: KACHUZ22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ИНН: 312236782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126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40289TBA/402101BA</v>
      </c>
      <c r="F26" s="156"/>
      <c r="G26" s="156"/>
      <c r="J26" s="21"/>
    </row>
    <row r="27" spans="1:17" ht="34.5" customHeight="1" x14ac:dyDescent="0.25">
      <c r="A27" s="67" t="s">
        <v>127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Дер. ящик</v>
      </c>
      <c r="E30" s="101">
        <f>+Инвойс!E30</f>
        <v>2492</v>
      </c>
      <c r="F30" s="116" t="str">
        <f>+Инвойс!F30</f>
        <v>кг</v>
      </c>
      <c r="G30" s="106">
        <f>+Инвойс!G30</f>
        <v>22709</v>
      </c>
      <c r="H30" s="106">
        <f>+Инвойс!H30</f>
        <v>19220</v>
      </c>
      <c r="I30" s="108">
        <f>+Инвойс!I30</f>
        <v>1</v>
      </c>
      <c r="J30" s="13">
        <f>+Инвойс!J30</f>
        <v>19220</v>
      </c>
      <c r="K30" s="12">
        <v>0</v>
      </c>
      <c r="L30" s="12">
        <v>0</v>
      </c>
      <c r="M30" s="13">
        <f>+Инвойс!M30</f>
        <v>19220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2492</v>
      </c>
      <c r="F31" s="15"/>
      <c r="G31" s="64">
        <f>SUM(G30:G30)</f>
        <v>22709</v>
      </c>
      <c r="H31" s="64">
        <f>SUM(H30:H30)</f>
        <v>19220</v>
      </c>
      <c r="I31" s="102"/>
      <c r="J31" s="17">
        <f>SUM(J30:J30)</f>
        <v>19220</v>
      </c>
      <c r="K31" s="16"/>
      <c r="L31" s="16"/>
      <c r="M31" s="17">
        <f>SUM(M30:M30)</f>
        <v>19220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Девятнадцать тысяч двести двадцать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147</v>
      </c>
      <c r="B36" s="131"/>
      <c r="D36" s="18" t="str">
        <f>+Инвойс!D36</f>
        <v>Авазов К.Ф</v>
      </c>
      <c r="E36" s="132"/>
      <c r="G36" s="129" t="s">
        <v>130</v>
      </c>
      <c r="H36" s="18" t="str">
        <f>Инвойс!G5</f>
        <v>ООО «ГРИН ВОРЛД»</v>
      </c>
      <c r="K36" s="133" t="s">
        <v>157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7"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158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125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19220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Девятнадцать тысяч двести двадцать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45900</v>
      </c>
      <c r="O3" s="178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Девятнадцать тысяч двести двадцать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31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девятнадцать тысяч двести двадцать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девятнадцать тысяч двести двадцать долларов США, 00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девятнадцать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двадцать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45900</v>
      </c>
    </row>
    <row r="13" spans="1:19" s="43" customFormat="1" x14ac:dyDescent="0.2">
      <c r="A13" s="49"/>
      <c r="D13" s="51"/>
      <c r="E13" s="52">
        <f>TRUNC(E2)</f>
        <v>19220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19</v>
      </c>
      <c r="B25" s="47">
        <f>TRUNC(RIGHT(A25))</f>
        <v>9</v>
      </c>
      <c r="C25" s="51">
        <f>IF(B24=1,B25+10,IF(B25=0,0,B25))</f>
        <v>19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 xml:space="preserve">девятнадцать </v>
      </c>
    </row>
    <row r="26" spans="1:9" s="43" customFormat="1" x14ac:dyDescent="0.2">
      <c r="A26" s="54"/>
      <c r="B26" s="47"/>
      <c r="C26" s="51"/>
      <c r="E26" s="57">
        <f>B23*100+B24*10+B25</f>
        <v>19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192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1922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19220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220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2025-08-31T16:15:14Z</cp:lastPrinted>
  <dcterms:created xsi:type="dcterms:W3CDTF">1996-10-14T23:33:28Z</dcterms:created>
  <dcterms:modified xsi:type="dcterms:W3CDTF">2025-08-31T16:15:15Z</dcterms:modified>
</cp:coreProperties>
</file>