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C533C68F-6D86-4485-AA4D-32AB307103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" l="1"/>
  <c r="J30" i="2" l="1"/>
  <c r="M30" i="2" s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H31" i="2" l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<sst xmlns="http://schemas.openxmlformats.org/spreadsheetml/2006/main" count="211" uniqueCount="164">
  <si>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</si>
  <si>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</si>
  <si>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</si>
  <si>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</si>
  <si>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</si>
  <si>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</si>
  <si>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</si>
  <si>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</si>
  <si>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</si>
  <si>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</si>
  <si>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</si>
  <si>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</si>
  <si>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</si>
  <si>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</si>
  <si>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</si>
  <si>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</si>
  <si>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</si>
  <si>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</si>
  <si>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</si>
  <si>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</si>
  <si>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</si>
  <si>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</si>
  <si>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</si>
  <si>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</si>
  <si>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</si>
  <si>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</si>
  <si>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</si>
  <si>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</si>
  <si>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</si>
  <si>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</si>
  <si>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</si>
  <si>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</si>
  <si>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</si>
  <si>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</si>
  <si>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</si>
  <si>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</si>
  <si>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</si>
  <si>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</si>
  <si>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</si>
  <si>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</si>
  <si>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</si>
  <si>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</si>
  <si>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</si>
  <si>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</si>
  <si>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</si>
  <si>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</si>
  <si>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</si>
  <si>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</si>
  <si>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</si>
  <si>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</si>
  <si>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</si>
  <si>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</si>
  <si>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</si>
  <si>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</si>
  <si>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</si>
  <si>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</si>
  <si>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</si>
  <si>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</si>
  <si>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</si>
  <si>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</si>
  <si>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</si>
  <si>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</si>
  <si>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</si>
  <si>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</si>
  <si>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</si>
  <si>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</si>
  <si>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</si>
  <si>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</si>
  <si>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</si>
  <si>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</si>
  <si>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</si>
  <si>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</si>
  <si>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</si>
  <si>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</si>
  <si>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</si>
  <si>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</si>
  <si>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</si>
  <si>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</si>
  <si>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</si>
  <si>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</si>
  <si>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</si>
  <si>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</si>
  <si>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</si>
  <si>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</si>
  <si>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</si>
  <si>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</si>
  <si>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</si>
  <si>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</si>
  <si>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</si>
  <si>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</si>
  <si>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</si>
  <si>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</si>
  <si>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</si>
  <si>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</si>
  <si>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</si>
  <si>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</si>
  <si>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</si>
  <si>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</si>
  <si>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</si>
  <si>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</si>
  <si>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</si>
  <si>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</si>
  <si>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</si>
  <si>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</si>
  <si>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</si>
  <si>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</si>
  <si>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</si>
  <si>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</si>
  <si>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</si>
  <si>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</si>
  <si>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</si>
  <si>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</si>
  <si>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</si>
  <si>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</si>
  <si>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</si>
  <si>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</si>
  <si>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</si>
  <si>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</si>
  <si>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</si>
  <si>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</si>
  <si>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</si>
  <si>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</si>
  <si>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</si>
  <si>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</si>
  <si>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</si>
  <si>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</si>
  <si>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</si>
  <si>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</si>
  <si>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</si>
  <si>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</si>
  <si>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</si>
  <si>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</si>
  <si>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</si>
  <si>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</si>
  <si>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</si>
  <si>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</si>
  <si>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</si>
  <si>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</si>
  <si>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</si>
  <si>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</si>
  <si>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</si>
  <si>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</si>
  <si>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</si>
  <si>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</si>
  <si>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</si>
  <si>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</si>
  <si>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</si>
  <si>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</si>
  <si>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</si>
  <si>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</si>
  <si>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</si>
  <si>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</si>
  <si>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</si>
  <si>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</si>
  <si>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</si>
  <si>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</si>
  <si>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</si>
  <si>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</si>
  <si>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</si>
  <si>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</si>
  <si>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UFG-M-36 от </t>
  </si>
  <si>
    <t xml:space="preserve"> 31.08.2025г.</t>
  </si>
  <si>
    <t xml:space="preserve">СПЕЦИФИКАЦИЯ № UFG-M-36 от </t>
  </si>
  <si>
    <t>40043XBA/406048BA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</si>
</sst>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160</v>
      </c>
      <c r="D1" s="153"/>
      <c r="E1" s="153"/>
      <c r="F1" s="152" t="s">
        <v>161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152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153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148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154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150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153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148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154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150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0" t="s">
        <v>128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163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5" t="s">
        <v>27</v>
      </c>
      <c r="G30" s="106">
        <v>23500</v>
      </c>
      <c r="H30" s="106">
        <v>21700</v>
      </c>
      <c r="I30" s="108">
        <v>0.25</v>
      </c>
      <c r="J30" s="13">
        <f t="shared" ref="J30" si="0">H30*I30</f>
        <v>5425</v>
      </c>
      <c r="K30" s="12">
        <v>0</v>
      </c>
      <c r="L30" s="12">
        <v>0</v>
      </c>
      <c r="M30" s="13">
        <f t="shared" ref="M30" si="1">J30</f>
        <v>5425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23500</v>
      </c>
      <c r="H31" s="64">
        <f>SUM(H30:H30)</f>
        <v>21700</v>
      </c>
      <c r="I31" s="102"/>
      <c r="J31" s="17">
        <f>SUM(J30:J30)</f>
        <v>5425</v>
      </c>
      <c r="K31" s="16"/>
      <c r="L31" s="16"/>
      <c r="M31" s="17">
        <f>SUM(M30:M30)</f>
        <v>5425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четыреста двадцать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UFG-M-36 от  31.08.2025г.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31.08.2025г.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40043XBA/406048BA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40043XBA/406048BA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UFG-M-36 от  31.08.2025г.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23500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1000</v>
      </c>
      <c r="E47" s="141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162</v>
      </c>
      <c r="C1" s="170"/>
      <c r="D1" s="170"/>
      <c r="E1" s="170"/>
      <c r="F1" s="152" t="str">
        <f>+Инвойс!F1</f>
        <v xml:space="preserve"> 31.08.2025г.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GR-UF-01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OOO UCHQIZIL FRUITS EXPORT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OOO UCHQIZIL FRUITS EXPORT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37" t="s">
        <v>115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40043XBA/406048BA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23500</v>
      </c>
      <c r="H30" s="106">
        <f>+Инвойс!H30</f>
        <v>21700</v>
      </c>
      <c r="I30" s="108">
        <f>+Инвойс!I30</f>
        <v>0.25</v>
      </c>
      <c r="J30" s="13">
        <f>+Инвойс!J30</f>
        <v>5425</v>
      </c>
      <c r="K30" s="12">
        <v>0</v>
      </c>
      <c r="L30" s="12">
        <v>0</v>
      </c>
      <c r="M30" s="13">
        <f>+Инвойс!M30</f>
        <v>5425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23500</v>
      </c>
      <c r="H31" s="64">
        <f>SUM(H30:H30)</f>
        <v>21700</v>
      </c>
      <c r="I31" s="102"/>
      <c r="J31" s="17">
        <f>SUM(J30:J30)</f>
        <v>5425</v>
      </c>
      <c r="K31" s="16"/>
      <c r="L31" s="16"/>
      <c r="M31" s="17">
        <f>SUM(M30:M30)</f>
        <v>5425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четыреста двадцать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158</v>
      </c>
      <c r="B36" s="130"/>
      <c r="D36" s="18" t="str">
        <f>+Инвойс!D36</f>
        <v>ЭШТЕМИРОВ Х.Х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5425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двадцать пять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45900</v>
      </c>
      <c r="O3" s="176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четыреста двадцать пять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31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двадцать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двадцать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двадцать пять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5425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5425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425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2025-08-31T06:18:11Z</cp:lastPrinted>
  <dcterms:created xsi:type="dcterms:W3CDTF">1996-10-14T23:33:28Z</dcterms:created>
  <dcterms:modified xsi:type="dcterms:W3CDTF">2025-08-31T06:18:13Z</dcterms:modified>
</cp:coreProperties>
</file>