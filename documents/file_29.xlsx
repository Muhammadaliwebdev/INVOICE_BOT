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 calcMode="autoNoTable"/>
</workbook>
</file>

<file path=xl/calcChain.xml><?xml version="1.0" encoding="utf-8"?>
<calcChain xmlns="http://schemas.openxmlformats.org/spreadsheetml/2006/main"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<sst xmlns="http://schemas.openxmlformats.org/spreadsheetml/2006/main" count="203" uniqueCount="164">
  <si>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</si>
  <si>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</si>
  <si>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</si>
  <si>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</si>
  <si>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</si>
  <si>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</si>
  <si>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</si>
  <si>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</si>
  <si>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</si>
  <si>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</si>
  <si>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</si>
  <si>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</si>
  <si>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</si>
  <si>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</si>
  <si>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</si>
  <si>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</si>
  <si>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</si>
  <si>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</si>
  <si>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</si>
  <si>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</si>
  <si>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</si>
  <si>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</si>
  <si>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</si>
  <si>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</si>
  <si>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</si>
  <si>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</si>
  <si>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</si>
  <si>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</si>
  <si>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</si>
  <si>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</si>
  <si>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</si>
  <si>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</si>
  <si>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</si>
  <si>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</si>
  <si>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</si>
  <si>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</si>
  <si>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</si>
  <si>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</si>
  <si>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</si>
  <si>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</si>
  <si>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</si>
  <si>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</si>
  <si>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</si>
  <si>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</si>
  <si>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</si>
  <si>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</si>
  <si>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</si>
  <si>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</si>
  <si>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</si>
  <si>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</si>
  <si>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</si>
  <si>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</si>
  <si>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</si>
  <si>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</si>
  <si>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</si>
  <si>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</si>
  <si>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</si>
  <si>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</si>
  <si>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</si>
  <si>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</si>
  <si>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</si>
  <si>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</si>
  <si>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</si>
  <si>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</si>
  <si>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</si>
  <si>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</si>
  <si>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</si>
  <si>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</si>
  <si>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</si>
  <si>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</si>
  <si>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</si>
  <si>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</si>
  <si>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</si>
  <si>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</si>
  <si>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</si>
  <si>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</si>
  <si>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</si>
  <si>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</si>
  <si>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</si>
  <si>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</si>
  <si>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</si>
  <si>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</si>
  <si>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</si>
  <si>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</si>
  <si>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</si>
  <si>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</si>
  <si>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</si>
  <si>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</si>
  <si>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</si>
  <si>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</si>
  <si>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</si>
  <si>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</si>
  <si>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</si>
  <si>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</si>
  <si>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</si>
  <si>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</si>
  <si>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</si>
  <si>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</si>
  <si>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</si>
  <si>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</si>
  <si>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</si>
  <si>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</si>
  <si>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</si>
  <si>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</si>
  <si>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</si>
  <si>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</si>
  <si>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</si>
  <si>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</si>
  <si>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</si>
  <si>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</si>
  <si>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</si>
  <si>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</si>
  <si>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</si>
  <si>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</si>
  <si>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</si>
  <si>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</si>
  <si>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</si>
  <si>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</si>
  <si>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</si>
  <si>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</si>
  <si>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</si>
  <si>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</si>
  <si>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</si>
  <si>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</si>
  <si>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</si>
  <si>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</si>
  <si>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</si>
  <si>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</si>
  <si>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</si>
  <si>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</si>
  <si>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</si>
  <si>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</si>
  <si>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</si>
  <si>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</si>
  <si>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</si>
  <si>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</si>
  <si>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</si>
  <si>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Сливы свежие</t>
  </si>
  <si>
    <t>0809400501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</si>
  <si>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</si>
  <si>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</si>
  <si>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</si>
  <si>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</si>
  <si>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</si>
  <si>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</si>
  <si>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</si>
  <si>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</si>
  <si>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</si>
  <si>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</si>
  <si>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</si>
  <si>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EX0508 от 05.08.2025 года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</si>
  <si>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</si>
  <si>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</si>
  <si>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</si>
  <si>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</si>
  <si>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</si>
  <si>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</si>
  <si>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</si>
  <si>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</si>
  <si>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 xml:space="preserve"> 24.08.2025г.</t>
  </si>
  <si>
    <t xml:space="preserve">ИНВОЙС № MEZ-M-15 от </t>
  </si>
  <si>
    <t xml:space="preserve">СПЕЦИФИКАЦИЯ № MEZ-M-15 от </t>
  </si>
  <si>
    <t>80639NBA/809731AA</t>
  </si>
  <si>
    <t>DAP - с Амандык, Республика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</si>
</sst>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78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38</xdr:row>
      <xdr:rowOff>33618</xdr:rowOff>
    </xdr:from>
    <xdr:to>
      <xdr:col>3</xdr:col>
      <xdr:colOff>224118</xdr:colOff>
      <xdr:row>50</xdr:row>
      <xdr:rowOff>22094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38</xdr:row>
      <xdr:rowOff>100855</xdr:rowOff>
    </xdr:from>
    <xdr:to>
      <xdr:col>4</xdr:col>
      <xdr:colOff>389833</xdr:colOff>
      <xdr:row>40</xdr:row>
      <xdr:rowOff>151842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40</xdr:row>
      <xdr:rowOff>20172</xdr:rowOff>
    </xdr:from>
    <xdr:to>
      <xdr:col>12</xdr:col>
      <xdr:colOff>149486</xdr:colOff>
      <xdr:row>43</xdr:row>
      <xdr:rowOff>113592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38</xdr:row>
      <xdr:rowOff>98613</xdr:rowOff>
    </xdr:from>
    <xdr:to>
      <xdr:col>9</xdr:col>
      <xdr:colOff>159123</xdr:colOff>
      <xdr:row>50</xdr:row>
      <xdr:rowOff>93657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448235</xdr:colOff>
      <xdr:row>38</xdr:row>
      <xdr:rowOff>22412</xdr:rowOff>
    </xdr:from>
    <xdr:to>
      <xdr:col>2</xdr:col>
      <xdr:colOff>392207</xdr:colOff>
      <xdr:row>50</xdr:row>
      <xdr:rowOff>10888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38</xdr:row>
      <xdr:rowOff>89649</xdr:rowOff>
    </xdr:from>
    <xdr:to>
      <xdr:col>3</xdr:col>
      <xdr:colOff>546715</xdr:colOff>
      <xdr:row>40</xdr:row>
      <xdr:rowOff>140635</xdr:rowOff>
    </xdr:to>
    <xdr:pic>
      <xdr:nvPicPr>
        <xdr:cNvPr id="6" name="Рисунок 5">
          <a:extLst>
            <a:ext uri="{FF2B5EF4-FFF2-40B4-BE49-F238E27FC236}">
              <a16:creationId xmlns=""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topLeftCell="A13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1" t="s">
        <v>160</v>
      </c>
      <c r="D1" s="151"/>
      <c r="E1" s="151"/>
      <c r="F1" s="150" t="s">
        <v>159</v>
      </c>
      <c r="G1" s="150"/>
      <c r="H1" s="150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">
        <v>150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3" t="s">
        <v>19</v>
      </c>
      <c r="B4" s="143"/>
      <c r="C4" s="143"/>
      <c r="D4" s="143"/>
      <c r="E4" s="143"/>
      <c r="G4" s="143" t="s">
        <v>20</v>
      </c>
      <c r="H4" s="143"/>
      <c r="I4" s="143"/>
      <c r="J4" s="143"/>
      <c r="K4" s="143"/>
      <c r="L4" s="143"/>
      <c r="M4" s="143"/>
    </row>
    <row r="5" spans="1:15" ht="14.25" customHeight="1" x14ac:dyDescent="0.25">
      <c r="A5" s="152" t="s">
        <v>151</v>
      </c>
      <c r="B5" s="152"/>
      <c r="C5" s="152"/>
      <c r="D5" s="152"/>
      <c r="E5" s="152"/>
      <c r="F5" s="6"/>
      <c r="G5" s="145" t="s">
        <v>140</v>
      </c>
      <c r="H5" s="145"/>
      <c r="I5" s="145"/>
      <c r="J5" s="145"/>
      <c r="K5" s="145"/>
      <c r="L5" s="145"/>
      <c r="M5" s="145"/>
    </row>
    <row r="6" spans="1:15" ht="13.8" x14ac:dyDescent="0.25">
      <c r="A6" s="126" t="s">
        <v>152</v>
      </c>
      <c r="B6" s="125"/>
      <c r="C6" s="125"/>
      <c r="D6" s="125"/>
      <c r="E6" s="125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26" t="s">
        <v>157</v>
      </c>
      <c r="B7" s="125"/>
      <c r="C7" s="125"/>
      <c r="D7" s="125"/>
      <c r="E7" s="125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154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155</v>
      </c>
      <c r="B10" s="125"/>
      <c r="C10" s="125"/>
      <c r="D10" s="125"/>
      <c r="E10" s="125"/>
      <c r="F10" s="7"/>
      <c r="G10" s="7" t="s">
        <v>145</v>
      </c>
      <c r="H10" s="23"/>
      <c r="I10" s="23"/>
      <c r="J10" s="23"/>
      <c r="K10" s="23"/>
      <c r="L10" s="23"/>
      <c r="M10" s="23"/>
    </row>
    <row r="11" spans="1:15" ht="13.8" x14ac:dyDescent="0.25">
      <c r="A11" s="8"/>
      <c r="B11" s="8"/>
      <c r="C11" s="8"/>
      <c r="D11" s="8"/>
      <c r="E11" s="8"/>
      <c r="F11" s="7"/>
      <c r="G11" s="7" t="s">
        <v>146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3"/>
      <c r="H12" s="153"/>
      <c r="I12" s="153"/>
      <c r="J12" s="153"/>
      <c r="K12" s="153"/>
      <c r="L12" s="153"/>
      <c r="M12" s="153"/>
    </row>
    <row r="13" spans="1:15" ht="24" customHeight="1" x14ac:dyDescent="0.35">
      <c r="A13" s="143" t="s">
        <v>31</v>
      </c>
      <c r="B13" s="143"/>
      <c r="C13" s="143"/>
      <c r="D13" s="143"/>
      <c r="E13" s="143"/>
      <c r="G13" s="143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52" t="s">
        <v>151</v>
      </c>
      <c r="B14" s="152"/>
      <c r="C14" s="152"/>
      <c r="D14" s="152"/>
      <c r="E14" s="152"/>
      <c r="F14" s="6"/>
      <c r="G14" s="145" t="s">
        <v>125</v>
      </c>
      <c r="H14" s="145"/>
      <c r="I14" s="145"/>
      <c r="J14" s="145"/>
      <c r="K14" s="145"/>
      <c r="L14" s="145"/>
      <c r="M14" s="145"/>
    </row>
    <row r="15" spans="1:15" ht="13.95" customHeight="1" x14ac:dyDescent="0.25">
      <c r="A15" s="126" t="s">
        <v>152</v>
      </c>
      <c r="B15" s="125"/>
      <c r="C15" s="125"/>
      <c r="D15" s="125"/>
      <c r="E15" s="125"/>
      <c r="F15" s="7"/>
      <c r="G15" s="140" t="s">
        <v>126</v>
      </c>
      <c r="H15" s="142"/>
      <c r="I15" s="142"/>
      <c r="J15" s="142"/>
      <c r="K15" s="142"/>
      <c r="L15" s="142"/>
      <c r="M15" s="142"/>
    </row>
    <row r="16" spans="1:15" ht="13.8" x14ac:dyDescent="0.25">
      <c r="A16" s="126" t="s">
        <v>157</v>
      </c>
      <c r="B16" s="125"/>
      <c r="C16" s="125"/>
      <c r="D16" s="125"/>
      <c r="E16" s="125"/>
      <c r="F16" s="63"/>
      <c r="G16" s="140" t="s">
        <v>127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154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155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/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7" t="s">
        <v>118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6" x14ac:dyDescent="0.3">
      <c r="A24" s="20" t="s">
        <v>22</v>
      </c>
      <c r="C24" s="18" t="s">
        <v>163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">
        <v>162</v>
      </c>
      <c r="F26" s="139"/>
      <c r="G26" s="139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1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1" t="s">
        <v>12</v>
      </c>
      <c r="H29" s="111" t="s">
        <v>13</v>
      </c>
      <c r="I29" s="134"/>
      <c r="J29" s="112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8">
        <v>1</v>
      </c>
      <c r="B30" s="101" t="s">
        <v>133</v>
      </c>
      <c r="C30" s="107" t="s">
        <v>132</v>
      </c>
      <c r="D30" s="109" t="s">
        <v>113</v>
      </c>
      <c r="E30" s="101">
        <v>2031</v>
      </c>
      <c r="F30" s="110" t="s">
        <v>27</v>
      </c>
      <c r="G30" s="106">
        <v>20510</v>
      </c>
      <c r="H30" s="106">
        <v>17667</v>
      </c>
      <c r="I30" s="108">
        <v>0.65</v>
      </c>
      <c r="J30" s="13">
        <f t="shared" ref="J30:J31" si="0">H30*I30</f>
        <v>11483.550000000001</v>
      </c>
      <c r="K30" s="12">
        <v>0</v>
      </c>
      <c r="L30" s="12">
        <v>0</v>
      </c>
      <c r="M30" s="13">
        <f t="shared" ref="M30:M31" si="1">J30</f>
        <v>11483.550000000001</v>
      </c>
      <c r="O30" s="100"/>
      <c r="Q30" s="100"/>
    </row>
    <row r="31" spans="1:17" ht="13.8" x14ac:dyDescent="0.25">
      <c r="A31" s="128">
        <v>2</v>
      </c>
      <c r="B31" s="101" t="s">
        <v>137</v>
      </c>
      <c r="C31" s="107" t="s">
        <v>138</v>
      </c>
      <c r="D31" s="109" t="s">
        <v>113</v>
      </c>
      <c r="E31" s="101">
        <v>175</v>
      </c>
      <c r="F31" s="110" t="s">
        <v>27</v>
      </c>
      <c r="G31" s="106">
        <v>2190</v>
      </c>
      <c r="H31" s="106">
        <v>1945</v>
      </c>
      <c r="I31" s="108">
        <v>0.4</v>
      </c>
      <c r="J31" s="13">
        <f t="shared" si="0"/>
        <v>778</v>
      </c>
      <c r="K31" s="12">
        <v>0</v>
      </c>
      <c r="L31" s="12">
        <v>0</v>
      </c>
      <c r="M31" s="13">
        <f t="shared" si="1"/>
        <v>778</v>
      </c>
      <c r="O31" s="100"/>
      <c r="Q31" s="100"/>
    </row>
    <row r="32" spans="1:17" ht="13.8" x14ac:dyDescent="0.25">
      <c r="A32" s="148" t="s">
        <v>0</v>
      </c>
      <c r="B32" s="149"/>
      <c r="C32" s="14"/>
      <c r="D32" s="15"/>
      <c r="E32" s="64">
        <f>SUM(E30:E31)</f>
        <v>2206</v>
      </c>
      <c r="F32" s="15"/>
      <c r="G32" s="64">
        <f>SUM(G30:G31)</f>
        <v>22700</v>
      </c>
      <c r="H32" s="64">
        <f>SUM(H30:H31)</f>
        <v>19612</v>
      </c>
      <c r="I32" s="102"/>
      <c r="J32" s="17">
        <f>SUM(J30:J31)</f>
        <v>12261.550000000001</v>
      </c>
      <c r="K32" s="16"/>
      <c r="L32" s="16"/>
      <c r="M32" s="17">
        <f>SUM(M30:M31)</f>
        <v>12261.550000000001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Двенадцать тысяч двести шестьдесят один доллар США,55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</row>
    <row r="35" spans="1:14" ht="25.5" customHeight="1" x14ac:dyDescent="0.25">
      <c r="A35" s="141" t="s">
        <v>110</v>
      </c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26"/>
    </row>
    <row r="37" spans="1:14" ht="13.8" x14ac:dyDescent="0.25">
      <c r="A37" s="7" t="s">
        <v>28</v>
      </c>
      <c r="B37" s="7"/>
      <c r="D37" s="25" t="s">
        <v>156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6" zoomScaleNormal="100" workbookViewId="0">
      <selection activeCell="B24" sqref="B24:D24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MEZ-M-15 от  24.08.2025г.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107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2031</v>
      </c>
      <c r="D30" s="103" t="str">
        <f>+Инвойс!D30</f>
        <v>Дер.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20510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175</v>
      </c>
      <c r="D31" s="103" t="str">
        <f>+Инвойс!D31</f>
        <v>Дер. ящик</v>
      </c>
      <c r="E31" s="103"/>
      <c r="F31" s="103" t="str">
        <f>+Инвойс!B31</f>
        <v>Сливы свежие</v>
      </c>
      <c r="G31" s="104" t="str">
        <f>+Инвойс!C31</f>
        <v>0809400501</v>
      </c>
      <c r="H31" s="103"/>
      <c r="I31" s="105">
        <f>+Инвойс!G31</f>
        <v>2190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8" t="str">
        <f>+C22</f>
        <v xml:space="preserve"> 24.08.2025г.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80639NBA/809731AA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zoomScale="85" zoomScaleNormal="85" workbookViewId="0">
      <selection activeCell="B14" sqref="B14:G14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6" t="s">
        <v>96</v>
      </c>
      <c r="C2" s="166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7" t="str">
        <f>+Инвойс!E26</f>
        <v>80639NBA/809731AA</v>
      </c>
      <c r="C14" s="167"/>
      <c r="D14" s="167"/>
      <c r="E14" s="167"/>
      <c r="F14" s="167"/>
      <c r="G14" s="167"/>
      <c r="H14" s="168" t="s">
        <v>108</v>
      </c>
      <c r="I14" s="168"/>
      <c r="J14" s="88" t="str">
        <f>+Инвойс!F1</f>
        <v xml:space="preserve"> 24.08.2025г.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MEZ-M-15 от  24.08.2025г.</v>
      </c>
      <c r="I15" s="169"/>
      <c r="J15" s="169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2031</v>
      </c>
      <c r="G18" s="161" t="str">
        <f>+CMR!F30</f>
        <v>Виноград свежий столовых сортов</v>
      </c>
      <c r="H18" s="161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Дер. ящик</v>
      </c>
      <c r="G19" s="159" t="str">
        <f>+Инвойс!C30</f>
        <v>0806101001</v>
      </c>
      <c r="H19" s="160"/>
      <c r="I19" s="122" t="s">
        <v>103</v>
      </c>
      <c r="J19" s="120">
        <f>+Инвойс!G30</f>
        <v>20510</v>
      </c>
    </row>
    <row r="20" spans="2:10" ht="13.5" customHeight="1" x14ac:dyDescent="0.3">
      <c r="B20" s="83"/>
      <c r="E20" s="123"/>
      <c r="F20" s="118">
        <f>+Инвойс!E31</f>
        <v>175</v>
      </c>
      <c r="G20" s="161" t="str">
        <f>+CMR!F31</f>
        <v>Сливы свежие</v>
      </c>
      <c r="H20" s="161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Дер. ящик</v>
      </c>
      <c r="G21" s="159" t="str">
        <f>+Инвойс!C31</f>
        <v>0809400501</v>
      </c>
      <c r="H21" s="160"/>
      <c r="I21" s="122" t="s">
        <v>103</v>
      </c>
      <c r="J21" s="120">
        <f>+Инвойс!G31</f>
        <v>2190</v>
      </c>
    </row>
    <row r="22" spans="2:10" ht="12.75" customHeight="1" x14ac:dyDescent="0.3">
      <c r="B22" s="83"/>
      <c r="E22" s="123"/>
      <c r="F22" s="118"/>
      <c r="G22" s="161"/>
      <c r="H22" s="161"/>
      <c r="I22" s="119"/>
      <c r="J22" s="120"/>
    </row>
    <row r="23" spans="2:10" ht="14.25" customHeight="1" x14ac:dyDescent="0.3">
      <c r="B23" s="83"/>
      <c r="E23" s="123"/>
      <c r="F23" s="121"/>
      <c r="G23" s="159"/>
      <c r="H23" s="160"/>
      <c r="I23" s="122"/>
      <c r="J23" s="120"/>
    </row>
    <row r="24" spans="2:10" ht="12.75" customHeight="1" x14ac:dyDescent="0.3">
      <c r="B24" s="87"/>
      <c r="E24" s="123"/>
      <c r="F24" s="118"/>
      <c r="G24" s="161"/>
      <c r="H24" s="161"/>
      <c r="I24" s="119"/>
      <c r="J24" s="120"/>
    </row>
    <row r="25" spans="2:10" ht="12.75" customHeight="1" x14ac:dyDescent="0.3">
      <c r="B25" s="87"/>
      <c r="E25" s="123"/>
      <c r="F25" s="121"/>
      <c r="G25" s="159"/>
      <c r="H25" s="160"/>
      <c r="I25" s="122"/>
      <c r="J25" s="120"/>
    </row>
    <row r="26" spans="2:10" ht="12" customHeight="1" x14ac:dyDescent="0.3">
      <c r="B26" s="87"/>
      <c r="E26" s="123"/>
      <c r="F26" s="118"/>
      <c r="G26" s="161"/>
      <c r="H26" s="161"/>
      <c r="I26" s="119"/>
      <c r="J26" s="120"/>
    </row>
    <row r="27" spans="2:10" ht="14.25" customHeight="1" x14ac:dyDescent="0.3">
      <c r="B27" s="87"/>
      <c r="E27" s="123"/>
      <c r="F27" s="121"/>
      <c r="G27" s="159"/>
      <c r="H27" s="160"/>
      <c r="I27" s="122"/>
      <c r="J27" s="120"/>
    </row>
    <row r="28" spans="2:10" ht="12.75" customHeight="1" x14ac:dyDescent="0.3">
      <c r="B28" s="87"/>
      <c r="E28" s="123"/>
      <c r="F28" s="118"/>
      <c r="G28" s="161"/>
      <c r="H28" s="161"/>
      <c r="I28" s="119"/>
      <c r="J28" s="120"/>
    </row>
    <row r="29" spans="2:10" ht="12.75" customHeight="1" x14ac:dyDescent="0.3">
      <c r="B29" s="87"/>
      <c r="E29" s="123"/>
      <c r="F29" s="121"/>
      <c r="G29" s="159"/>
      <c r="H29" s="160"/>
      <c r="I29" s="122"/>
      <c r="J29" s="120"/>
    </row>
    <row r="30" spans="2:10" ht="12.75" customHeight="1" x14ac:dyDescent="0.3">
      <c r="B30" s="87"/>
      <c r="E30" s="123"/>
      <c r="F30" s="118"/>
      <c r="G30" s="161"/>
      <c r="H30" s="161"/>
      <c r="I30" s="119"/>
      <c r="J30" s="120"/>
    </row>
    <row r="31" spans="2:10" ht="13.5" customHeight="1" x14ac:dyDescent="0.3">
      <c r="B31" s="87"/>
      <c r="E31" s="123"/>
      <c r="F31" s="121"/>
      <c r="G31" s="159"/>
      <c r="H31" s="160"/>
      <c r="I31" s="122"/>
      <c r="J31" s="120"/>
    </row>
    <row r="32" spans="2:10" ht="13.5" customHeight="1" x14ac:dyDescent="0.3">
      <c r="B32" s="87"/>
      <c r="E32" s="123"/>
      <c r="F32" s="118"/>
      <c r="G32" s="161"/>
      <c r="H32" s="161"/>
      <c r="I32" s="119"/>
      <c r="J32" s="120"/>
    </row>
    <row r="33" spans="2:10" ht="13.5" customHeight="1" x14ac:dyDescent="0.3">
      <c r="B33" s="87"/>
      <c r="E33" s="123"/>
      <c r="F33" s="121"/>
      <c r="G33" s="159"/>
      <c r="H33" s="160"/>
      <c r="I33" s="122"/>
      <c r="J33" s="120"/>
    </row>
    <row r="34" spans="2:10" ht="13.5" customHeight="1" x14ac:dyDescent="0.3">
      <c r="B34" s="87"/>
      <c r="E34" s="123"/>
      <c r="F34" s="118"/>
      <c r="G34" s="161"/>
      <c r="H34" s="161"/>
      <c r="I34" s="119"/>
      <c r="J34" s="120"/>
    </row>
    <row r="35" spans="2:10" ht="12.75" customHeight="1" x14ac:dyDescent="0.3">
      <c r="B35" s="87"/>
      <c r="E35" s="123"/>
      <c r="F35" s="121"/>
      <c r="G35" s="159"/>
      <c r="H35" s="160"/>
      <c r="I35" s="122"/>
      <c r="J35" s="120"/>
    </row>
    <row r="36" spans="2:10" x14ac:dyDescent="0.3">
      <c r="B36" s="87"/>
      <c r="E36" s="123"/>
      <c r="F36" s="118"/>
      <c r="G36" s="161"/>
      <c r="H36" s="161"/>
      <c r="I36" s="119"/>
      <c r="J36" s="120"/>
    </row>
    <row r="37" spans="2:10" ht="13.5" customHeight="1" x14ac:dyDescent="0.3">
      <c r="B37" s="87"/>
      <c r="E37" s="123"/>
      <c r="F37" s="121"/>
      <c r="G37" s="159"/>
      <c r="H37" s="160"/>
      <c r="I37" s="122"/>
      <c r="J37" s="120"/>
    </row>
    <row r="38" spans="2:10" x14ac:dyDescent="0.3">
      <c r="B38" s="87"/>
      <c r="E38" s="123"/>
      <c r="F38" s="118"/>
      <c r="G38" s="161"/>
      <c r="H38" s="161"/>
      <c r="I38" s="119"/>
      <c r="J38" s="120"/>
    </row>
    <row r="39" spans="2:10" ht="13.5" customHeight="1" x14ac:dyDescent="0.3">
      <c r="B39" s="87"/>
      <c r="E39" s="123"/>
      <c r="F39" s="121"/>
      <c r="G39" s="159"/>
      <c r="H39" s="160"/>
      <c r="I39" s="122"/>
      <c r="J39" s="120"/>
    </row>
    <row r="40" spans="2:10" ht="14.25" hidden="1" customHeight="1" x14ac:dyDescent="0.3">
      <c r="B40" s="87"/>
      <c r="E40" s="123"/>
      <c r="F40" s="118"/>
      <c r="G40" s="161"/>
      <c r="H40" s="161"/>
      <c r="I40" s="119"/>
      <c r="J40" s="120"/>
    </row>
    <row r="41" spans="2:10" ht="14.25" hidden="1" customHeight="1" x14ac:dyDescent="0.3">
      <c r="B41" s="87"/>
      <c r="E41" s="123"/>
      <c r="F41" s="121"/>
      <c r="G41" s="159"/>
      <c r="H41" s="160"/>
      <c r="I41" s="122"/>
      <c r="J41" s="120"/>
    </row>
    <row r="42" spans="2:10" hidden="1" x14ac:dyDescent="0.3">
      <c r="B42" s="87"/>
      <c r="E42" s="123"/>
      <c r="F42" s="118"/>
      <c r="G42" s="161"/>
      <c r="H42" s="161"/>
      <c r="I42" s="119"/>
      <c r="J42" s="120"/>
    </row>
    <row r="43" spans="2:10" x14ac:dyDescent="0.3">
      <c r="B43" s="87"/>
      <c r="E43" s="123"/>
      <c r="F43" s="121"/>
      <c r="G43" s="159"/>
      <c r="H43" s="160"/>
      <c r="I43" s="122"/>
      <c r="J43" s="120"/>
    </row>
    <row r="44" spans="2:10" ht="9" customHeight="1" x14ac:dyDescent="0.3">
      <c r="B44" s="87"/>
      <c r="E44" s="95"/>
      <c r="F44" s="92"/>
      <c r="G44" s="163"/>
      <c r="H44" s="163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4">
        <f>+F18+F20+F22+F24+F26+F28+F30+F32+F34+F36+F38+F40+F42</f>
        <v>2206</v>
      </c>
      <c r="E47" s="165"/>
    </row>
    <row r="48" spans="2:10" ht="17.25" customHeight="1" x14ac:dyDescent="0.3">
      <c r="B48" s="162" t="s">
        <v>105</v>
      </c>
      <c r="C48" s="162"/>
      <c r="D48" s="162"/>
      <c r="E48" s="162"/>
    </row>
    <row r="49" spans="2:5" ht="21.75" customHeight="1" x14ac:dyDescent="0.3">
      <c r="B49" s="162"/>
      <c r="C49" s="162"/>
      <c r="D49" s="162"/>
      <c r="E49" s="162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zoomScale="70" zoomScaleNormal="70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0" t="s">
        <v>161</v>
      </c>
      <c r="C1" s="170"/>
      <c r="D1" s="170"/>
      <c r="E1" s="170"/>
      <c r="F1" s="150" t="str">
        <f>+Инвойс!F1</f>
        <v xml:space="preserve"> 24.08.2025г.</v>
      </c>
      <c r="G1" s="150"/>
      <c r="H1" s="150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tr">
        <f>+Инвойс!C2</f>
        <v>к контракту № EX0508 от 05.08.2025 года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3" t="s">
        <v>19</v>
      </c>
      <c r="B4" s="143"/>
      <c r="C4" s="143"/>
      <c r="D4" s="143"/>
      <c r="E4" s="143"/>
      <c r="G4" s="143" t="s">
        <v>20</v>
      </c>
      <c r="H4" s="143"/>
      <c r="I4" s="143"/>
      <c r="J4" s="143"/>
      <c r="K4" s="143"/>
      <c r="L4" s="143"/>
      <c r="M4" s="143"/>
    </row>
    <row r="5" spans="1:15" ht="14.25" customHeight="1" x14ac:dyDescent="0.25">
      <c r="A5" s="152" t="str">
        <f>+Инвойс!A5</f>
        <v>ООО «MEGA EXIMPORT»</v>
      </c>
      <c r="B5" s="152"/>
      <c r="C5" s="152"/>
      <c r="D5" s="152"/>
      <c r="E5" s="152"/>
      <c r="F5" s="6"/>
      <c r="G5" s="145" t="str">
        <f>+Инвойс!G5</f>
        <v>ООО ТД «РЕСУРС»</v>
      </c>
      <c r="H5" s="145"/>
      <c r="I5" s="145"/>
      <c r="J5" s="145"/>
      <c r="K5" s="145"/>
      <c r="L5" s="145"/>
      <c r="M5" s="145"/>
    </row>
    <row r="6" spans="1:15" ht="13.8" x14ac:dyDescent="0.25">
      <c r="A6" s="173" t="str">
        <f>+Инвойс!A6</f>
        <v xml:space="preserve">Республика Узбекистан, Ферганская область, </v>
      </c>
      <c r="B6" s="173"/>
      <c r="C6" s="173"/>
      <c r="D6" s="173"/>
      <c r="E6" s="173"/>
      <c r="F6" s="7"/>
      <c r="G6" s="171" t="str">
        <f>+Инвойс!G6</f>
        <v xml:space="preserve">125362, Город Москва, вн.тер.г. муниципальный округ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3" t="str">
        <f>+Инвойс!A7</f>
        <v>Кува Район, Гулобод МФЙ, Сарбоз улитца</v>
      </c>
      <c r="B7" s="173"/>
      <c r="C7" s="173"/>
      <c r="D7" s="173"/>
      <c r="E7" s="173"/>
      <c r="F7" s="63"/>
      <c r="G7" s="171" t="str">
        <f>+Инвойс!G7</f>
        <v xml:space="preserve">Южное Тушино, ул Свободы, д. 35, стр. 43, помещ. 92/3 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3" t="str">
        <f>+Инвойс!A8</f>
        <v xml:space="preserve">Р/с N 20208840607249418001   (USD)    </v>
      </c>
      <c r="B8" s="173"/>
      <c r="C8" s="173"/>
      <c r="D8" s="173"/>
      <c r="E8" s="173"/>
      <c r="F8" s="63"/>
      <c r="G8" s="171" t="str">
        <f>+Инвойс!G8</f>
        <v>Банк: Азия-Инвест Банк (АО) ИНН: 9705116064 КПП: 770501001</v>
      </c>
      <c r="H8" s="171"/>
      <c r="I8" s="171"/>
      <c r="J8" s="171"/>
      <c r="K8" s="171"/>
      <c r="L8" s="171"/>
      <c r="M8" s="171"/>
    </row>
    <row r="9" spans="1:15" ht="13.8" x14ac:dyDescent="0.25">
      <c r="A9" s="173" t="str">
        <f>+Инвойс!A9</f>
        <v xml:space="preserve">в АКБ «KAPITAL BANK» МФО: 01088 Swift: KACHUZ22  </v>
      </c>
      <c r="B9" s="173"/>
      <c r="C9" s="173"/>
      <c r="D9" s="173"/>
      <c r="E9" s="173"/>
      <c r="F9" s="7"/>
      <c r="G9" s="171" t="str">
        <f>+Инвойс!G9</f>
        <v xml:space="preserve">Р/Счет: 40702840100000019384 ; БИК:  044525234 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3" t="str">
        <f>+Инвойс!A10</f>
        <v xml:space="preserve"> ИНН: 312169146</v>
      </c>
      <c r="B10" s="173"/>
      <c r="C10" s="173"/>
      <c r="D10" s="173"/>
      <c r="E10" s="173"/>
      <c r="F10" s="7"/>
      <c r="G10" s="171" t="str">
        <f>+Инвойс!G10</f>
        <v xml:space="preserve">Корр.счет: 30101810445250000234  </v>
      </c>
      <c r="H10" s="171"/>
      <c r="I10" s="171"/>
      <c r="J10" s="171"/>
      <c r="K10" s="171"/>
      <c r="L10" s="171"/>
      <c r="M10" s="171"/>
    </row>
    <row r="11" spans="1:15" ht="13.8" x14ac:dyDescent="0.25">
      <c r="A11" s="173"/>
      <c r="B11" s="173"/>
      <c r="C11" s="173"/>
      <c r="D11" s="173"/>
      <c r="E11" s="173"/>
      <c r="F11" s="7"/>
      <c r="G11" s="171" t="str">
        <f>+Инвойс!G11</f>
        <v>(SWIFT code: ASIJRUMM)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53"/>
      <c r="B12" s="153"/>
      <c r="C12" s="153"/>
      <c r="D12" s="153"/>
      <c r="E12" s="153"/>
      <c r="F12" s="7"/>
      <c r="G12" s="153"/>
      <c r="H12" s="153"/>
      <c r="I12" s="153"/>
      <c r="J12" s="153"/>
      <c r="K12" s="153"/>
      <c r="L12" s="153"/>
      <c r="M12" s="153"/>
    </row>
    <row r="13" spans="1:15" ht="24" customHeight="1" x14ac:dyDescent="0.35">
      <c r="A13" s="143" t="s">
        <v>31</v>
      </c>
      <c r="B13" s="143"/>
      <c r="C13" s="143"/>
      <c r="D13" s="143"/>
      <c r="E13" s="143"/>
      <c r="G13" s="143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52" t="str">
        <f>+Инвойс!A14</f>
        <v>ООО «MEGA EXIMPORT»</v>
      </c>
      <c r="B14" s="152"/>
      <c r="C14" s="152"/>
      <c r="D14" s="152"/>
      <c r="E14" s="152"/>
      <c r="F14" s="6"/>
      <c r="G14" s="145" t="str">
        <f>+Инвойс!G14</f>
        <v>OOO «Западные ворота»</v>
      </c>
      <c r="H14" s="145"/>
      <c r="I14" s="145"/>
      <c r="J14" s="145"/>
      <c r="K14" s="145"/>
      <c r="L14" s="145"/>
      <c r="M14" s="145"/>
    </row>
    <row r="15" spans="1:15" ht="13.95" customHeight="1" x14ac:dyDescent="0.25">
      <c r="A15" s="173" t="str">
        <f>+Инвойс!A15</f>
        <v xml:space="preserve">Республика Узбекистан, Ферганская область, </v>
      </c>
      <c r="B15" s="173"/>
      <c r="C15" s="173"/>
      <c r="D15" s="173"/>
      <c r="E15" s="173"/>
      <c r="F15" s="7"/>
      <c r="G15" s="171" t="str">
        <f>+Инвойс!G15</f>
        <v>108811, г. Москва, вн.тер.г. муниципальный округ</v>
      </c>
      <c r="H15" s="171"/>
      <c r="I15" s="171"/>
      <c r="J15" s="171"/>
      <c r="K15" s="171"/>
      <c r="L15" s="171"/>
      <c r="M15" s="171"/>
    </row>
    <row r="16" spans="1:15" ht="13.8" x14ac:dyDescent="0.25">
      <c r="A16" s="173" t="str">
        <f>+Инвойс!A16</f>
        <v>Кува Район, Гулобод МФЙ, Сарбоз улитца</v>
      </c>
      <c r="B16" s="173"/>
      <c r="C16" s="173"/>
      <c r="D16" s="173"/>
      <c r="E16" s="173"/>
      <c r="F16" s="63"/>
      <c r="G16" s="171" t="str">
        <f>+Инвойс!G16</f>
        <v>Солнцево, Киевское шоссе, 23-й км, д.8, стр.1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3" t="str">
        <f>+Инвойс!A17</f>
        <v xml:space="preserve">Р/с N 20208840607249418001   (USD)    </v>
      </c>
      <c r="B17" s="173"/>
      <c r="C17" s="173"/>
      <c r="D17" s="173"/>
      <c r="E17" s="173"/>
      <c r="F17" s="63"/>
      <c r="G17" s="171" t="str">
        <f>+Инвойс!G17</f>
        <v xml:space="preserve">р/с USD 40702810501400013450 </v>
      </c>
      <c r="H17" s="171"/>
      <c r="I17" s="171"/>
      <c r="J17" s="171"/>
      <c r="K17" s="171"/>
      <c r="L17" s="171"/>
      <c r="M17" s="171"/>
    </row>
    <row r="18" spans="1:17" ht="13.8" x14ac:dyDescent="0.25">
      <c r="A18" s="173" t="str">
        <f>+Инвойс!A18</f>
        <v xml:space="preserve">в АКБ «KAPITAL BANK» МФО: 01088 Swift: KACHUZ22  </v>
      </c>
      <c r="B18" s="173"/>
      <c r="C18" s="173"/>
      <c r="D18" s="173"/>
      <c r="E18" s="173"/>
      <c r="F18" s="7"/>
      <c r="G18" s="171" t="str">
        <f>+Инвойс!G18</f>
        <v>Банк: Филиал АО «АЛЬФА-БАНК»</v>
      </c>
      <c r="H18" s="171"/>
      <c r="I18" s="171"/>
      <c r="J18" s="171"/>
      <c r="K18" s="171"/>
      <c r="L18" s="171"/>
      <c r="M18" s="171"/>
    </row>
    <row r="19" spans="1:17" ht="13.8" x14ac:dyDescent="0.25">
      <c r="A19" s="173" t="str">
        <f>+Инвойс!A19</f>
        <v xml:space="preserve"> ИНН: 312169146</v>
      </c>
      <c r="B19" s="173"/>
      <c r="C19" s="173"/>
      <c r="D19" s="173"/>
      <c r="E19" s="173"/>
      <c r="F19" s="7"/>
      <c r="G19" s="171" t="str">
        <f>+Инвойс!G19</f>
        <v>к/с:  30101810200000000593</v>
      </c>
      <c r="H19" s="171"/>
      <c r="I19" s="171"/>
      <c r="J19" s="171"/>
      <c r="K19" s="171"/>
      <c r="L19" s="171"/>
      <c r="M19" s="171"/>
    </row>
    <row r="20" spans="1:17" ht="13.8" x14ac:dyDescent="0.25">
      <c r="A20" s="173"/>
      <c r="B20" s="173"/>
      <c r="C20" s="173"/>
      <c r="D20" s="173"/>
      <c r="E20" s="173"/>
      <c r="F20" s="7"/>
      <c r="G20" s="171" t="str">
        <f>+Инвойс!G20</f>
        <v>ИНН/КПП 5004025693/775101001 ОГРН 1135004001802</v>
      </c>
      <c r="H20" s="171"/>
      <c r="I20" s="171"/>
      <c r="J20" s="171"/>
      <c r="K20" s="171"/>
      <c r="L20" s="171"/>
      <c r="M20" s="171"/>
    </row>
    <row r="21" spans="1:17" ht="13.8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3">
      <c r="A22" s="1" t="s">
        <v>135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116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tr">
        <f>+Инвойс!E26</f>
        <v>80639NBA/809731AA</v>
      </c>
      <c r="F26" s="139"/>
      <c r="G26" s="139"/>
      <c r="J26" s="21"/>
    </row>
    <row r="27" spans="1:17" ht="34.5" customHeight="1" x14ac:dyDescent="0.25">
      <c r="A27" s="67" t="s">
        <v>136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1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1" t="s">
        <v>12</v>
      </c>
      <c r="H29" s="111" t="s">
        <v>13</v>
      </c>
      <c r="I29" s="134"/>
      <c r="J29" s="112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8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Дер. ящик</v>
      </c>
      <c r="E30" s="101">
        <f>+Инвойс!E30</f>
        <v>2031</v>
      </c>
      <c r="F30" s="116" t="str">
        <f>+Инвойс!F30</f>
        <v>кг</v>
      </c>
      <c r="G30" s="106">
        <f>+Инвойс!G30</f>
        <v>20510</v>
      </c>
      <c r="H30" s="106">
        <f>+Инвойс!H30</f>
        <v>17667</v>
      </c>
      <c r="I30" s="108">
        <f>+Инвойс!I30</f>
        <v>0.65</v>
      </c>
      <c r="J30" s="13">
        <f>+Инвойс!J30</f>
        <v>11483.550000000001</v>
      </c>
      <c r="K30" s="12">
        <v>0</v>
      </c>
      <c r="L30" s="12">
        <v>0</v>
      </c>
      <c r="M30" s="13">
        <f>+Инвойс!M30</f>
        <v>11483.550000000001</v>
      </c>
      <c r="O30" s="100"/>
      <c r="Q30" s="100"/>
    </row>
    <row r="31" spans="1:17" ht="13.8" x14ac:dyDescent="0.25">
      <c r="A31" s="128">
        <f>+Инвойс!A31</f>
        <v>2</v>
      </c>
      <c r="B31" s="101" t="str">
        <f>+Инвойс!B31</f>
        <v>Сливы свежие</v>
      </c>
      <c r="C31" s="107" t="str">
        <f>+Инвойс!C31</f>
        <v>0809400501</v>
      </c>
      <c r="D31" s="115" t="str">
        <f>+Инвойс!D31</f>
        <v>Дер. ящик</v>
      </c>
      <c r="E31" s="101">
        <f>+Инвойс!E31</f>
        <v>175</v>
      </c>
      <c r="F31" s="116" t="str">
        <f>+Инвойс!F31</f>
        <v>кг</v>
      </c>
      <c r="G31" s="106">
        <f>+Инвойс!G31</f>
        <v>2190</v>
      </c>
      <c r="H31" s="106">
        <f>+Инвойс!H31</f>
        <v>1945</v>
      </c>
      <c r="I31" s="108">
        <f>+Инвойс!I31</f>
        <v>0.4</v>
      </c>
      <c r="J31" s="13">
        <f>+Инвойс!J31</f>
        <v>778</v>
      </c>
      <c r="K31" s="12">
        <v>0</v>
      </c>
      <c r="L31" s="12">
        <v>0</v>
      </c>
      <c r="M31" s="13">
        <f>+Инвойс!M31</f>
        <v>778</v>
      </c>
      <c r="O31" s="100"/>
      <c r="Q31" s="100"/>
    </row>
    <row r="32" spans="1:17" ht="13.8" x14ac:dyDescent="0.25">
      <c r="A32" s="148" t="s">
        <v>0</v>
      </c>
      <c r="B32" s="149"/>
      <c r="C32" s="14"/>
      <c r="D32" s="15"/>
      <c r="E32" s="64">
        <f>SUM(E30:E31)</f>
        <v>2206</v>
      </c>
      <c r="F32" s="15"/>
      <c r="G32" s="64">
        <f>SUM(G30:G31)</f>
        <v>22700</v>
      </c>
      <c r="H32" s="64">
        <f>SUM(H30:H31)</f>
        <v>19612</v>
      </c>
      <c r="I32" s="102"/>
      <c r="J32" s="17">
        <f>SUM(J30:J31)</f>
        <v>12261.550000000001</v>
      </c>
      <c r="K32" s="16"/>
      <c r="L32" s="16"/>
      <c r="M32" s="17">
        <f>SUM(M30:M31)</f>
        <v>12261.550000000001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Двенадцать тысяч двести шестьдесят один доллар США,55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</row>
    <row r="35" spans="1:14" ht="25.5" customHeight="1" x14ac:dyDescent="0.25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26"/>
    </row>
    <row r="37" spans="1:14" ht="15.6" x14ac:dyDescent="0.3">
      <c r="A37" s="7" t="s">
        <v>158</v>
      </c>
      <c r="B37" s="7"/>
      <c r="D37" s="25" t="str">
        <f>+Инвойс!D37</f>
        <v>Эргашев О.Р</v>
      </c>
      <c r="E37" s="24"/>
      <c r="G37" s="130" t="s">
        <v>147</v>
      </c>
      <c r="H37" t="str">
        <f>Инвойс!G5</f>
        <v>ООО ТД «РЕСУРС»</v>
      </c>
      <c r="K37" s="131" t="s">
        <v>148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7" sqref="A7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7" t="s">
        <v>117</v>
      </c>
    </row>
    <row r="3" spans="1:1" ht="52.8" x14ac:dyDescent="0.25">
      <c r="A3" s="132" t="s">
        <v>139</v>
      </c>
    </row>
    <row r="5" spans="1:1" ht="39.6" x14ac:dyDescent="0.25">
      <c r="A5" s="127" t="s">
        <v>118</v>
      </c>
    </row>
    <row r="7" spans="1:1" ht="52.8" x14ac:dyDescent="0.25">
      <c r="A7" s="127" t="s">
        <v>119</v>
      </c>
    </row>
    <row r="9" spans="1:1" ht="52.8" x14ac:dyDescent="0.25">
      <c r="A9" s="127" t="s">
        <v>120</v>
      </c>
    </row>
    <row r="10" spans="1:1" x14ac:dyDescent="0.25">
      <c r="A10" s="127"/>
    </row>
    <row r="11" spans="1:1" ht="52.8" x14ac:dyDescent="0.25">
      <c r="A11" s="127" t="s">
        <v>121</v>
      </c>
    </row>
    <row r="13" spans="1:1" ht="52.8" x14ac:dyDescent="0.25">
      <c r="A13" s="127" t="s">
        <v>122</v>
      </c>
    </row>
    <row r="15" spans="1:1" ht="39.6" x14ac:dyDescent="0.25">
      <c r="A15" s="127" t="s">
        <v>123</v>
      </c>
    </row>
    <row r="17" spans="1:1" ht="39.6" x14ac:dyDescent="0.25">
      <c r="A17" s="127" t="s">
        <v>124</v>
      </c>
    </row>
    <row r="19" spans="1:1" ht="39.6" x14ac:dyDescent="0.25">
      <c r="A19" s="129" t="s">
        <v>134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Инвойс!M32</f>
        <v>12261.550000000001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Двенадцать тысяч двести шестьдесят один доллар США,55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45893</v>
      </c>
      <c r="O3" s="177"/>
      <c r="P3">
        <f ca="1">DAY(N3)</f>
        <v>24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Двенадцать тысяч двести шестьдесят один доллар США,55 центов. (в т.ч. НДС - 357,79)</v>
      </c>
      <c r="H4" s="32"/>
      <c r="I4" s="32"/>
      <c r="J4" s="32"/>
      <c r="K4" s="178" t="str">
        <f ca="1">CONCATENATE(" «  ",P3,"  »  ",Q3,"  ",R3," г.")</f>
        <v xml:space="preserve"> «  24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двенадцать тысяч двести шестьдесят один доллар США,55 центов.</v>
      </c>
    </row>
    <row r="6" spans="1:19" s="36" customFormat="1" x14ac:dyDescent="0.25">
      <c r="A6" s="38" t="s">
        <v>37</v>
      </c>
      <c r="B6" s="36" t="str">
        <f>CONCATENATE(A8,A9,A10,A11,A12,B8,B9,C9)</f>
        <v>двенадцать тысяч двести шестьдесят один доллар США,55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двенадцать тысяч </v>
      </c>
      <c r="D10" s="47"/>
      <c r="E10" s="48"/>
      <c r="F10" s="41" t="str">
        <f>PROPER(F9)</f>
        <v>Д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шестьдесят один доллар США,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55 центов.</v>
      </c>
      <c r="D12" s="47"/>
      <c r="E12" s="48"/>
      <c r="M12" s="50">
        <f ca="1">TODAY()</f>
        <v>45893</v>
      </c>
    </row>
    <row r="13" spans="1:19" s="43" customFormat="1" x14ac:dyDescent="0.25">
      <c r="A13" s="49"/>
      <c r="D13" s="51"/>
      <c r="E13" s="52">
        <f>TRUNC(E2)</f>
        <v>12261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12</v>
      </c>
      <c r="B25" s="47">
        <f>TRUNC(RIGHT(A25))</f>
        <v>2</v>
      </c>
      <c r="C25" s="51">
        <f>IF(B24=1,B25+10,IF(B25=0,0,B25))</f>
        <v>12</v>
      </c>
      <c r="D25" s="43" t="str">
        <f>IF(AND(C25&gt;9,C25&lt;16),IF(C25=10,D34,IF(C25=11,D35,IF(C25=12,D36,IF(C25=13,D37,IF(C25=14,D38,IF(C25=15,D39,)))))),"")</f>
        <v xml:space="preserve">двенадцать </v>
      </c>
      <c r="E25" s="56" t="str">
        <f>IF(B25=1,B34,IF(B25=2,B35,IF(B25=3,A36,IF(B25=4,A37,IF(B25=5,A38,IF(B25=6,A39,IF(B25=7,A40,IF(B25=8,A41,A42))))))))</f>
        <v xml:space="preserve">две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12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122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1226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12261</v>
      </c>
      <c r="B29" s="47">
        <f>TRUNC(RIGHT(A29))</f>
        <v>1</v>
      </c>
      <c r="C29" s="51">
        <f>IF(B28=1,B29+10,IF(B29=0,0,B29))</f>
        <v>1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261</v>
      </c>
      <c r="F30" s="43" t="str">
        <f>IF(E30+E26+E22+E18=0,"ноль долларов США,",IF(C29=1,"доллар США,",IF(OR(C29=2,C29=3,C29=4),"доллара США,","долларов США, ")))</f>
        <v>доллар США,</v>
      </c>
      <c r="G30" s="47"/>
    </row>
    <row r="31" spans="1:9" s="43" customFormat="1" x14ac:dyDescent="0.25">
      <c r="A31" s="60">
        <f>ROUND(100*(E2-E13),0)</f>
        <v>55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2025-08-24T09:47:11Z</cp:lastPrinted>
  <dcterms:created xsi:type="dcterms:W3CDTF">1996-10-14T23:33:28Z</dcterms:created>
  <dcterms:modified xsi:type="dcterms:W3CDTF">2025-08-24T09:47:13Z</dcterms:modified>
</cp:coreProperties>
</file>