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C19BCF1-D807-4025-A5EC-128ED2E291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<sst xmlns="http://schemas.openxmlformats.org/spreadsheetml/2006/main" count="201" uniqueCount="163">
  <si>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</si>
  <si>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</si>
  <si>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</si>
  <si>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</si>
  <si>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</si>
  <si>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</si>
  <si>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</si>
  <si>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</si>
  <si>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</si>
  <si>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</si>
  <si>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</si>
  <si>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</si>
  <si>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</si>
  <si>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</si>
  <si>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</si>
  <si>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</si>
  <si>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</si>
  <si>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</si>
  <si>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</si>
  <si>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</si>
  <si>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</si>
  <si>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</si>
  <si>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</si>
  <si>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</si>
  <si>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</si>
  <si>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</si>
  <si>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</si>
  <si>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</si>
  <si>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</si>
  <si>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</si>
  <si>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</si>
  <si>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</si>
  <si>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</si>
  <si>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</si>
  <si>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</si>
  <si>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</si>
  <si>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</si>
  <si>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</si>
  <si>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</si>
  <si>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</si>
  <si>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</si>
  <si>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</si>
  <si>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</si>
  <si>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</si>
  <si>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</si>
  <si>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</si>
  <si>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</si>
  <si>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</si>
  <si>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</si>
  <si>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</si>
  <si>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</si>
  <si>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</si>
  <si>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</si>
  <si>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</si>
  <si>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</si>
  <si>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</si>
  <si>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</si>
  <si>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</si>
  <si>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</si>
  <si>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</si>
  <si>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</si>
  <si>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</si>
  <si>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</si>
  <si>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</si>
  <si>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</si>
  <si>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</si>
  <si>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</si>
  <si>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</si>
  <si>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</si>
  <si>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</si>
  <si>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</si>
  <si>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</si>
  <si>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</si>
  <si>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</si>
  <si>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</si>
  <si>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</si>
  <si>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</si>
  <si>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</si>
  <si>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</si>
  <si>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</si>
  <si>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</si>
  <si>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</si>
  <si>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</si>
  <si>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</si>
  <si>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</si>
  <si>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</si>
  <si>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</si>
  <si>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</si>
  <si>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</si>
  <si>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</si>
  <si>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</si>
  <si>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</si>
  <si>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</si>
  <si>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</si>
  <si>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</si>
  <si>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</si>
  <si>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</si>
  <si>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</si>
  <si>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</si>
  <si>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</si>
  <si>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</si>
  <si>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</si>
  <si>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</si>
  <si>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</si>
  <si>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</si>
  <si>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</si>
  <si>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</si>
  <si>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</si>
  <si>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</si>
  <si>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</si>
  <si>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</si>
  <si>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</si>
  <si>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</si>
  <si>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</si>
  <si>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</si>
  <si>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</si>
  <si>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</si>
  <si>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</si>
  <si>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</si>
  <si>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</si>
  <si>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</si>
  <si>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</si>
  <si>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</si>
  <si>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</si>
  <si>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</si>
  <si>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</si>
  <si>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</si>
  <si>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</si>
  <si>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</si>
  <si>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</si>
  <si>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</si>
  <si>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</si>
  <si>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</si>
  <si>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</si>
  <si>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</si>
  <si>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</si>
  <si>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</si>
  <si>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</si>
  <si>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</si>
  <si>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</si>
  <si>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</si>
  <si>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</si>
  <si>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</si>
  <si>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</si>
  <si>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</si>
  <si>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</si>
  <si>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</si>
  <si>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</si>
  <si>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</si>
  <si>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</si>
  <si>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</si>
  <si>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</si>
  <si>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</si>
  <si>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</si>
  <si>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</si>
  <si>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</si>
  <si>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</si>
  <si>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</si>
  <si>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BEZ-F-44 от </t>
  </si>
  <si>
    <t xml:space="preserve"> 11.08.2025г.</t>
  </si>
  <si>
    <t>DAP - с Амандык , Республика Казахстан</t>
  </si>
  <si>
    <t xml:space="preserve">СПЕЦИФИКАЦИЯ № BEZ-F-44 от </t>
  </si>
  <si>
    <t>10A953SA/105476AA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</si>
</sst>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162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960</v>
      </c>
      <c r="F30" s="110" t="s">
        <v>27</v>
      </c>
      <c r="G30" s="106">
        <v>22600</v>
      </c>
      <c r="H30" s="106">
        <v>20872</v>
      </c>
      <c r="I30" s="108">
        <v>0.2</v>
      </c>
      <c r="J30" s="13">
        <f t="shared" ref="J30" si="0">H30*I30</f>
        <v>4174.4000000000005</v>
      </c>
      <c r="K30" s="12">
        <v>0</v>
      </c>
      <c r="L30" s="12">
        <v>0</v>
      </c>
      <c r="M30" s="13">
        <f t="shared" ref="M30" si="1">J30</f>
        <v>4174.4000000000005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960</v>
      </c>
      <c r="F31" s="15"/>
      <c r="G31" s="64">
        <f>SUM(G30:G30)</f>
        <v>22600</v>
      </c>
      <c r="H31" s="64">
        <f>SUM(H30:H30)</f>
        <v>20872</v>
      </c>
      <c r="I31" s="102"/>
      <c r="J31" s="17">
        <f>SUM(J30:J30)</f>
        <v>4174.4000000000005</v>
      </c>
      <c r="K31" s="16"/>
      <c r="L31" s="16"/>
      <c r="M31" s="17">
        <f>SUM(M30:M30)</f>
        <v>4174.4000000000005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семьдесят четыре доллара США,40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L31" sqref="L3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BEZ-F-44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10A953SA/105476AA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0" zoomScaleNormal="100" workbookViewId="0">
      <selection activeCell="N32" sqref="N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10A953SA/105476AA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BEZ-F-44 от  11.08.2025г.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960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22600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960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0" zoomScale="85" zoomScaleNormal="85" workbookViewId="0">
      <selection activeCell="R28" sqref="R2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161</v>
      </c>
      <c r="C1" s="172"/>
      <c r="D1" s="172"/>
      <c r="E1" s="172"/>
      <c r="F1" s="132" t="str">
        <f>+Инвойс!F1</f>
        <v xml:space="preserve"> 11.08.2025г.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10A953SA/105476AA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1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960</v>
      </c>
      <c r="F30" s="116" t="str">
        <f>+Инвойс!F30</f>
        <v>кг</v>
      </c>
      <c r="G30" s="106">
        <f>+Инвойс!G30</f>
        <v>22600</v>
      </c>
      <c r="H30" s="106">
        <f>+Инвойс!H30</f>
        <v>20872</v>
      </c>
      <c r="I30" s="108">
        <f>+Инвойс!I30</f>
        <v>0.2</v>
      </c>
      <c r="J30" s="13">
        <f>+Инвойс!J30</f>
        <v>4174.4000000000005</v>
      </c>
      <c r="K30" s="12">
        <v>0</v>
      </c>
      <c r="L30" s="12">
        <v>0</v>
      </c>
      <c r="M30" s="13">
        <f>+Инвойс!M30</f>
        <v>4174.4000000000005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960</v>
      </c>
      <c r="F31" s="15"/>
      <c r="G31" s="64">
        <f>SUM(G30:G30)</f>
        <v>22600</v>
      </c>
      <c r="H31" s="64">
        <f>SUM(H30:H30)</f>
        <v>20872</v>
      </c>
      <c r="I31" s="102"/>
      <c r="J31" s="17">
        <f>SUM(J30:J30)</f>
        <v>4174.4000000000005</v>
      </c>
      <c r="K31" s="16"/>
      <c r="L31" s="16"/>
      <c r="M31" s="17">
        <f>SUM(M30:M30)</f>
        <v>4174.4000000000005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семьдесят четыре доллара США,40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4174.4000000000005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семьдесят четыре доллара США,40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семьдесят четыре доллара США,40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семьдесят четыре доллара США,40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семьдесят четыре доллара США,40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семьдесят четыре доллара США,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40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4174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4174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174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40</v>
      </c>
      <c r="C31" s="59">
        <f>TRUNC(A31/10)</f>
        <v>4</v>
      </c>
      <c r="E31" s="56" t="str">
        <f>IF(OR(C31=1,C31=0),"",IF(C31=2,E35,IF(C31=3,E36,IF(C31=4,E37,IF(C31=5,E38,IF(C31=6,E39,IF(C31=7,E40,IF(C31=8,E41,E42))))))))</f>
        <v xml:space="preserve">сорок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2025-08-11T14:33:34Z</cp:lastPrinted>
  <dcterms:created xsi:type="dcterms:W3CDTF">1996-10-14T23:33:28Z</dcterms:created>
  <dcterms:modified xsi:type="dcterms:W3CDTF">2025-08-11T14:33:49Z</dcterms:modified>
</cp:coreProperties>
</file>