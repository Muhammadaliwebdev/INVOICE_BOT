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50E192B-7CE9-4C71-B58E-60FC2CDBE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<sst xmlns="http://schemas.openxmlformats.org/spreadsheetml/2006/main" count="201" uniqueCount="163">
  <si>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</si>
  <si>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</si>
  <si>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</si>
  <si>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</si>
  <si>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</si>
  <si>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</si>
  <si>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</si>
  <si>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</si>
  <si>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</si>
  <si>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</si>
  <si>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</si>
  <si>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</si>
  <si>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</si>
  <si>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</si>
  <si>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</si>
  <si>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</si>
  <si>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</si>
  <si>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</si>
  <si>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</si>
  <si>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</si>
  <si>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</si>
  <si>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</si>
  <si>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</si>
  <si>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</si>
  <si>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</si>
  <si>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</si>
  <si>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</si>
  <si>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</si>
  <si>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</si>
  <si>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</si>
  <si>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</si>
  <si>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</si>
  <si>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</si>
  <si>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</si>
  <si>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</si>
  <si>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</si>
  <si>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</si>
  <si>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</si>
  <si>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</si>
  <si>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</si>
  <si>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</si>
  <si>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</si>
  <si>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</si>
  <si>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</si>
  <si>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</si>
  <si>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</si>
  <si>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</si>
  <si>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</si>
  <si>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</si>
  <si>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</si>
  <si>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</si>
  <si>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</si>
  <si>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</si>
  <si>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</si>
  <si>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</si>
  <si>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</si>
  <si>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</si>
  <si>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</si>
  <si>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</si>
  <si>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</si>
  <si>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</si>
  <si>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</si>
  <si>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</si>
  <si>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</si>
  <si>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</si>
  <si>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</si>
  <si>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</si>
  <si>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</si>
  <si>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</si>
  <si>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</si>
  <si>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</si>
  <si>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</si>
  <si>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</si>
  <si>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</si>
  <si>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</si>
  <si>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</si>
  <si>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</si>
  <si>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</si>
  <si>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</si>
  <si>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</si>
  <si>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</si>
  <si>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</si>
  <si>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</si>
  <si>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</si>
  <si>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</si>
  <si>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</si>
  <si>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</si>
  <si>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</si>
  <si>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</si>
  <si>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</si>
  <si>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</si>
  <si>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</si>
  <si>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</si>
  <si>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</si>
  <si>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</si>
  <si>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</si>
  <si>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</si>
  <si>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</si>
  <si>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</si>
  <si>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</si>
  <si>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</si>
  <si>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</si>
  <si>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</si>
  <si>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</si>
  <si>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</si>
  <si>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</si>
  <si>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</si>
  <si>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</si>
  <si>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</si>
  <si>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</si>
  <si>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</si>
  <si>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</si>
  <si>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</si>
  <si>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</si>
  <si>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</si>
  <si>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</si>
  <si>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</si>
  <si>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</si>
  <si>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</si>
  <si>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</si>
  <si>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</si>
  <si>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</si>
  <si>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</si>
  <si>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</si>
  <si>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</si>
  <si>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</si>
  <si>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</si>
  <si>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</si>
  <si>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</si>
  <si>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</si>
  <si>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</si>
  <si>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</si>
  <si>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</si>
  <si>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</si>
  <si>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</si>
  <si>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</si>
  <si>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</si>
  <si>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</si>
  <si>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</si>
  <si>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</si>
  <si>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</si>
  <si>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</si>
  <si>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</si>
  <si>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</si>
  <si>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</si>
  <si>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</si>
  <si>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</si>
  <si>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</si>
  <si>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</si>
  <si>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</si>
  <si>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</si>
  <si>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</si>
  <si>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</si>
  <si>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</si>
  <si>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</si>
  <si>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</si>
  <si>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</si>
  <si>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</si>
  <si>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BEZ-M-11 от </t>
  </si>
  <si>
    <t>DAP - с Амандык , Республика Казахстан</t>
  </si>
  <si>
    <t>30342JBA/305673AA</t>
  </si>
  <si>
    <t xml:space="preserve">СПЕЦИФИКАЦИЯ № BEZ-M-11 от </t>
  </si>
  <si>
    <t>11.08.2025г.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</si>
</sst>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162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1020</v>
      </c>
      <c r="F30" s="110" t="s">
        <v>27</v>
      </c>
      <c r="G30" s="106">
        <v>23500</v>
      </c>
      <c r="H30" s="106">
        <v>21664</v>
      </c>
      <c r="I30" s="108">
        <v>0.2</v>
      </c>
      <c r="J30" s="13">
        <f t="shared" ref="J30" si="0">H30*I30</f>
        <v>4332.8</v>
      </c>
      <c r="K30" s="12">
        <v>0</v>
      </c>
      <c r="L30" s="12">
        <v>0</v>
      </c>
      <c r="M30" s="13">
        <f t="shared" ref="M30" si="1">J30</f>
        <v>4332.8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1020</v>
      </c>
      <c r="F31" s="15"/>
      <c r="G31" s="64">
        <f>SUM(G30:G30)</f>
        <v>23500</v>
      </c>
      <c r="H31" s="64">
        <f>SUM(H30:H30)</f>
        <v>21664</v>
      </c>
      <c r="I31" s="102"/>
      <c r="J31" s="17">
        <f>SUM(J30:J30)</f>
        <v>4332.8</v>
      </c>
      <c r="K31" s="16"/>
      <c r="L31" s="16"/>
      <c r="M31" s="17">
        <f>SUM(M30:M30)</f>
        <v>4332.8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триста тридцать два доллара США,80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J38" sqref="J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BEZ-M-11 от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>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30342JBA/305673AA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zoomScaleNormal="100" workbookViewId="0">
      <selection activeCell="J29" sqref="J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30342JBA/305673AA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>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BEZ-M-11 от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1020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1020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6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32" t="str">
        <f>+Инвойс!F1</f>
        <v>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30342JBA/305673AA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1020</v>
      </c>
      <c r="F30" s="116" t="str">
        <f>+Инвойс!F30</f>
        <v>кг</v>
      </c>
      <c r="G30" s="106">
        <f>+Инвойс!G30</f>
        <v>23500</v>
      </c>
      <c r="H30" s="106">
        <f>+Инвойс!H30</f>
        <v>21664</v>
      </c>
      <c r="I30" s="108">
        <f>+Инвойс!I30</f>
        <v>0.2</v>
      </c>
      <c r="J30" s="13">
        <f>+Инвойс!J30</f>
        <v>4332.8</v>
      </c>
      <c r="K30" s="12">
        <v>0</v>
      </c>
      <c r="L30" s="12">
        <v>0</v>
      </c>
      <c r="M30" s="13">
        <f>+Инвойс!M30</f>
        <v>4332.8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1020</v>
      </c>
      <c r="F31" s="15"/>
      <c r="G31" s="64">
        <f>SUM(G30:G30)</f>
        <v>23500</v>
      </c>
      <c r="H31" s="64">
        <f>SUM(H30:H30)</f>
        <v>21664</v>
      </c>
      <c r="I31" s="102"/>
      <c r="J31" s="17">
        <f>SUM(J30:J30)</f>
        <v>4332.8</v>
      </c>
      <c r="K31" s="16"/>
      <c r="L31" s="16"/>
      <c r="M31" s="17">
        <f>SUM(M30:M30)</f>
        <v>4332.8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триста тридцать два доллара США,80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opLeftCell="A4"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4332.8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триста тридцать два доллара США,80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триста тридцать два доллара США,80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триста тридцать два доллара США,80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триста тридцать два доллара США,80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тридцать два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4332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433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4332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332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2025-08-11T04:48:48Z</cp:lastPrinted>
  <dcterms:created xsi:type="dcterms:W3CDTF">1996-10-14T23:33:28Z</dcterms:created>
  <dcterms:modified xsi:type="dcterms:W3CDTF">2025-08-11T04:49:16Z</dcterms:modified>
</cp:coreProperties>
</file>