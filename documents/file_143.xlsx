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FE1DA87-1C81-408D-88B8-85A077624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<sst xmlns="http://schemas.openxmlformats.org/spreadsheetml/2006/main" count="207" uniqueCount="165">
  <si>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</si>
  <si>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</si>
  <si>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</si>
  <si>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</si>
  <si>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</si>
  <si>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</si>
  <si>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</si>
  <si>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</si>
  <si>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</si>
  <si>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</si>
  <si>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</si>
  <si>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</si>
  <si>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</si>
  <si>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</si>
  <si>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</si>
  <si>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</si>
  <si>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</si>
  <si>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</si>
  <si>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</si>
  <si>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</si>
  <si>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</si>
  <si>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</si>
  <si>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</si>
  <si>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</si>
  <si>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</si>
  <si>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</si>
  <si>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</si>
  <si>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</si>
  <si>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</si>
  <si>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</si>
  <si>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</si>
  <si>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</si>
  <si>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</si>
  <si>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</si>
  <si>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</si>
  <si>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</si>
  <si>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</si>
  <si>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</si>
  <si>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</si>
  <si>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</si>
  <si>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</si>
  <si>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</si>
  <si>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</si>
  <si>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</si>
  <si>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</si>
  <si>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</si>
  <si>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</si>
  <si>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</si>
  <si>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</si>
  <si>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</si>
  <si>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</si>
  <si>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</si>
  <si>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</si>
  <si>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</si>
  <si>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</si>
  <si>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</si>
  <si>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</si>
  <si>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</si>
  <si>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</si>
  <si>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</si>
  <si>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</si>
  <si>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</si>
  <si>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</si>
  <si>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</si>
  <si>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</si>
  <si>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</si>
  <si>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</si>
  <si>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</si>
  <si>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</si>
  <si>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</si>
  <si>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</si>
  <si>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</si>
  <si>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</si>
  <si>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</si>
  <si>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</si>
  <si>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</si>
  <si>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</si>
  <si>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</si>
  <si>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</si>
  <si>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</si>
  <si>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</si>
  <si>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</si>
  <si>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</si>
  <si>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</si>
  <si>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</si>
  <si>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</si>
  <si>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</si>
  <si>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</si>
  <si>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</si>
  <si>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</si>
  <si>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</si>
  <si>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</si>
  <si>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</si>
  <si>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</si>
  <si>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</si>
  <si>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</si>
  <si>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</si>
  <si>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</si>
  <si>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</si>
  <si>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</si>
  <si>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</si>
  <si>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</si>
  <si>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</si>
  <si>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</si>
  <si>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</si>
  <si>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</si>
  <si>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</si>
  <si>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</si>
  <si>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</si>
  <si>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</si>
  <si>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</si>
  <si>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</si>
  <si>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</si>
  <si>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</si>
  <si>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</si>
  <si>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</si>
  <si>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</si>
  <si>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</si>
  <si>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</si>
  <si>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</si>
  <si>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</si>
  <si>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</si>
  <si>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</si>
  <si>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</si>
  <si>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</si>
  <si>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</si>
  <si>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</si>
  <si>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</si>
  <si>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</si>
  <si>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</si>
  <si>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</si>
  <si>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</si>
  <si>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</si>
  <si>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</si>
  <si>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</si>
  <si>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</si>
  <si>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</si>
  <si>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</si>
  <si>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</si>
  <si>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</si>
  <si>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</si>
  <si>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</si>
  <si>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</si>
  <si>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</si>
  <si>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</si>
  <si>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</si>
  <si>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</si>
  <si>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</si>
  <si>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</si>
  <si>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</si>
  <si>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</si>
  <si>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</si>
  <si>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</si>
  <si>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</si>
  <si>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</si>
  <si>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</si>
  <si>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</si>
  <si>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</si>
  <si>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СПЕЦИФИКАЦИЯ № BEZ-N-27 от </t>
  </si>
  <si>
    <t>10.08.2025г.</t>
  </si>
  <si>
    <t>DAP - с Амандык , Республика Казахстан</t>
  </si>
  <si>
    <t>90438GBA/902016BA</t>
  </si>
  <si>
    <t>навалом</t>
  </si>
  <si>
    <t>-</t>
  </si>
  <si>
    <t xml:space="preserve">ИНВОЙС № BEZ-N-27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</si>
</sst>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38</xdr:row>
      <xdr:rowOff>22411</xdr:rowOff>
    </xdr:from>
    <xdr:to>
      <xdr:col>4</xdr:col>
      <xdr:colOff>159123</xdr:colOff>
      <xdr:row>48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40</xdr:row>
      <xdr:rowOff>20172</xdr:rowOff>
    </xdr:from>
    <xdr:to>
      <xdr:col>12</xdr:col>
      <xdr:colOff>149486</xdr:colOff>
      <xdr:row>43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38</xdr:row>
      <xdr:rowOff>98613</xdr:rowOff>
    </xdr:from>
    <xdr:to>
      <xdr:col>9</xdr:col>
      <xdr:colOff>159123</xdr:colOff>
      <xdr:row>50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38</xdr:row>
      <xdr:rowOff>56030</xdr:rowOff>
    </xdr:from>
    <xdr:to>
      <xdr:col>3</xdr:col>
      <xdr:colOff>268941</xdr:colOff>
      <xdr:row>51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2" t="s">
        <v>164</v>
      </c>
      <c r="D1" s="132"/>
      <c r="E1" s="132"/>
      <c r="F1" s="131" t="s">
        <v>159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">
        <v>148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">
        <v>149</v>
      </c>
      <c r="B5" s="133"/>
      <c r="C5" s="133"/>
      <c r="D5" s="133"/>
      <c r="E5" s="133"/>
      <c r="F5" s="6"/>
      <c r="G5" s="135" t="s">
        <v>138</v>
      </c>
      <c r="H5" s="135"/>
      <c r="I5" s="135"/>
      <c r="J5" s="135"/>
      <c r="K5" s="135"/>
      <c r="L5" s="135"/>
      <c r="M5" s="135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7" t="s">
        <v>139</v>
      </c>
      <c r="H6" s="137"/>
      <c r="I6" s="137"/>
      <c r="J6" s="137"/>
      <c r="K6" s="137"/>
      <c r="L6" s="137"/>
      <c r="M6" s="137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7" t="s">
        <v>140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">
        <v>149</v>
      </c>
      <c r="B14" s="133"/>
      <c r="C14" s="133"/>
      <c r="D14" s="133"/>
      <c r="E14" s="133"/>
      <c r="F14" s="6"/>
      <c r="G14" s="135" t="s">
        <v>125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7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7" t="s">
        <v>127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0" t="s">
        <v>137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">
        <v>161</v>
      </c>
      <c r="F26" s="152"/>
      <c r="G26" s="152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876</v>
      </c>
      <c r="F30" s="115" t="s">
        <v>27</v>
      </c>
      <c r="G30" s="106">
        <v>21800</v>
      </c>
      <c r="H30" s="106">
        <v>20223</v>
      </c>
      <c r="I30" s="108">
        <v>0.2</v>
      </c>
      <c r="J30" s="13">
        <f t="shared" ref="J30:J31" si="0">H30*I30</f>
        <v>4044.6000000000004</v>
      </c>
      <c r="K30" s="12">
        <v>0</v>
      </c>
      <c r="L30" s="12">
        <v>0</v>
      </c>
      <c r="M30" s="13">
        <f t="shared" ref="M30:M31" si="1">J30</f>
        <v>4044.6000000000004</v>
      </c>
      <c r="O30" s="100"/>
      <c r="Q30" s="100"/>
    </row>
    <row r="31" spans="1:17" ht="13.8" x14ac:dyDescent="0.25">
      <c r="A31" s="126">
        <v>2</v>
      </c>
      <c r="B31" s="101" t="s">
        <v>135</v>
      </c>
      <c r="C31" s="107" t="s">
        <v>136</v>
      </c>
      <c r="D31" s="109" t="s">
        <v>162</v>
      </c>
      <c r="E31" s="101" t="s">
        <v>163</v>
      </c>
      <c r="F31" s="115" t="s">
        <v>27</v>
      </c>
      <c r="G31" s="106">
        <v>1200</v>
      </c>
      <c r="H31" s="106">
        <v>1200</v>
      </c>
      <c r="I31" s="108">
        <v>0.2</v>
      </c>
      <c r="J31" s="13">
        <f t="shared" si="0"/>
        <v>240</v>
      </c>
      <c r="K31" s="12">
        <v>0</v>
      </c>
      <c r="L31" s="12">
        <v>0</v>
      </c>
      <c r="M31" s="13">
        <f t="shared" si="1"/>
        <v>240</v>
      </c>
      <c r="O31" s="100"/>
      <c r="Q31" s="100"/>
    </row>
    <row r="32" spans="1:17" ht="13.8" x14ac:dyDescent="0.25">
      <c r="A32" s="146" t="s">
        <v>0</v>
      </c>
      <c r="B32" s="147"/>
      <c r="C32" s="14"/>
      <c r="D32" s="15"/>
      <c r="E32" s="64">
        <f>SUM(E30:E31)</f>
        <v>876</v>
      </c>
      <c r="F32" s="15"/>
      <c r="G32" s="64">
        <f>SUM(G30:G31)</f>
        <v>23000</v>
      </c>
      <c r="H32" s="64">
        <f>SUM(H30:H31)</f>
        <v>21423</v>
      </c>
      <c r="I32" s="102"/>
      <c r="J32" s="17">
        <f>SUM(J30:J31)</f>
        <v>4284.6000000000004</v>
      </c>
      <c r="K32" s="16"/>
      <c r="L32" s="16"/>
      <c r="M32" s="17">
        <f>SUM(M30:M31)</f>
        <v>4284.6000000000004</v>
      </c>
      <c r="P32" s="66"/>
    </row>
    <row r="33" spans="1:14" ht="13.8" x14ac:dyDescent="0.3">
      <c r="A33" s="2" t="s">
        <v>17</v>
      </c>
      <c r="B33" s="3"/>
      <c r="C33" s="11"/>
      <c r="D33" s="11"/>
      <c r="E33" s="142" t="str">
        <f>Лист1!B3</f>
        <v>Четыре тысячи двести восемьдесят четыре доллара США,60 центов.</v>
      </c>
      <c r="F33" s="143"/>
      <c r="G33" s="143"/>
      <c r="H33" s="143"/>
      <c r="I33" s="143"/>
      <c r="J33" s="143"/>
      <c r="K33" s="143"/>
      <c r="L33" s="143"/>
      <c r="M33" s="143"/>
    </row>
    <row r="34" spans="1:14" ht="20.2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</row>
    <row r="35" spans="1:14" ht="25.5" customHeight="1" x14ac:dyDescent="0.25">
      <c r="A35" s="139" t="s">
        <v>110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26"/>
    </row>
    <row r="37" spans="1:14" ht="13.8" x14ac:dyDescent="0.25">
      <c r="A37" s="7" t="s">
        <v>28</v>
      </c>
      <c r="B37" s="7"/>
      <c r="D37" s="25" t="s">
        <v>156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2">
    <mergeCell ref="I28:I29"/>
    <mergeCell ref="G28:H28"/>
    <mergeCell ref="C23:M23"/>
    <mergeCell ref="E26:G26"/>
    <mergeCell ref="G7:M7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L40" sqref="L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BEZ-N-27 от 10.08.2025г.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876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21800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1200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>10.08.2025г.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90438GBA/902016BA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0" zoomScaleNormal="100" workbookViewId="0">
      <selection activeCell="B48" sqref="B48:E4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9" t="s">
        <v>96</v>
      </c>
      <c r="C2" s="15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0" t="str">
        <f>+Инвойс!E26</f>
        <v>90438GBA/902016BA</v>
      </c>
      <c r="C14" s="160"/>
      <c r="D14" s="160"/>
      <c r="E14" s="160"/>
      <c r="F14" s="160"/>
      <c r="G14" s="160"/>
      <c r="H14" s="161" t="s">
        <v>108</v>
      </c>
      <c r="I14" s="161"/>
      <c r="J14" s="88" t="str">
        <f>+Инвойс!F1</f>
        <v>10.08.2025г.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BEZ-N-27 от 10.08.2025г.</v>
      </c>
      <c r="I15" s="162"/>
      <c r="J15" s="16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876</v>
      </c>
      <c r="G18" s="163" t="str">
        <f>+CMR!F30</f>
        <v>Дыни свежие</v>
      </c>
      <c r="H18" s="163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21800</v>
      </c>
    </row>
    <row r="20" spans="2:10" ht="13.5" customHeight="1" x14ac:dyDescent="0.3">
      <c r="B20" s="83"/>
      <c r="E20" s="122"/>
      <c r="F20" s="117" t="str">
        <f>+Инвойс!E31</f>
        <v>-</v>
      </c>
      <c r="G20" s="163" t="str">
        <f>+CMR!F31</f>
        <v>Дыни свежие</v>
      </c>
      <c r="H20" s="163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навалом</v>
      </c>
      <c r="G21" s="157" t="str">
        <f>+Инвойс!C31</f>
        <v>0807190001</v>
      </c>
      <c r="H21" s="158"/>
      <c r="I21" s="121" t="s">
        <v>103</v>
      </c>
      <c r="J21" s="119">
        <f>+Инвойс!G31</f>
        <v>1200</v>
      </c>
    </row>
    <row r="22" spans="2:10" ht="12.75" customHeight="1" x14ac:dyDescent="0.3">
      <c r="B22" s="83"/>
      <c r="E22" s="122"/>
      <c r="F22" s="117"/>
      <c r="G22" s="163"/>
      <c r="H22" s="163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63"/>
      <c r="H24" s="163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63"/>
      <c r="H26" s="163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63"/>
      <c r="H28" s="163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63"/>
      <c r="H30" s="163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63"/>
      <c r="H32" s="163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63"/>
      <c r="H34" s="163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63"/>
      <c r="H36" s="163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63"/>
      <c r="H38" s="163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63"/>
      <c r="H42" s="163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5"/>
      <c r="H44" s="165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v>876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3"/>
  <sheetViews>
    <sheetView zoomScale="85" zoomScaleNormal="85" workbookViewId="0">
      <selection activeCell="R29" sqref="R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158</v>
      </c>
      <c r="C1" s="171"/>
      <c r="D1" s="171"/>
      <c r="E1" s="171"/>
      <c r="F1" s="131" t="str">
        <f>+Инвойс!F1</f>
        <v>10.08.2025г.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3.8" x14ac:dyDescent="0.25">
      <c r="A6" s="169" t="str">
        <f>+Инвойс!A6</f>
        <v>Республика Узбекистан, Джизакская область,</v>
      </c>
      <c r="B6" s="169"/>
      <c r="C6" s="169"/>
      <c r="D6" s="169"/>
      <c r="E6" s="169"/>
      <c r="F6" s="7"/>
      <c r="G6" s="168" t="str">
        <f>+Инвойс!G6</f>
        <v xml:space="preserve">125362, Город Москва, вн.тер.г. муниципальный округ </v>
      </c>
      <c r="H6" s="168"/>
      <c r="I6" s="168"/>
      <c r="J6" s="168"/>
      <c r="K6" s="168"/>
      <c r="L6" s="168"/>
      <c r="M6" s="168"/>
      <c r="N6" s="4"/>
    </row>
    <row r="7" spans="1:15" ht="13.8" x14ac:dyDescent="0.25">
      <c r="A7" s="169" t="str">
        <f>+Инвойс!A7</f>
        <v>Шароф Рашидовский район, Токчилик МФЙ, ул Мустакиллик дом 92а</v>
      </c>
      <c r="B7" s="169"/>
      <c r="C7" s="169"/>
      <c r="D7" s="169"/>
      <c r="E7" s="169"/>
      <c r="F7" s="63"/>
      <c r="G7" s="168" t="str">
        <f>+Инвойс!G7</f>
        <v xml:space="preserve">Южное Тушино, ул Свободы, д. 35, стр. 43, помещ. 92/3 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69" t="str">
        <f>+Инвойс!A8</f>
        <v>Р/с N 20208840905433267001   (USD)</v>
      </c>
      <c r="B8" s="169"/>
      <c r="C8" s="169"/>
      <c r="D8" s="169"/>
      <c r="E8" s="169"/>
      <c r="F8" s="63"/>
      <c r="G8" s="168" t="str">
        <f>+Инвойс!G8</f>
        <v>Банк: Азия-Инвест Банк (АО) ИНН: 9705116064 КПП: 770501001</v>
      </c>
      <c r="H8" s="168"/>
      <c r="I8" s="168"/>
      <c r="J8" s="168"/>
      <c r="K8" s="168"/>
      <c r="L8" s="168"/>
      <c r="M8" s="168"/>
    </row>
    <row r="9" spans="1:15" ht="13.8" x14ac:dyDescent="0.25">
      <c r="A9" s="169" t="str">
        <f>+Инвойс!A9</f>
        <v xml:space="preserve">в “Узсаноаткурилиш” Банк операционный </v>
      </c>
      <c r="B9" s="169"/>
      <c r="C9" s="169"/>
      <c r="D9" s="169"/>
      <c r="E9" s="169"/>
      <c r="F9" s="7"/>
      <c r="G9" s="168" t="str">
        <f>+Инвойс!G9</f>
        <v xml:space="preserve">Р/Счет: 40702840100000019384 ; БИК:  044525234 </v>
      </c>
      <c r="H9" s="168"/>
      <c r="I9" s="168"/>
      <c r="J9" s="168"/>
      <c r="K9" s="168"/>
      <c r="L9" s="168"/>
      <c r="M9" s="168"/>
      <c r="O9" s="7"/>
    </row>
    <row r="10" spans="1:15" ht="13.8" x14ac:dyDescent="0.25">
      <c r="A10" s="169" t="str">
        <f>+Инвойс!A10</f>
        <v>МФО 00440</v>
      </c>
      <c r="B10" s="169"/>
      <c r="C10" s="169"/>
      <c r="D10" s="169"/>
      <c r="E10" s="169"/>
      <c r="F10" s="7"/>
      <c r="G10" s="168" t="str">
        <f>+Инвойс!G10</f>
        <v xml:space="preserve">Корр.счет: 30101810445250000234  </v>
      </c>
      <c r="H10" s="168"/>
      <c r="I10" s="168"/>
      <c r="J10" s="168"/>
      <c r="K10" s="168"/>
      <c r="L10" s="168"/>
      <c r="M10" s="168"/>
    </row>
    <row r="11" spans="1:15" ht="13.8" x14ac:dyDescent="0.25">
      <c r="A11" s="169" t="str">
        <f>+Инвойс!A11</f>
        <v>ИНН: 308822933</v>
      </c>
      <c r="B11" s="169"/>
      <c r="C11" s="169"/>
      <c r="D11" s="169"/>
      <c r="E11" s="169"/>
      <c r="F11" s="7"/>
      <c r="G11" s="168" t="str">
        <f>+Инвойс!G11</f>
        <v>(SWIFT code: ASIJRUMM)</v>
      </c>
      <c r="H11" s="168"/>
      <c r="I11" s="168"/>
      <c r="J11" s="168"/>
      <c r="K11" s="168"/>
      <c r="L11" s="168"/>
      <c r="M11" s="168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69" t="str">
        <f>+Инвойс!A15</f>
        <v>Республика Узбекистан, Джизакская область,</v>
      </c>
      <c r="B15" s="169"/>
      <c r="C15" s="169"/>
      <c r="D15" s="169"/>
      <c r="E15" s="169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3.8" x14ac:dyDescent="0.25">
      <c r="A16" s="169" t="str">
        <f>+Инвойс!A16</f>
        <v>Шароф Рашидовский район, Токчилик МФЙ, ул Мустакиллик дом 92а</v>
      </c>
      <c r="B16" s="169"/>
      <c r="C16" s="169"/>
      <c r="D16" s="169"/>
      <c r="E16" s="169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9" t="str">
        <f>+Инвойс!A17</f>
        <v>Р/с N 20208840905433267001   (USD)</v>
      </c>
      <c r="B17" s="169"/>
      <c r="C17" s="169"/>
      <c r="D17" s="169"/>
      <c r="E17" s="169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3.8" x14ac:dyDescent="0.25">
      <c r="A18" s="169" t="str">
        <f>+Инвойс!A18</f>
        <v xml:space="preserve">в “Узсаноаткурилиш” Банк операционный </v>
      </c>
      <c r="B18" s="169"/>
      <c r="C18" s="169"/>
      <c r="D18" s="169"/>
      <c r="E18" s="169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3.8" x14ac:dyDescent="0.25">
      <c r="A19" s="169" t="str">
        <f>+Инвойс!A19</f>
        <v>МФО 00440</v>
      </c>
      <c r="B19" s="169"/>
      <c r="C19" s="169"/>
      <c r="D19" s="169"/>
      <c r="E19" s="169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3.8" x14ac:dyDescent="0.25">
      <c r="A20" s="169" t="str">
        <f>+Инвойс!A20</f>
        <v>ИНН: 308822933</v>
      </c>
      <c r="B20" s="169"/>
      <c r="C20" s="169"/>
      <c r="D20" s="169"/>
      <c r="E20" s="169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3.8" x14ac:dyDescent="0.25">
      <c r="A21" s="169"/>
      <c r="B21" s="169"/>
      <c r="C21" s="169"/>
      <c r="D21" s="169"/>
      <c r="E21" s="169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tr">
        <f>+Инвойс!E26</f>
        <v>90438GBA/902016BA</v>
      </c>
      <c r="F26" s="152"/>
      <c r="G26" s="152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0.399999999999999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876</v>
      </c>
      <c r="F30" s="115" t="str">
        <f>+Инвойс!F30</f>
        <v>кг</v>
      </c>
      <c r="G30" s="106">
        <f>+Инвойс!G30</f>
        <v>21800</v>
      </c>
      <c r="H30" s="106">
        <f>+Инвойс!H30</f>
        <v>20223</v>
      </c>
      <c r="I30" s="108">
        <f>+Инвойс!I30</f>
        <v>0.2</v>
      </c>
      <c r="J30" s="13">
        <f>+Инвойс!J30</f>
        <v>4044.6000000000004</v>
      </c>
      <c r="K30" s="12">
        <v>0</v>
      </c>
      <c r="L30" s="12">
        <v>0</v>
      </c>
      <c r="M30" s="13">
        <f>+Инвойс!M30</f>
        <v>4044.6000000000004</v>
      </c>
      <c r="O30" s="100"/>
      <c r="Q30" s="100"/>
    </row>
    <row r="31" spans="1:17" ht="13.8" x14ac:dyDescent="0.25">
      <c r="A31" s="126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4" t="str">
        <f>+Инвойс!D31</f>
        <v>навалом</v>
      </c>
      <c r="E31" s="101" t="str">
        <f>+Инвойс!E31</f>
        <v>-</v>
      </c>
      <c r="F31" s="115" t="str">
        <f>+Инвойс!F31</f>
        <v>кг</v>
      </c>
      <c r="G31" s="106">
        <f>+Инвойс!G31</f>
        <v>1200</v>
      </c>
      <c r="H31" s="106">
        <f>+Инвойс!H31</f>
        <v>1200</v>
      </c>
      <c r="I31" s="108">
        <f>+Инвойс!I31</f>
        <v>0.2</v>
      </c>
      <c r="J31" s="13">
        <f>+Инвойс!J31</f>
        <v>240</v>
      </c>
      <c r="K31" s="12">
        <v>0</v>
      </c>
      <c r="L31" s="12">
        <v>0</v>
      </c>
      <c r="M31" s="13">
        <f>+Инвойс!M31</f>
        <v>240</v>
      </c>
      <c r="O31" s="100"/>
      <c r="Q31" s="100"/>
    </row>
    <row r="32" spans="1:17" ht="13.8" x14ac:dyDescent="0.25">
      <c r="A32" s="146" t="s">
        <v>0</v>
      </c>
      <c r="B32" s="147"/>
      <c r="C32" s="14"/>
      <c r="D32" s="15"/>
      <c r="E32" s="64">
        <f>SUM(E30:E31)</f>
        <v>876</v>
      </c>
      <c r="F32" s="15"/>
      <c r="G32" s="64">
        <f>SUM(G30:G31)</f>
        <v>23000</v>
      </c>
      <c r="H32" s="64">
        <f>SUM(H30:H31)</f>
        <v>21423</v>
      </c>
      <c r="I32" s="102"/>
      <c r="J32" s="17">
        <f>SUM(J30:J31)</f>
        <v>4284.6000000000004</v>
      </c>
      <c r="K32" s="16"/>
      <c r="L32" s="16"/>
      <c r="M32" s="17">
        <f>SUM(M30:M31)</f>
        <v>4284.6000000000004</v>
      </c>
      <c r="P32" s="66"/>
    </row>
    <row r="33" spans="1:14" ht="13.8" x14ac:dyDescent="0.3">
      <c r="A33" s="2" t="s">
        <v>17</v>
      </c>
      <c r="B33" s="3"/>
      <c r="C33" s="11"/>
      <c r="D33" s="11"/>
      <c r="E33" s="142" t="str">
        <f>Лист1!B3</f>
        <v>Четыре тысячи двести восемьдесят четыре доллара США,60 центов.</v>
      </c>
      <c r="F33" s="143"/>
      <c r="G33" s="143"/>
      <c r="H33" s="143"/>
      <c r="I33" s="143"/>
      <c r="J33" s="143"/>
      <c r="K33" s="143"/>
      <c r="L33" s="143"/>
      <c r="M33" s="143"/>
    </row>
    <row r="34" spans="1:14" ht="20.2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</row>
    <row r="35" spans="1:14" ht="25.5" customHeight="1" x14ac:dyDescent="0.25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26"/>
    </row>
    <row r="37" spans="1:14" ht="15.6" x14ac:dyDescent="0.3">
      <c r="A37" s="7" t="s">
        <v>157</v>
      </c>
      <c r="B37" s="7"/>
      <c r="D37" s="25" t="s">
        <v>156</v>
      </c>
      <c r="E37" s="24"/>
      <c r="G37" s="128" t="s">
        <v>145</v>
      </c>
      <c r="H37" t="str">
        <f>Инвойс!G5</f>
        <v>ООО ТД «РЕСУРС»</v>
      </c>
      <c r="K37" s="129" t="s">
        <v>146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Инвойс!M32</f>
        <v>4284.6000000000004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восемьдесят четыре доллара США,60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45879</v>
      </c>
      <c r="O3" s="175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восемьдесят четыре доллара США,60 центов. (в т.ч. НДС - 357,79)</v>
      </c>
      <c r="H4" s="32"/>
      <c r="I4" s="32"/>
      <c r="J4" s="32"/>
      <c r="K4" s="176" t="str">
        <f ca="1">CONCATENATE(" «  ",P3,"  »  ",Q3,"  ",R3," г.")</f>
        <v xml:space="preserve"> «  10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восемьдесят четыре доллара США,60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восемьдесят четыре доллара США,60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восемьдесят четыре доллара США,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60 центов.</v>
      </c>
      <c r="D12" s="47"/>
      <c r="E12" s="48"/>
      <c r="M12" s="50">
        <f ca="1">TODAY()</f>
        <v>45879</v>
      </c>
    </row>
    <row r="13" spans="1:19" s="43" customFormat="1" x14ac:dyDescent="0.25">
      <c r="A13" s="49"/>
      <c r="D13" s="51"/>
      <c r="E13" s="52">
        <f>TRUNC(E2)</f>
        <v>4284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4284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284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60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2025-08-10T08:15:59Z</cp:lastPrinted>
  <dcterms:created xsi:type="dcterms:W3CDTF">1996-10-14T23:33:28Z</dcterms:created>
  <dcterms:modified xsi:type="dcterms:W3CDTF">2025-08-10T08:16:19Z</dcterms:modified>
</cp:coreProperties>
</file>