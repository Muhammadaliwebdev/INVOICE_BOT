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46D6C9-B91C-4408-98A2-C11662DB8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<sst xmlns="http://schemas.openxmlformats.org/spreadsheetml/2006/main" count="213" uniqueCount="163">
  <si>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</si>
  <si>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</si>
  <si>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</si>
  <si>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</si>
  <si>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</si>
  <si>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</si>
  <si>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</si>
  <si>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</si>
  <si>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</si>
  <si>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</si>
  <si>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</si>
  <si>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</si>
  <si>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</si>
  <si>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</si>
  <si>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</si>
  <si>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</si>
  <si>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</si>
  <si>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</si>
  <si>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</si>
  <si>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</si>
  <si>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</si>
  <si>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</si>
  <si>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</si>
  <si>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</si>
  <si>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</si>
  <si>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</si>
  <si>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</si>
  <si>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</si>
  <si>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</si>
  <si>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</si>
  <si>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</si>
  <si>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</si>
  <si>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</si>
  <si>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</si>
  <si>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</si>
  <si>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</si>
  <si>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</si>
  <si>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</si>
  <si>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</si>
  <si>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</si>
  <si>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</si>
  <si>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</si>
  <si>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</si>
  <si>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</si>
  <si>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</si>
  <si>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</si>
  <si>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</si>
  <si>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</si>
  <si>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</si>
  <si>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</si>
  <si>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</si>
  <si>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</si>
  <si>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</si>
  <si>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</si>
  <si>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</si>
  <si>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</si>
  <si>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</si>
  <si>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</si>
  <si>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</si>
  <si>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</si>
  <si>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</si>
  <si>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</si>
  <si>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</si>
  <si>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</si>
  <si>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</si>
  <si>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</si>
  <si>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</si>
  <si>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</si>
  <si>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</si>
  <si>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</si>
  <si>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</si>
  <si>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</si>
  <si>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</si>
  <si>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</si>
  <si>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</si>
  <si>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</si>
  <si>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</si>
  <si>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</si>
  <si>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</si>
  <si>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</si>
  <si>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</si>
  <si>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</si>
  <si>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</si>
  <si>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</si>
  <si>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</si>
  <si>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</si>
  <si>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</si>
  <si>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</si>
  <si>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</si>
  <si>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</si>
  <si>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</si>
  <si>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</si>
  <si>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</si>
  <si>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</si>
  <si>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</si>
  <si>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</si>
  <si>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</si>
  <si>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</si>
  <si>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</si>
  <si>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</si>
  <si>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</si>
  <si>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</si>
  <si>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</si>
  <si>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</si>
  <si>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</si>
  <si>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</si>
  <si>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</si>
  <si>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</si>
  <si>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</si>
  <si>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</si>
  <si>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</si>
  <si>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</si>
  <si>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</si>
  <si>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</si>
  <si>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</si>
  <si>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</si>
  <si>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</si>
  <si>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</si>
  <si>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</si>
  <si>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</si>
  <si>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</si>
  <si>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</si>
  <si>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</si>
  <si>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</si>
  <si>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</si>
  <si>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</si>
  <si>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</si>
  <si>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</si>
  <si>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</si>
  <si>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</si>
  <si>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</si>
  <si>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</si>
  <si>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</si>
  <si>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</si>
  <si>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</si>
  <si>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</si>
  <si>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</si>
  <si>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</si>
  <si>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</si>
  <si>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</si>
  <si>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</si>
  <si>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</si>
  <si>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</si>
  <si>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</si>
  <si>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</si>
  <si>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</si>
  <si>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</si>
  <si>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</si>
  <si>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</si>
  <si>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</si>
  <si>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</si>
  <si>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</si>
  <si>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</si>
  <si>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</si>
  <si>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</si>
  <si>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</si>
  <si>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</si>
  <si>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MEG-O-79 от </t>
  </si>
  <si>
    <t xml:space="preserve"> 09.09.2025г.</t>
  </si>
  <si>
    <t>01479NLA/016978BA</t>
  </si>
  <si>
    <t>-</t>
  </si>
  <si>
    <t xml:space="preserve">СПЕЦИФИКАЦИЯ № MEG-O-79 от </t>
  </si>
  <si>
    <t>Навалом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</si>
</sst>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37</xdr:row>
      <xdr:rowOff>78441</xdr:rowOff>
    </xdr:from>
    <xdr:to>
      <xdr:col>9</xdr:col>
      <xdr:colOff>589990</xdr:colOff>
      <xdr:row>49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157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136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128</v>
      </c>
      <c r="B5" s="137"/>
      <c r="C5" s="137"/>
      <c r="D5" s="137"/>
      <c r="E5" s="137"/>
      <c r="F5" s="6"/>
      <c r="G5" s="139" t="s">
        <v>137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129</v>
      </c>
      <c r="B6" s="125"/>
      <c r="C6" s="125"/>
      <c r="D6" s="125"/>
      <c r="E6" s="125"/>
      <c r="F6" s="7"/>
      <c r="G6" s="141" t="s">
        <v>138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134</v>
      </c>
      <c r="B7" s="125"/>
      <c r="C7" s="125"/>
      <c r="D7" s="125"/>
      <c r="E7" s="125"/>
      <c r="F7" s="63"/>
      <c r="G7" s="141" t="s">
        <v>139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132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144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128</v>
      </c>
      <c r="B14" s="137"/>
      <c r="C14" s="137"/>
      <c r="D14" s="137"/>
      <c r="E14" s="137"/>
      <c r="F14" s="6"/>
      <c r="G14" s="139" t="s">
        <v>137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129</v>
      </c>
      <c r="B15" s="125"/>
      <c r="C15" s="125"/>
      <c r="D15" s="125"/>
      <c r="E15" s="125"/>
      <c r="F15" s="7"/>
      <c r="G15" s="141" t="s">
        <v>138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134</v>
      </c>
      <c r="B16" s="125"/>
      <c r="C16" s="125"/>
      <c r="D16" s="125"/>
      <c r="E16" s="125"/>
      <c r="F16" s="63"/>
      <c r="G16" s="141" t="s">
        <v>139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131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132</v>
      </c>
      <c r="B19" s="125"/>
      <c r="C19" s="125"/>
      <c r="D19" s="125"/>
      <c r="E19" s="125"/>
      <c r="F19" s="7"/>
      <c r="G19" s="7" t="s">
        <v>142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144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115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159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995</v>
      </c>
      <c r="F30" s="110" t="s">
        <v>27</v>
      </c>
      <c r="G30" s="106">
        <v>22600</v>
      </c>
      <c r="H30" s="106">
        <v>20809</v>
      </c>
      <c r="I30" s="108">
        <v>0.25</v>
      </c>
      <c r="J30" s="13">
        <f t="shared" ref="J30:J31" si="0">H30*I30</f>
        <v>5202.25</v>
      </c>
      <c r="K30" s="12">
        <v>0</v>
      </c>
      <c r="L30" s="12">
        <v>0</v>
      </c>
      <c r="M30" s="13">
        <f t="shared" ref="M30:M31" si="1">J30</f>
        <v>5202.25</v>
      </c>
      <c r="O30" s="100"/>
      <c r="Q30" s="100"/>
    </row>
    <row r="31" spans="1:17" ht="13.8" x14ac:dyDescent="0.25">
      <c r="A31" s="128">
        <v>2</v>
      </c>
      <c r="B31" s="101" t="s">
        <v>123</v>
      </c>
      <c r="C31" s="107" t="s">
        <v>124</v>
      </c>
      <c r="D31" s="109" t="s">
        <v>162</v>
      </c>
      <c r="E31" s="101" t="s">
        <v>160</v>
      </c>
      <c r="F31" s="116" t="s">
        <v>27</v>
      </c>
      <c r="G31" s="106">
        <v>300</v>
      </c>
      <c r="H31" s="106">
        <v>300</v>
      </c>
      <c r="I31" s="108">
        <v>0.25</v>
      </c>
      <c r="J31" s="13">
        <f t="shared" si="0"/>
        <v>75</v>
      </c>
      <c r="K31" s="12">
        <v>0</v>
      </c>
      <c r="L31" s="12">
        <v>0</v>
      </c>
      <c r="M31" s="13">
        <f t="shared" si="1"/>
        <v>75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995</v>
      </c>
      <c r="F32" s="15"/>
      <c r="G32" s="64">
        <f>SUM(G30:G31)</f>
        <v>22900</v>
      </c>
      <c r="H32" s="64">
        <f>SUM(H30:H31)</f>
        <v>21109</v>
      </c>
      <c r="I32" s="102"/>
      <c r="J32" s="17">
        <f>SUM(J30:J31)</f>
        <v>5277.25</v>
      </c>
      <c r="K32" s="16"/>
      <c r="L32" s="16"/>
      <c r="M32" s="17">
        <f>SUM(M30:M31)</f>
        <v>5277.25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двести семьдесят семь долларов США, 25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3.8" x14ac:dyDescent="0.25">
      <c r="A37" s="7" t="s">
        <v>28</v>
      </c>
      <c r="B37" s="7"/>
      <c r="D37" s="25" t="s">
        <v>133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F38" sqref="F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MEG-O-79 от  09.09.2025г.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147</v>
      </c>
      <c r="D49" s="159" t="str">
        <f>+C22</f>
        <v xml:space="preserve"> 09.09.2025г.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01479NLA/016978BA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01479NLA/016978BA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MEG-O-79 от  09.09.2025г.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995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22600</v>
      </c>
    </row>
    <row r="20" spans="2:10" ht="13.5" customHeight="1" x14ac:dyDescent="0.3">
      <c r="B20" s="83"/>
      <c r="E20" s="123"/>
      <c r="F20" s="118" t="str">
        <f>+Инвойс!E31</f>
        <v>-</v>
      </c>
      <c r="G20" s="166" t="str">
        <f>+CMR!F31</f>
        <v>Дыни свежие</v>
      </c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0" t="str">
        <f>+Инвойс!C31</f>
        <v>0807190001</v>
      </c>
      <c r="H21" s="161"/>
      <c r="I21" s="122" t="s">
        <v>103</v>
      </c>
      <c r="J21" s="120">
        <f>+Инвойс!G31</f>
        <v>300</v>
      </c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v>995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0" zoomScale="85" zoomScaleNormal="85" workbookViewId="0">
      <selection activeCell="G32" sqref="G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5" t="str">
        <f>+Инвойс!F1</f>
        <v xml:space="preserve"> 09.09.2025г.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GR-MG-01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ООО «MEGA EXIMPORT»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/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>ООО «MEGA EXIMPORT»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/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01479NLA/016978BA</v>
      </c>
      <c r="F26" s="155"/>
      <c r="G26" s="155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995</v>
      </c>
      <c r="F30" s="116" t="str">
        <f>+Инвойс!F30</f>
        <v>кг</v>
      </c>
      <c r="G30" s="106">
        <f>+Инвойс!G30</f>
        <v>22600</v>
      </c>
      <c r="H30" s="106">
        <f>+Инвойс!H30</f>
        <v>20809</v>
      </c>
      <c r="I30" s="108">
        <f>+Инвойс!I30</f>
        <v>0.25</v>
      </c>
      <c r="J30" s="13">
        <f>+Инвойс!J30</f>
        <v>5202.25</v>
      </c>
      <c r="K30" s="12">
        <v>0</v>
      </c>
      <c r="L30" s="12">
        <v>0</v>
      </c>
      <c r="M30" s="13">
        <f>+Инвойс!M30</f>
        <v>5202.25</v>
      </c>
      <c r="O30" s="100"/>
      <c r="Q30" s="100"/>
    </row>
    <row r="31" spans="1:17" ht="13.8" x14ac:dyDescent="0.25">
      <c r="A31" s="128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300</v>
      </c>
      <c r="H31" s="106">
        <f>+Инвойс!H31</f>
        <v>300</v>
      </c>
      <c r="I31" s="108">
        <f>+Инвойс!I31</f>
        <v>0.25</v>
      </c>
      <c r="J31" s="13">
        <f>+Инвойс!J31</f>
        <v>75</v>
      </c>
      <c r="K31" s="12">
        <v>0</v>
      </c>
      <c r="L31" s="12">
        <v>0</v>
      </c>
      <c r="M31" s="13">
        <f>+Инвойс!M31</f>
        <v>75</v>
      </c>
      <c r="O31" s="100"/>
      <c r="Q31" s="100"/>
    </row>
    <row r="32" spans="1:17" ht="13.8" x14ac:dyDescent="0.25">
      <c r="A32" s="149" t="s">
        <v>0</v>
      </c>
      <c r="B32" s="150"/>
      <c r="C32" s="14"/>
      <c r="D32" s="15"/>
      <c r="E32" s="64">
        <f>SUM(E30:E31)</f>
        <v>995</v>
      </c>
      <c r="F32" s="15"/>
      <c r="G32" s="64">
        <f>SUM(G30:G31)</f>
        <v>22900</v>
      </c>
      <c r="H32" s="64">
        <f>SUM(H30:H31)</f>
        <v>21109</v>
      </c>
      <c r="I32" s="102"/>
      <c r="J32" s="17">
        <f>SUM(J30:J31)</f>
        <v>5277.25</v>
      </c>
      <c r="K32" s="16"/>
      <c r="L32" s="16"/>
      <c r="M32" s="17">
        <f>SUM(M30:M31)</f>
        <v>5277.25</v>
      </c>
      <c r="P32" s="66"/>
    </row>
    <row r="33" spans="1:14" ht="13.8" x14ac:dyDescent="0.3">
      <c r="A33" s="2" t="s">
        <v>17</v>
      </c>
      <c r="B33" s="3"/>
      <c r="C33" s="11"/>
      <c r="D33" s="11"/>
      <c r="E33" s="145" t="str">
        <f>Лист1!B3</f>
        <v>Пять тысяч двести семьдесят семь долларов США, 25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6" x14ac:dyDescent="0.3">
      <c r="A37" s="132" t="s">
        <v>135</v>
      </c>
      <c r="B37" s="132"/>
      <c r="D37" s="18" t="str">
        <f>+Инвойс!D37</f>
        <v>Эргашев О.Р</v>
      </c>
      <c r="E37" s="133"/>
      <c r="G37" s="130" t="s">
        <v>126</v>
      </c>
      <c r="H37" s="18" t="str">
        <f>Инвойс!G5</f>
        <v>ООО «ГРИН ВОРЛД»</v>
      </c>
      <c r="K37" s="134" t="s">
        <v>145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153</v>
      </c>
    </row>
    <row r="6" spans="1:10" x14ac:dyDescent="0.25">
      <c r="E6" s="18" t="s">
        <v>154</v>
      </c>
      <c r="J6" s="25" t="s">
        <v>148</v>
      </c>
    </row>
    <row r="7" spans="1:10" ht="52.8" x14ac:dyDescent="0.25">
      <c r="A7" s="127" t="s">
        <v>115</v>
      </c>
    </row>
    <row r="8" spans="1:10" x14ac:dyDescent="0.25">
      <c r="E8" s="18" t="s">
        <v>155</v>
      </c>
      <c r="J8" s="25" t="s">
        <v>149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155</v>
      </c>
      <c r="J10" s="25" t="s">
        <v>150</v>
      </c>
    </row>
    <row r="11" spans="1:10" ht="52.8" x14ac:dyDescent="0.25">
      <c r="A11" s="127" t="s">
        <v>152</v>
      </c>
    </row>
    <row r="12" spans="1:10" x14ac:dyDescent="0.25">
      <c r="E12" s="18" t="s">
        <v>156</v>
      </c>
      <c r="J12" s="25" t="s">
        <v>151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5277.25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семьдесят семь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семьдесят семь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семьдесят семь долларов США, 25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семьдесят семь долларов США, 25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25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5277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5277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2025-09-09T12:06:42Z</cp:lastPrinted>
  <dcterms:created xsi:type="dcterms:W3CDTF">1996-10-14T23:33:28Z</dcterms:created>
  <dcterms:modified xsi:type="dcterms:W3CDTF">2025-09-09T12:06:45Z</dcterms:modified>
</cp:coreProperties>
</file>