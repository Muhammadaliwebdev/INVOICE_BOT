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C36DFF48-5247-4C63-9240-6B894489A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<sst xmlns="http://schemas.openxmlformats.org/spreadsheetml/2006/main" count="211" uniqueCount="164">
  <si>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</si>
  <si>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</si>
  <si>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</si>
  <si>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</si>
  <si>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</si>
  <si>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</si>
  <si>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</si>
  <si>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</si>
  <si>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</si>
  <si>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</si>
  <si>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</si>
  <si>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</si>
  <si>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</si>
  <si>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</si>
  <si>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</si>
  <si>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</si>
  <si>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</si>
  <si>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</si>
  <si>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</si>
  <si>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</si>
  <si>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</si>
  <si>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</si>
  <si>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</si>
  <si>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</si>
  <si>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</si>
  <si>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</si>
  <si>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</si>
  <si>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</si>
  <si>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</si>
  <si>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</si>
  <si>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</si>
  <si>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</si>
  <si>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</si>
  <si>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</si>
  <si>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</si>
  <si>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</si>
  <si>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</si>
  <si>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</si>
  <si>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</si>
  <si>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</si>
  <si>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</si>
  <si>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</si>
  <si>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</si>
  <si>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</si>
  <si>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</si>
  <si>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</si>
  <si>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</si>
  <si>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</si>
  <si>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</si>
  <si>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</si>
  <si>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</si>
  <si>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</si>
  <si>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</si>
  <si>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</si>
  <si>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</si>
  <si>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</si>
  <si>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</si>
  <si>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</si>
  <si>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</si>
  <si>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</si>
  <si>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</si>
  <si>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</si>
  <si>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</si>
  <si>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</si>
  <si>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</si>
  <si>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</si>
  <si>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</si>
  <si>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</si>
  <si>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</si>
  <si>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</si>
  <si>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</si>
  <si>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</si>
  <si>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</si>
  <si>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</si>
  <si>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</si>
  <si>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</si>
  <si>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</si>
  <si>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</si>
  <si>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</si>
  <si>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</si>
  <si>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</si>
  <si>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</si>
  <si>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</si>
  <si>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</si>
  <si>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</si>
  <si>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</si>
  <si>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</si>
  <si>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</si>
  <si>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</si>
  <si>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</si>
  <si>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</si>
  <si>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</si>
  <si>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</si>
  <si>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</si>
  <si>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</si>
  <si>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</si>
  <si>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</si>
  <si>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</si>
  <si>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</si>
  <si>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</si>
  <si>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</si>
  <si>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</si>
  <si>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</si>
  <si>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</si>
  <si>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</si>
  <si>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</si>
  <si>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</si>
  <si>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</si>
  <si>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</si>
  <si>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</si>
  <si>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</si>
  <si>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</si>
  <si>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</si>
  <si>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</si>
  <si>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</si>
  <si>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</si>
  <si>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</si>
  <si>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</si>
  <si>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</si>
  <si>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</si>
  <si>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</si>
  <si>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</si>
  <si>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</si>
  <si>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</si>
  <si>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</si>
  <si>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</si>
  <si>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</si>
  <si>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</si>
  <si>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</si>
  <si>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</si>
  <si>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</si>
  <si>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</si>
  <si>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</si>
  <si>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</si>
  <si>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</si>
  <si>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</si>
  <si>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</si>
  <si>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</si>
  <si>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</si>
  <si>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</si>
  <si>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</si>
  <si>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</si>
  <si>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</si>
  <si>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</si>
  <si>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</si>
  <si>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</si>
  <si>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</si>
  <si>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</si>
  <si>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</si>
  <si>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</si>
  <si>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</si>
  <si>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</si>
  <si>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</si>
  <si>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</si>
  <si>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</si>
  <si>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</si>
  <si>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</si>
  <si>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</si>
  <si>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</si>
  <si>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</si>
  <si>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</si>
  <si>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UFG-M-60 от </t>
  </si>
  <si>
    <t xml:space="preserve">СПЕЦИФИКАЦИЯ № UFG-M-60 от </t>
  </si>
  <si>
    <t>10V938BB/105492BA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</si>
</sst>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161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151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152</v>
      </c>
      <c r="B5" s="135"/>
      <c r="C5" s="135"/>
      <c r="D5" s="135"/>
      <c r="E5" s="135"/>
      <c r="F5" s="6"/>
      <c r="G5" s="137" t="s">
        <v>139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147</v>
      </c>
      <c r="B6" s="142"/>
      <c r="C6" s="142"/>
      <c r="D6" s="142"/>
      <c r="E6" s="142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153</v>
      </c>
      <c r="B7" s="142"/>
      <c r="C7" s="142"/>
      <c r="D7" s="142"/>
      <c r="E7" s="142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149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38" t="s">
        <v>145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152</v>
      </c>
      <c r="B14" s="135"/>
      <c r="C14" s="135"/>
      <c r="D14" s="135"/>
      <c r="E14" s="135"/>
      <c r="F14" s="6"/>
      <c r="G14" s="137" t="s">
        <v>139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147</v>
      </c>
      <c r="B15" s="142"/>
      <c r="C15" s="142"/>
      <c r="D15" s="142"/>
      <c r="E15" s="142"/>
      <c r="F15" s="7"/>
      <c r="G15" s="139" t="s">
        <v>140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153</v>
      </c>
      <c r="B16" s="142"/>
      <c r="C16" s="142"/>
      <c r="D16" s="142"/>
      <c r="E16" s="142"/>
      <c r="F16" s="63"/>
      <c r="G16" s="139" t="s">
        <v>141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149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38" t="s">
        <v>145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117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163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948</v>
      </c>
      <c r="F30" s="115" t="s">
        <v>27</v>
      </c>
      <c r="G30" s="106">
        <v>22501</v>
      </c>
      <c r="H30" s="106">
        <v>20795</v>
      </c>
      <c r="I30" s="108">
        <v>0.25</v>
      </c>
      <c r="J30" s="13">
        <f t="shared" ref="J30" si="0">H30*I30</f>
        <v>5198.75</v>
      </c>
      <c r="K30" s="12">
        <v>0</v>
      </c>
      <c r="L30" s="12">
        <v>0</v>
      </c>
      <c r="M30" s="13">
        <f t="shared" ref="M30" si="1">J30</f>
        <v>5198.75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948</v>
      </c>
      <c r="F31" s="15"/>
      <c r="G31" s="64">
        <f>SUM(G30:G30)</f>
        <v>22501</v>
      </c>
      <c r="H31" s="64">
        <f>SUM(H30:H30)</f>
        <v>20795</v>
      </c>
      <c r="I31" s="102"/>
      <c r="J31" s="17">
        <f>SUM(J30:J30)</f>
        <v>5198.75</v>
      </c>
      <c r="K31" s="16"/>
      <c r="L31" s="16"/>
      <c r="M31" s="17">
        <f>SUM(M30:M30)</f>
        <v>5198.75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сто девяносто восемь долларов США, 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UFG-M-60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948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22501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10V938BB/105492BA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10V938BB/105492BA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UFG-M-60 от  04.09.2025г.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948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22501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948</v>
      </c>
      <c r="E47" s="142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55" zoomScaleNormal="5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3" t="str">
        <f>+Инвойс!F1</f>
        <v xml:space="preserve"> 04.09.2025г.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10V938BB/105492BA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948</v>
      </c>
      <c r="F30" s="115" t="str">
        <f>+Инвойс!F30</f>
        <v>кг</v>
      </c>
      <c r="G30" s="106">
        <f>+Инвойс!G30</f>
        <v>22501</v>
      </c>
      <c r="H30" s="106">
        <f>+Инвойс!H30</f>
        <v>20795</v>
      </c>
      <c r="I30" s="108">
        <f>+Инвойс!I30</f>
        <v>0.25</v>
      </c>
      <c r="J30" s="13">
        <f>+Инвойс!J30</f>
        <v>5198.75</v>
      </c>
      <c r="K30" s="12">
        <v>0</v>
      </c>
      <c r="L30" s="12">
        <v>0</v>
      </c>
      <c r="M30" s="13">
        <f>+Инвойс!M30</f>
        <v>5198.75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948</v>
      </c>
      <c r="F31" s="15"/>
      <c r="G31" s="64">
        <f>SUM(G30:G30)</f>
        <v>22501</v>
      </c>
      <c r="H31" s="64">
        <f>SUM(H30:H30)</f>
        <v>20795</v>
      </c>
      <c r="I31" s="102"/>
      <c r="J31" s="17">
        <f>SUM(J30:J30)</f>
        <v>5198.75</v>
      </c>
      <c r="K31" s="16"/>
      <c r="L31" s="16"/>
      <c r="M31" s="17">
        <f>SUM(M30:M30)</f>
        <v>5198.75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сто девяносто восемь долларов США, 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157</v>
      </c>
      <c r="B36" s="130"/>
      <c r="D36" s="18" t="str">
        <f>+Инвойс!D36</f>
        <v>ЭШТЕМИРОВ Х.Х</v>
      </c>
      <c r="E36" s="131"/>
      <c r="G36" s="128" t="s">
        <v>129</v>
      </c>
      <c r="H36" s="18" t="str">
        <f>Инвойс!G5</f>
        <v>ООО «ГРИН ВОРЛД»</v>
      </c>
      <c r="K36" s="132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160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5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133</v>
      </c>
      <c r="J10" s="25" t="s">
        <v>134</v>
      </c>
    </row>
    <row r="11" spans="1:10" ht="52.8" x14ac:dyDescent="0.25">
      <c r="A11" s="125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5198.75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девяносто восемь долларов США, 75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45904</v>
      </c>
      <c r="O3" s="176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девяносто восемь долларов США, 75 центов. (в т.ч. НДС - 357,79)</v>
      </c>
      <c r="H4" s="32"/>
      <c r="I4" s="32"/>
      <c r="J4" s="32"/>
      <c r="K4" s="177" t="str">
        <f ca="1">CONCATENATE(" «  ",P3,"  »  ",Q3,"  ",R3," г.")</f>
        <v xml:space="preserve"> «  4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девяносто восемь долларов США, 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девяносто восемь долларов США, 75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девяносто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5198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5198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2025-09-04T14:18:41Z</cp:lastPrinted>
  <dcterms:created xsi:type="dcterms:W3CDTF">1996-10-14T23:33:28Z</dcterms:created>
  <dcterms:modified xsi:type="dcterms:W3CDTF">2025-09-04T14:18:47Z</dcterms:modified>
</cp:coreProperties>
</file>