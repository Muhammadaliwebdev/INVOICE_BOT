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<sst xmlns="http://schemas.openxmlformats.org/spreadsheetml/2006/main" count="211" uniqueCount="164">
  <si>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</si>
  <si>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</si>
  <si>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</si>
  <si>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</si>
  <si>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</si>
  <si>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</si>
  <si>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</si>
  <si>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</si>
  <si>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</si>
  <si>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</si>
  <si>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</si>
  <si>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</si>
  <si>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</si>
  <si>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</si>
  <si>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</si>
  <si>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</si>
  <si>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</si>
  <si>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</si>
  <si>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</si>
  <si>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</si>
  <si>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</si>
  <si>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</si>
  <si>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</si>
  <si>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</si>
  <si>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</si>
  <si>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</si>
  <si>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</si>
  <si>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</si>
  <si>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</si>
  <si>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</si>
  <si>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</si>
  <si>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</si>
  <si>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</si>
  <si>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</si>
  <si>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</si>
  <si>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</si>
  <si>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</si>
  <si>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</si>
  <si>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</si>
  <si>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</si>
  <si>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</si>
  <si>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</si>
  <si>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</si>
  <si>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</si>
  <si>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</si>
  <si>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</si>
  <si>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</si>
  <si>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</si>
  <si>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</si>
  <si>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</si>
  <si>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</si>
  <si>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</si>
  <si>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</si>
  <si>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</si>
  <si>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</si>
  <si>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</si>
  <si>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</si>
  <si>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</si>
  <si>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</si>
  <si>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</si>
  <si>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</si>
  <si>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</si>
  <si>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</si>
  <si>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</si>
  <si>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</si>
  <si>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</si>
  <si>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</si>
  <si>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</si>
  <si>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</si>
  <si>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</si>
  <si>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</si>
  <si>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</si>
  <si>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</si>
  <si>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</si>
  <si>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</si>
  <si>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</si>
  <si>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</si>
  <si>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</si>
  <si>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</si>
  <si>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</si>
  <si>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</si>
  <si>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</si>
  <si>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</si>
  <si>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</si>
  <si>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</si>
  <si>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</si>
  <si>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</si>
  <si>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</si>
  <si>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</si>
  <si>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</si>
  <si>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</si>
  <si>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</si>
  <si>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</si>
  <si>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</si>
  <si>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</si>
  <si>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</si>
  <si>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</si>
  <si>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</si>
  <si>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</si>
  <si>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</si>
  <si>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</si>
  <si>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</si>
  <si>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</si>
  <si>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</si>
  <si>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</si>
  <si>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</si>
  <si>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</si>
  <si>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</si>
  <si>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</si>
  <si>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</si>
  <si>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</si>
  <si>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</si>
  <si>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</si>
  <si>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</si>
  <si>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</si>
  <si>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</si>
  <si>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</si>
  <si>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</si>
  <si>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</si>
  <si>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</si>
  <si>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</si>
  <si>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</si>
  <si>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</si>
  <si>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</si>
  <si>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</si>
  <si>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</si>
  <si>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</si>
  <si>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</si>
  <si>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</si>
  <si>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</si>
  <si>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</si>
  <si>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</si>
  <si>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</si>
  <si>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</si>
  <si>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</si>
  <si>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</si>
  <si>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</si>
  <si>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</si>
  <si>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</si>
  <si>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</si>
  <si>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</si>
  <si>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</si>
  <si>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</si>
  <si>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</si>
  <si>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</si>
  <si>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</si>
  <si>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</si>
  <si>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</si>
  <si>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</si>
  <si>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</si>
  <si>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</si>
  <si>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</si>
  <si>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</si>
  <si>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</si>
  <si>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</si>
  <si>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</si>
  <si>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</si>
  <si>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</si>
  <si>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</si>
  <si>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28.08.2025г.</t>
  </si>
  <si>
    <t xml:space="preserve">ИНВОЙС № UFG-M-22 от </t>
  </si>
  <si>
    <t>01L514HA/015776AA</t>
  </si>
  <si>
    <t xml:space="preserve">СПЕЦИФИКАЦИЯ № UFG-M-22 от </t>
  </si>
  <si>
    <t>Карт.Коробок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</si>
</sst>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151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152</v>
      </c>
      <c r="B5" s="135"/>
      <c r="C5" s="135"/>
      <c r="D5" s="135"/>
      <c r="E5" s="135"/>
      <c r="F5" s="6"/>
      <c r="G5" s="137" t="s">
        <v>139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147</v>
      </c>
      <c r="B6" s="142"/>
      <c r="C6" s="142"/>
      <c r="D6" s="142"/>
      <c r="E6" s="142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153</v>
      </c>
      <c r="B7" s="142"/>
      <c r="C7" s="142"/>
      <c r="D7" s="142"/>
      <c r="E7" s="142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149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38" t="s">
        <v>145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152</v>
      </c>
      <c r="B14" s="135"/>
      <c r="C14" s="135"/>
      <c r="D14" s="135"/>
      <c r="E14" s="135"/>
      <c r="F14" s="6"/>
      <c r="G14" s="137" t="s">
        <v>139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147</v>
      </c>
      <c r="B15" s="142"/>
      <c r="C15" s="142"/>
      <c r="D15" s="142"/>
      <c r="E15" s="142"/>
      <c r="F15" s="7"/>
      <c r="G15" s="139" t="s">
        <v>140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153</v>
      </c>
      <c r="B16" s="142"/>
      <c r="C16" s="142"/>
      <c r="D16" s="142"/>
      <c r="E16" s="142"/>
      <c r="F16" s="63"/>
      <c r="G16" s="139" t="s">
        <v>141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149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155</v>
      </c>
      <c r="B21" s="8"/>
      <c r="C21" s="8"/>
      <c r="D21" s="8"/>
      <c r="E21" s="8"/>
      <c r="G21" s="138" t="s">
        <v>145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122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163</v>
      </c>
      <c r="E30" s="101">
        <v>869</v>
      </c>
      <c r="F30" s="115" t="s">
        <v>27</v>
      </c>
      <c r="G30" s="106">
        <v>22600</v>
      </c>
      <c r="H30" s="106">
        <v>21036</v>
      </c>
      <c r="I30" s="108">
        <v>0.25</v>
      </c>
      <c r="J30" s="13">
        <f t="shared" ref="J30" si="0">H30*I30</f>
        <v>5259</v>
      </c>
      <c r="K30" s="12">
        <v>0</v>
      </c>
      <c r="L30" s="12">
        <v>0</v>
      </c>
      <c r="M30" s="13">
        <f t="shared" ref="M30" si="1">J30</f>
        <v>5259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869</v>
      </c>
      <c r="F31" s="15"/>
      <c r="G31" s="64">
        <f>SUM(G30:G30)</f>
        <v>22600</v>
      </c>
      <c r="H31" s="64">
        <f>SUM(H30:H30)</f>
        <v>21036</v>
      </c>
      <c r="I31" s="102"/>
      <c r="J31" s="17">
        <f>SUM(J30:J30)</f>
        <v>5259</v>
      </c>
      <c r="K31" s="16"/>
      <c r="L31" s="16"/>
      <c r="M31" s="17">
        <f>SUM(M30:M30)</f>
        <v>5259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пятьдесят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UFG-M-22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869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01L514HA/015776AA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01L514HA/015776AA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UFG-M-22 от  28.08.2025г.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869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869</v>
      </c>
      <c r="E47" s="142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28.08.2025г.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01L514HA/015776AA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869</v>
      </c>
      <c r="F30" s="115" t="str">
        <f>+Инвойс!F30</f>
        <v>кг</v>
      </c>
      <c r="G30" s="106">
        <f>+Инвойс!G30</f>
        <v>22600</v>
      </c>
      <c r="H30" s="106">
        <f>+Инвойс!H30</f>
        <v>21036</v>
      </c>
      <c r="I30" s="108">
        <f>+Инвойс!I30</f>
        <v>0.25</v>
      </c>
      <c r="J30" s="13">
        <f>+Инвойс!J30</f>
        <v>5259</v>
      </c>
      <c r="K30" s="12">
        <v>0</v>
      </c>
      <c r="L30" s="12">
        <v>0</v>
      </c>
      <c r="M30" s="13">
        <f>+Инвойс!M30</f>
        <v>5259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869</v>
      </c>
      <c r="F31" s="15"/>
      <c r="G31" s="64">
        <f>SUM(G30:G30)</f>
        <v>22600</v>
      </c>
      <c r="H31" s="64">
        <f>SUM(H30:H30)</f>
        <v>21036</v>
      </c>
      <c r="I31" s="102"/>
      <c r="J31" s="17">
        <f>SUM(J30:J30)</f>
        <v>5259</v>
      </c>
      <c r="K31" s="16"/>
      <c r="L31" s="16"/>
      <c r="M31" s="17">
        <f>SUM(M30:M30)</f>
        <v>5259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пятьдесят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157</v>
      </c>
      <c r="B36" s="130"/>
      <c r="D36" s="18" t="str">
        <f>+Инвойс!D36</f>
        <v>ЭШТЕМИРОВ Х.Х</v>
      </c>
      <c r="E36" s="131"/>
      <c r="G36" s="128" t="s">
        <v>129</v>
      </c>
      <c r="H36" s="18" t="str">
        <f>Инвойс!G5</f>
        <v>ООО «ГРИН ВОРЛД»</v>
      </c>
      <c r="K36" s="132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9" sqref="A19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115</v>
      </c>
    </row>
    <row r="3" spans="1:10" ht="51" x14ac:dyDescent="0.2">
      <c r="A3" s="129" t="s">
        <v>127</v>
      </c>
    </row>
    <row r="5" spans="1:10" ht="38.25" x14ac:dyDescent="0.2">
      <c r="A5" s="125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5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133</v>
      </c>
      <c r="J10" s="25" t="s">
        <v>134</v>
      </c>
    </row>
    <row r="11" spans="1:10" ht="51" x14ac:dyDescent="0.2">
      <c r="A11" s="125" t="s">
        <v>158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5259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пятьдесят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пятьдесят девять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пятьдесят девять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пятьдесят девять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пятьдесят девять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5259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5259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259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2025-08-28T14:06:19Z</cp:lastPrinted>
  <dcterms:created xsi:type="dcterms:W3CDTF">1996-10-14T23:33:28Z</dcterms:created>
  <dcterms:modified xsi:type="dcterms:W3CDTF">2025-08-28T14:06:20Z</dcterms:modified>
</cp:coreProperties>
</file>