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M30" i="2" s="1"/>
  <c r="G4" i="7"/>
  <c r="A4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<sst xmlns="http://schemas.openxmlformats.org/spreadsheetml/2006/main" count="209" uniqueCount="164">
  <si>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</si>
  <si>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</si>
  <si>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</si>
  <si>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</si>
  <si>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</si>
  <si>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</si>
  <si>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</si>
  <si>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</si>
  <si>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</si>
  <si>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</si>
  <si>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</si>
  <si>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</si>
  <si>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</si>
  <si>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</si>
  <si>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</si>
  <si>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</si>
  <si>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</si>
  <si>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</si>
  <si>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</si>
  <si>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</si>
  <si>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</si>
  <si>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</si>
  <si>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</si>
  <si>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</si>
  <si>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</si>
  <si>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</si>
  <si>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</si>
  <si>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</si>
  <si>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</si>
  <si>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</si>
  <si>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</si>
  <si>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</si>
  <si>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</si>
  <si>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</si>
  <si>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</si>
  <si>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</si>
  <si>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</si>
  <si>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</si>
  <si>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</si>
  <si>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</si>
  <si>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</si>
  <si>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</si>
  <si>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</si>
  <si>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</si>
  <si>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</si>
  <si>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</si>
  <si>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</si>
  <si>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</si>
  <si>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</si>
  <si>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</si>
  <si>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</si>
  <si>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</si>
  <si>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</si>
  <si>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</si>
  <si>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</si>
  <si>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</si>
  <si>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</si>
  <si>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</si>
  <si>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</si>
  <si>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</si>
  <si>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</si>
  <si>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</si>
  <si>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</si>
  <si>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</si>
  <si>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</si>
  <si>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</si>
  <si>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</si>
  <si>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</si>
  <si>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</si>
  <si>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</si>
  <si>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</si>
  <si>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</si>
  <si>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</si>
  <si>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</si>
  <si>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</si>
  <si>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</si>
  <si>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</si>
  <si>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</si>
  <si>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</si>
  <si>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</si>
  <si>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</si>
  <si>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</si>
  <si>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</si>
  <si>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</si>
  <si>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</si>
  <si>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</si>
  <si>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</si>
  <si>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</si>
  <si>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</si>
  <si>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</si>
  <si>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</si>
  <si>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</si>
  <si>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</si>
  <si>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</si>
  <si>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</si>
  <si>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</si>
  <si>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</si>
  <si>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</si>
  <si>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</si>
  <si>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</si>
  <si>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</si>
  <si>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</si>
  <si>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</si>
  <si>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</si>
  <si>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</si>
  <si>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</si>
  <si>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</si>
  <si>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</si>
  <si>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</si>
  <si>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</si>
  <si>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</si>
  <si>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</si>
  <si>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</si>
  <si>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</si>
  <si>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</si>
  <si>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</si>
  <si>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</si>
  <si>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</si>
  <si>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</si>
  <si>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</si>
  <si>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</si>
  <si>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</si>
  <si>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</si>
  <si>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</si>
  <si>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</si>
  <si>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</si>
  <si>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</si>
  <si>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</si>
  <si>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</si>
  <si>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</si>
  <si>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</si>
  <si>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</si>
  <si>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</si>
  <si>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</si>
  <si>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</si>
  <si>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</si>
  <si>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</si>
  <si>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</si>
  <si>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</si>
  <si>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</si>
  <si>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</si>
  <si>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</si>
  <si>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</si>
  <si>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</si>
  <si>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</si>
  <si>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</si>
  <si>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</si>
  <si>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</si>
  <si>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</si>
  <si>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</si>
  <si>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</si>
  <si>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</si>
  <si>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</si>
  <si>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</si>
  <si>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</si>
  <si>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</si>
  <si>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</si>
  <si>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Продавец/Грузоотправитель:  </t>
  </si>
  <si>
    <t xml:space="preserve">Покупатель/Грузополучатель: </t>
  </si>
  <si>
    <t>ИНН: 312294736</t>
  </si>
  <si>
    <t xml:space="preserve">ИНВОЙС № EXG-F-58 от </t>
  </si>
  <si>
    <t xml:space="preserve"> 10.09.2025г.</t>
  </si>
  <si>
    <t xml:space="preserve">СПЕЦИФИКАЦИЯ № EXG-F-58 от </t>
  </si>
  <si>
    <t>60289QBA/604858AA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</si>
</sst>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358588</xdr:colOff>
      <xdr:row>36</xdr:row>
      <xdr:rowOff>57978</xdr:rowOff>
    </xdr:from>
    <xdr:to>
      <xdr:col>11</xdr:col>
      <xdr:colOff>123265</xdr:colOff>
      <xdr:row>49</xdr:row>
      <xdr:rowOff>7244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B4716A-83C0-4A97-84CD-88B64BB2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147" y="17292625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36</xdr:row>
      <xdr:rowOff>56029</xdr:rowOff>
    </xdr:from>
    <xdr:to>
      <xdr:col>12</xdr:col>
      <xdr:colOff>381000</xdr:colOff>
      <xdr:row>38</xdr:row>
      <xdr:rowOff>164473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97C8CF8-2CE8-4EEE-BEEC-A43C72A7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7290676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40" t="s">
        <v>141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157</v>
      </c>
      <c r="B4" s="136"/>
      <c r="C4" s="136"/>
      <c r="D4" s="136"/>
      <c r="E4" s="136"/>
      <c r="G4" s="136" t="s">
        <v>158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142</v>
      </c>
      <c r="B5" s="135"/>
      <c r="C5" s="135"/>
      <c r="D5" s="135"/>
      <c r="E5" s="135"/>
      <c r="F5" s="6"/>
      <c r="G5" s="137" t="s">
        <v>133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143</v>
      </c>
      <c r="B6" s="142"/>
      <c r="C6" s="142"/>
      <c r="D6" s="142"/>
      <c r="E6" s="142"/>
      <c r="F6" s="7"/>
      <c r="G6" s="139" t="s">
        <v>134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144</v>
      </c>
      <c r="B7" s="142"/>
      <c r="C7" s="142"/>
      <c r="D7" s="142"/>
      <c r="E7" s="142"/>
      <c r="F7" s="63"/>
      <c r="G7" s="139" t="s">
        <v>135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145</v>
      </c>
      <c r="B8" s="8"/>
      <c r="C8" s="8"/>
      <c r="D8" s="8"/>
      <c r="E8" s="8"/>
      <c r="F8" s="63"/>
      <c r="G8" s="7" t="s">
        <v>136</v>
      </c>
      <c r="H8" s="23"/>
      <c r="I8" s="23"/>
      <c r="J8" s="23"/>
      <c r="K8" s="23"/>
      <c r="L8" s="23"/>
      <c r="M8" s="23"/>
    </row>
    <row r="9" spans="1:15" ht="15" x14ac:dyDescent="0.25">
      <c r="A9" s="8" t="s">
        <v>146</v>
      </c>
      <c r="B9" s="8"/>
      <c r="C9" s="8"/>
      <c r="D9" s="8"/>
      <c r="E9" s="8"/>
      <c r="F9" s="7"/>
      <c r="G9" s="7" t="s">
        <v>137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147</v>
      </c>
      <c r="B10" s="124"/>
      <c r="C10" s="124"/>
      <c r="D10" s="124"/>
      <c r="E10" s="124"/>
      <c r="F10" s="7"/>
      <c r="G10" s="7" t="s">
        <v>132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148</v>
      </c>
      <c r="B11" s="8"/>
      <c r="C11" s="8"/>
      <c r="D11" s="8"/>
      <c r="E11" s="8"/>
      <c r="F11" s="7"/>
      <c r="G11" s="7" t="s">
        <v>138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159</v>
      </c>
      <c r="B12" s="8"/>
      <c r="C12" s="8"/>
      <c r="D12" s="8"/>
      <c r="E12" s="8"/>
      <c r="F12" s="7"/>
      <c r="G12" s="138" t="s">
        <v>139</v>
      </c>
      <c r="H12" s="138"/>
      <c r="I12" s="138"/>
      <c r="J12" s="138"/>
      <c r="K12" s="138"/>
      <c r="L12" s="138"/>
      <c r="M12" s="138"/>
    </row>
    <row r="13" spans="1:15" ht="24" hidden="1" customHeight="1" x14ac:dyDescent="0.25">
      <c r="A13" s="136" t="s">
        <v>29</v>
      </c>
      <c r="B13" s="136"/>
      <c r="C13" s="136"/>
      <c r="D13" s="136"/>
      <c r="E13" s="136"/>
      <c r="G13" s="136" t="s">
        <v>19</v>
      </c>
      <c r="H13" s="144"/>
      <c r="I13" s="144"/>
      <c r="J13" s="144"/>
      <c r="K13" s="144"/>
      <c r="L13" s="144"/>
      <c r="M13" s="144"/>
    </row>
    <row r="14" spans="1:15" ht="14.25" hidden="1" customHeight="1" x14ac:dyDescent="0.2">
      <c r="A14" s="135" t="s">
        <v>142</v>
      </c>
      <c r="B14" s="135"/>
      <c r="C14" s="135"/>
      <c r="D14" s="135"/>
      <c r="E14" s="135"/>
      <c r="F14" s="6"/>
      <c r="G14" s="137" t="s">
        <v>133</v>
      </c>
      <c r="H14" s="137"/>
      <c r="I14" s="137"/>
      <c r="J14" s="137"/>
      <c r="K14" s="137"/>
      <c r="L14" s="137"/>
      <c r="M14" s="137"/>
    </row>
    <row r="15" spans="1:15" ht="13.9" hidden="1" customHeight="1" x14ac:dyDescent="0.25">
      <c r="A15" s="141" t="s">
        <v>143</v>
      </c>
      <c r="B15" s="142"/>
      <c r="C15" s="142"/>
      <c r="D15" s="142"/>
      <c r="E15" s="142"/>
      <c r="F15" s="7"/>
      <c r="G15" s="139" t="s">
        <v>134</v>
      </c>
      <c r="H15" s="139"/>
      <c r="I15" s="139"/>
      <c r="J15" s="139"/>
      <c r="K15" s="139"/>
      <c r="L15" s="139"/>
      <c r="M15" s="139"/>
    </row>
    <row r="16" spans="1:15" ht="15" hidden="1" x14ac:dyDescent="0.25">
      <c r="A16" s="142" t="s">
        <v>144</v>
      </c>
      <c r="B16" s="142"/>
      <c r="C16" s="142"/>
      <c r="D16" s="142"/>
      <c r="E16" s="142"/>
      <c r="F16" s="63"/>
      <c r="G16" s="139" t="s">
        <v>135</v>
      </c>
      <c r="H16" s="139"/>
      <c r="I16" s="139"/>
      <c r="J16" s="139"/>
      <c r="K16" s="139"/>
      <c r="L16" s="139"/>
      <c r="M16" s="139"/>
    </row>
    <row r="17" spans="1:17" ht="15" hidden="1" customHeight="1" x14ac:dyDescent="0.25">
      <c r="A17" s="8" t="s">
        <v>145</v>
      </c>
      <c r="B17" s="8"/>
      <c r="C17" s="8"/>
      <c r="D17" s="8"/>
      <c r="E17" s="8"/>
      <c r="F17" s="63"/>
      <c r="G17" s="7" t="s">
        <v>136</v>
      </c>
      <c r="H17" s="23"/>
      <c r="I17" s="23"/>
      <c r="J17" s="23"/>
      <c r="K17" s="23"/>
      <c r="L17" s="23"/>
      <c r="M17" s="23"/>
    </row>
    <row r="18" spans="1:17" ht="15" hidden="1" x14ac:dyDescent="0.25">
      <c r="A18" s="8" t="s">
        <v>146</v>
      </c>
      <c r="B18" s="8"/>
      <c r="C18" s="8"/>
      <c r="D18" s="8"/>
      <c r="E18" s="8"/>
      <c r="F18" s="7"/>
      <c r="G18" s="7" t="s">
        <v>137</v>
      </c>
      <c r="H18" s="23"/>
      <c r="I18" s="23"/>
      <c r="J18" s="23"/>
      <c r="K18" s="23"/>
      <c r="L18" s="23"/>
      <c r="M18" s="23"/>
    </row>
    <row r="19" spans="1:17" ht="15" hidden="1" x14ac:dyDescent="0.25">
      <c r="A19" s="124" t="s">
        <v>147</v>
      </c>
      <c r="B19" s="124"/>
      <c r="C19" s="124"/>
      <c r="D19" s="124"/>
      <c r="E19" s="124"/>
      <c r="F19" s="7"/>
      <c r="G19" s="7" t="s">
        <v>132</v>
      </c>
      <c r="H19" s="23"/>
      <c r="I19" s="23"/>
      <c r="J19" s="23"/>
      <c r="K19" s="23"/>
      <c r="L19" s="23"/>
      <c r="M19" s="23"/>
    </row>
    <row r="20" spans="1:17" ht="15" hidden="1" x14ac:dyDescent="0.25">
      <c r="A20" s="8" t="s">
        <v>148</v>
      </c>
      <c r="B20" s="8"/>
      <c r="C20" s="8"/>
      <c r="D20" s="8"/>
      <c r="E20" s="8"/>
      <c r="F20" s="7"/>
      <c r="G20" s="7" t="s">
        <v>138</v>
      </c>
      <c r="H20" s="23"/>
      <c r="I20" s="23"/>
      <c r="J20" s="23"/>
      <c r="K20" s="23"/>
      <c r="L20" s="23"/>
      <c r="M20" s="23"/>
    </row>
    <row r="21" spans="1:17" ht="15" hidden="1" x14ac:dyDescent="0.25">
      <c r="A21" s="99" t="s">
        <v>149</v>
      </c>
      <c r="B21" s="8"/>
      <c r="C21" s="8"/>
      <c r="D21" s="8"/>
      <c r="E21" s="8"/>
      <c r="G21" s="138" t="s">
        <v>139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86</v>
      </c>
      <c r="C22" s="65" t="s">
        <v>87</v>
      </c>
      <c r="F22" s="1"/>
    </row>
    <row r="23" spans="1:17" ht="26.25" customHeight="1" x14ac:dyDescent="0.2">
      <c r="A23" s="69" t="s">
        <v>85</v>
      </c>
      <c r="B23" s="68"/>
      <c r="C23" s="153" t="s">
        <v>153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20</v>
      </c>
      <c r="C24" s="18" t="s">
        <v>155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54" t="s">
        <v>163</v>
      </c>
      <c r="F26" s="155"/>
      <c r="G26" s="155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123</v>
      </c>
      <c r="C30" s="107" t="s">
        <v>124</v>
      </c>
      <c r="D30" s="109" t="s">
        <v>110</v>
      </c>
      <c r="E30" s="101">
        <v>950</v>
      </c>
      <c r="F30" s="115" t="s">
        <v>25</v>
      </c>
      <c r="G30" s="106">
        <v>23060</v>
      </c>
      <c r="H30" s="106">
        <v>21350</v>
      </c>
      <c r="I30" s="108">
        <v>0.25</v>
      </c>
      <c r="J30" s="13">
        <f t="shared" ref="J30" si="0">H30*I30</f>
        <v>5337.5</v>
      </c>
      <c r="K30" s="12">
        <v>0</v>
      </c>
      <c r="L30" s="12">
        <v>0</v>
      </c>
      <c r="M30" s="13">
        <f t="shared" ref="M30" si="1">J30</f>
        <v>5337.5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23060</v>
      </c>
      <c r="H31" s="64">
        <f>SUM(H30:H30)</f>
        <v>21350</v>
      </c>
      <c r="I31" s="102"/>
      <c r="J31" s="17">
        <f>SUM(J30:J30)</f>
        <v>5337.5</v>
      </c>
      <c r="K31" s="16"/>
      <c r="L31" s="16"/>
      <c r="M31" s="17">
        <f>SUM(M30:M30)</f>
        <v>5337.5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тридцать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26</v>
      </c>
      <c r="B36" s="7"/>
      <c r="D36" s="25" t="s">
        <v>150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27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2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2" t="s">
        <v>109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89</v>
      </c>
      <c r="B14" s="70" t="s">
        <v>106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EXG-F-58 от  10.09.2025г.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104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23060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8" t="str">
        <f>+Инвойс!C23</f>
        <v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59" t="str">
        <f>+C22</f>
        <v xml:space="preserve"> 10.09.2025г.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93</v>
      </c>
      <c r="C57" s="80" t="str">
        <f>+Инвойс!E26</f>
        <v>60289QBA/604858AA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94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95</v>
      </c>
      <c r="F7" s="84"/>
      <c r="G7" s="85" t="s">
        <v>96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97</v>
      </c>
    </row>
    <row r="14" spans="2:11" ht="21" customHeight="1" x14ac:dyDescent="0.3">
      <c r="B14" s="163" t="str">
        <f>+Инвойс!E26</f>
        <v>60289QBA/604858AA</v>
      </c>
      <c r="C14" s="163"/>
      <c r="D14" s="163"/>
      <c r="E14" s="163"/>
      <c r="F14" s="163"/>
      <c r="G14" s="163"/>
      <c r="H14" s="164" t="s">
        <v>105</v>
      </c>
      <c r="I14" s="164"/>
      <c r="J14" s="88" t="str">
        <f>+Инвойс!F1</f>
        <v xml:space="preserve"> 10.09.2025г.</v>
      </c>
      <c r="K14" s="89"/>
    </row>
    <row r="15" spans="2:11" ht="21" x14ac:dyDescent="0.35">
      <c r="B15" s="82" t="s">
        <v>98</v>
      </c>
      <c r="C15" s="90"/>
      <c r="D15" s="90"/>
      <c r="E15" s="90"/>
      <c r="F15" s="90"/>
      <c r="G15" s="89" t="s">
        <v>99</v>
      </c>
      <c r="H15" s="165" t="str">
        <f>+CMR!B24</f>
        <v>ИНВОЙС № EXG-F-58 от  10.09.2025г.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100</v>
      </c>
    </row>
    <row r="18" spans="2:10" ht="13.5" customHeight="1" x14ac:dyDescent="0.25">
      <c r="B18" s="91"/>
      <c r="E18" s="116"/>
      <c r="F18" s="117">
        <f>+Инвойс!E30</f>
        <v>950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101</v>
      </c>
      <c r="J19" s="119">
        <f>+Инвойс!G30</f>
        <v>23060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102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950</v>
      </c>
      <c r="E47" s="170"/>
    </row>
    <row r="48" spans="2:10" ht="17.25" customHeight="1" x14ac:dyDescent="0.25">
      <c r="B48" s="167" t="s">
        <v>103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10.09.2025г.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40" t="str">
        <f>+Инвойс!C2</f>
        <v>к контракту № GR-EX-01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tr">
        <f>+Инвойс!A4</f>
        <v xml:space="preserve">Продавец/Грузоотправитель:  </v>
      </c>
      <c r="B4" s="136"/>
      <c r="C4" s="136"/>
      <c r="D4" s="136"/>
      <c r="E4" s="136"/>
      <c r="G4" s="136" t="str">
        <f>+Инвойс!G4</f>
        <v xml:space="preserve">Покупатель/Грузополучатель: 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hidden="1" customHeight="1" x14ac:dyDescent="0.25">
      <c r="A13" s="136" t="s">
        <v>29</v>
      </c>
      <c r="B13" s="136"/>
      <c r="C13" s="136"/>
      <c r="D13" s="136"/>
      <c r="E13" s="136"/>
      <c r="G13" s="136" t="s">
        <v>19</v>
      </c>
      <c r="H13" s="144"/>
      <c r="I13" s="144"/>
      <c r="J13" s="144"/>
      <c r="K13" s="144"/>
      <c r="L13" s="144"/>
      <c r="M13" s="144"/>
    </row>
    <row r="14" spans="1:15" ht="14.25" hidden="1" customHeight="1" x14ac:dyDescent="0.2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hidden="1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hidden="1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hidden="1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hidden="1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hidden="1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hidden="1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hidden="1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121</v>
      </c>
      <c r="C22" s="65"/>
      <c r="F22" s="1"/>
    </row>
    <row r="23" spans="1:17" ht="26.25" hidden="1" customHeight="1" x14ac:dyDescent="0.2">
      <c r="A23" s="69" t="s">
        <v>85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20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54" t="str">
        <f>+Инвойс!E26</f>
        <v>60289QBA/604858AA</v>
      </c>
      <c r="F26" s="155"/>
      <c r="G26" s="155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23060</v>
      </c>
      <c r="H30" s="106">
        <f>+Инвойс!H30</f>
        <v>21350</v>
      </c>
      <c r="I30" s="108">
        <f>+Инвойс!I30</f>
        <v>0.25</v>
      </c>
      <c r="J30" s="13">
        <f>+Инвойс!J30</f>
        <v>5337.5</v>
      </c>
      <c r="K30" s="12">
        <v>0</v>
      </c>
      <c r="L30" s="12">
        <v>0</v>
      </c>
      <c r="M30" s="13">
        <f>+Инвойс!M30</f>
        <v>5337.5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23060</v>
      </c>
      <c r="H31" s="64">
        <f>SUM(H30:H30)</f>
        <v>21350</v>
      </c>
      <c r="I31" s="102"/>
      <c r="J31" s="17">
        <f>SUM(J30:J30)</f>
        <v>5337.5</v>
      </c>
      <c r="K31" s="16"/>
      <c r="L31" s="16"/>
      <c r="M31" s="17">
        <f>SUM(M30:M30)</f>
        <v>5337.5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тридцать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151</v>
      </c>
      <c r="B36" s="130"/>
      <c r="D36" s="18" t="str">
        <f>+Инвойс!D36</f>
        <v>АБДИЛАКИМОВ А.А</v>
      </c>
      <c r="E36" s="131"/>
      <c r="G36" s="128" t="s">
        <v>126</v>
      </c>
      <c r="H36" s="18" t="str">
        <f>Инвойс!G5</f>
        <v>ООО «ГРИН ВОРЛД»</v>
      </c>
      <c r="K36" s="132" t="s">
        <v>140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4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114</v>
      </c>
    </row>
    <row r="3" spans="1:10" ht="51" x14ac:dyDescent="0.2">
      <c r="A3" s="129" t="s">
        <v>125</v>
      </c>
    </row>
    <row r="5" spans="1:10" ht="89.25" x14ac:dyDescent="0.2">
      <c r="A5" s="125" t="s">
        <v>153</v>
      </c>
    </row>
    <row r="6" spans="1:10" x14ac:dyDescent="0.2">
      <c r="E6" s="18" t="s">
        <v>154</v>
      </c>
      <c r="J6" s="25" t="s">
        <v>128</v>
      </c>
    </row>
    <row r="7" spans="1:10" ht="51" x14ac:dyDescent="0.2">
      <c r="A7" s="125" t="s">
        <v>115</v>
      </c>
    </row>
    <row r="8" spans="1:10" x14ac:dyDescent="0.2">
      <c r="E8" s="18" t="s">
        <v>155</v>
      </c>
      <c r="J8" s="25" t="s">
        <v>129</v>
      </c>
    </row>
    <row r="9" spans="1:10" ht="51" x14ac:dyDescent="0.2">
      <c r="A9" s="125" t="s">
        <v>116</v>
      </c>
    </row>
    <row r="10" spans="1:10" x14ac:dyDescent="0.2">
      <c r="A10" s="125"/>
      <c r="E10" s="18" t="s">
        <v>155</v>
      </c>
      <c r="J10" s="25" t="s">
        <v>130</v>
      </c>
    </row>
    <row r="11" spans="1:10" ht="51" x14ac:dyDescent="0.2">
      <c r="A11" s="125" t="s">
        <v>152</v>
      </c>
    </row>
    <row r="12" spans="1:10" x14ac:dyDescent="0.2">
      <c r="E12" s="18" t="s">
        <v>156</v>
      </c>
      <c r="J12" s="25" t="s">
        <v>131</v>
      </c>
    </row>
    <row r="13" spans="1:10" ht="51" x14ac:dyDescent="0.2">
      <c r="A13" s="125" t="s">
        <v>117</v>
      </c>
    </row>
    <row r="15" spans="1:10" ht="38.25" x14ac:dyDescent="0.2">
      <c r="A15" s="125" t="s">
        <v>118</v>
      </c>
    </row>
    <row r="17" spans="1:1" ht="38.25" x14ac:dyDescent="0.2">
      <c r="A17" s="125" t="s">
        <v>119</v>
      </c>
    </row>
    <row r="19" spans="1:1" ht="38.25" x14ac:dyDescent="0.2">
      <c r="A19" s="127" t="s">
        <v>120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5337.5</v>
      </c>
      <c r="G2" s="28">
        <v>357.79118644067796</v>
      </c>
      <c r="H2" s="4"/>
    </row>
    <row r="3" spans="1:19" ht="15.75" x14ac:dyDescent="0.25">
      <c r="A3" s="29" t="s">
        <v>31</v>
      </c>
      <c r="B3" s="30" t="str">
        <f>SUBSTITUTE(B5,F9,F10,1)</f>
        <v>Пять тысяч триста тридцать семь долларов США, 50 центов.</v>
      </c>
      <c r="E3" s="31"/>
      <c r="H3" s="32"/>
      <c r="J3" s="32"/>
      <c r="K3" s="32"/>
      <c r="L3" s="32"/>
      <c r="M3" s="33" t="s">
        <v>32</v>
      </c>
      <c r="N3" s="177">
        <f ca="1">TODAY()</f>
        <v>45910</v>
      </c>
      <c r="O3" s="177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33</v>
      </c>
      <c r="B4" s="36" t="str">
        <f>SUBSTITUTE(B6,F9,F10,1)</f>
        <v>Пять тысяч триста тридцать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10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34</v>
      </c>
      <c r="B5" s="36" t="str">
        <f>CONCATENATE(A8,A9,A10,A11,A12)</f>
        <v>пять тысяч триста тридцать семь долларов США, 50 центов.</v>
      </c>
    </row>
    <row r="6" spans="1:19" s="36" customFormat="1" x14ac:dyDescent="0.2">
      <c r="A6" s="38" t="s">
        <v>35</v>
      </c>
      <c r="B6" s="36" t="str">
        <f>CONCATENATE(A8,A9,A10,A11,A12,B8,B9,C9)</f>
        <v>пять тысяч триста тридцать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36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37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38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тридцать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5337</v>
      </c>
      <c r="F13" s="51" t="s">
        <v>39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40</v>
      </c>
      <c r="H33" s="47"/>
    </row>
    <row r="34" spans="1:11" s="43" customFormat="1" x14ac:dyDescent="0.2">
      <c r="A34" s="61" t="s">
        <v>41</v>
      </c>
      <c r="B34" s="61" t="s">
        <v>42</v>
      </c>
      <c r="C34" s="61"/>
      <c r="D34" s="61" t="s">
        <v>43</v>
      </c>
      <c r="H34" s="47"/>
    </row>
    <row r="35" spans="1:11" s="43" customFormat="1" x14ac:dyDescent="0.2">
      <c r="A35" s="61" t="s">
        <v>44</v>
      </c>
      <c r="B35" s="61" t="s">
        <v>45</v>
      </c>
      <c r="C35" s="61"/>
      <c r="D35" s="61" t="s">
        <v>46</v>
      </c>
      <c r="E35" s="61" t="s">
        <v>47</v>
      </c>
      <c r="G35" s="61" t="s">
        <v>48</v>
      </c>
    </row>
    <row r="36" spans="1:11" s="43" customFormat="1" x14ac:dyDescent="0.2">
      <c r="A36" s="61" t="s">
        <v>49</v>
      </c>
      <c r="B36" s="61"/>
      <c r="C36" s="61"/>
      <c r="D36" s="61" t="s">
        <v>50</v>
      </c>
      <c r="E36" s="61" t="s">
        <v>51</v>
      </c>
      <c r="G36" s="61" t="s">
        <v>52</v>
      </c>
    </row>
    <row r="37" spans="1:11" s="43" customFormat="1" x14ac:dyDescent="0.2">
      <c r="A37" s="61" t="s">
        <v>53</v>
      </c>
      <c r="B37" s="61"/>
      <c r="C37" s="61"/>
      <c r="D37" s="61" t="s">
        <v>54</v>
      </c>
      <c r="E37" s="61" t="s">
        <v>55</v>
      </c>
      <c r="G37" s="61" t="s">
        <v>56</v>
      </c>
    </row>
    <row r="38" spans="1:11" s="43" customFormat="1" x14ac:dyDescent="0.2">
      <c r="A38" s="61" t="s">
        <v>57</v>
      </c>
      <c r="B38" s="61"/>
      <c r="C38" s="61"/>
      <c r="D38" s="61" t="s">
        <v>58</v>
      </c>
      <c r="E38" s="61" t="s">
        <v>59</v>
      </c>
      <c r="G38" s="61" t="s">
        <v>60</v>
      </c>
    </row>
    <row r="39" spans="1:11" s="43" customFormat="1" x14ac:dyDescent="0.2">
      <c r="A39" s="61" t="s">
        <v>61</v>
      </c>
      <c r="B39" s="61"/>
      <c r="C39" s="61"/>
      <c r="D39" s="61" t="s">
        <v>62</v>
      </c>
      <c r="E39" s="61" t="s">
        <v>63</v>
      </c>
      <c r="G39" s="61" t="s">
        <v>64</v>
      </c>
    </row>
    <row r="40" spans="1:11" s="43" customFormat="1" x14ac:dyDescent="0.2">
      <c r="A40" s="61" t="s">
        <v>65</v>
      </c>
      <c r="B40" s="61"/>
      <c r="C40" s="61"/>
      <c r="D40" s="61" t="s">
        <v>66</v>
      </c>
      <c r="E40" s="61" t="s">
        <v>67</v>
      </c>
      <c r="G40" s="61" t="s">
        <v>68</v>
      </c>
    </row>
    <row r="41" spans="1:11" s="43" customFormat="1" x14ac:dyDescent="0.2">
      <c r="A41" s="61" t="s">
        <v>69</v>
      </c>
      <c r="B41" s="61"/>
      <c r="C41" s="61"/>
      <c r="D41" s="61" t="s">
        <v>70</v>
      </c>
      <c r="E41" s="61" t="s">
        <v>71</v>
      </c>
      <c r="G41" s="61" t="s">
        <v>72</v>
      </c>
    </row>
    <row r="42" spans="1:11" s="43" customFormat="1" x14ac:dyDescent="0.2">
      <c r="A42" s="61" t="s">
        <v>73</v>
      </c>
      <c r="B42" s="61"/>
      <c r="C42" s="61"/>
      <c r="D42" s="61" t="s">
        <v>74</v>
      </c>
      <c r="E42" s="61" t="s">
        <v>75</v>
      </c>
      <c r="G42" s="61" t="s">
        <v>76</v>
      </c>
    </row>
    <row r="43" spans="1:11" s="43" customFormat="1" x14ac:dyDescent="0.2">
      <c r="B43" s="61"/>
      <c r="C43" s="61"/>
      <c r="D43" s="61" t="s">
        <v>77</v>
      </c>
      <c r="E43" s="61" t="s">
        <v>78</v>
      </c>
      <c r="H43" s="47"/>
    </row>
    <row r="44" spans="1:11" s="43" customFormat="1" x14ac:dyDescent="0.2">
      <c r="A44" s="180" t="s">
        <v>79</v>
      </c>
      <c r="B44" s="180"/>
      <c r="C44" s="180"/>
      <c r="D44" s="180"/>
      <c r="E44" s="180"/>
      <c r="F44" s="180"/>
      <c r="G44" s="180"/>
      <c r="H44" s="180"/>
      <c r="I44" s="180"/>
      <c r="J44" s="175" t="s">
        <v>80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81</v>
      </c>
      <c r="H46" s="174"/>
      <c r="I46" s="174"/>
      <c r="J46" s="62" t="s">
        <v>82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83</v>
      </c>
      <c r="B100" s="175"/>
      <c r="C100" s="175"/>
      <c r="D100" s="175"/>
    </row>
    <row r="101" spans="1:4" x14ac:dyDescent="0.2">
      <c r="A101" t="s">
        <v>84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2025-09-10T06:55:00Z</cp:lastPrinted>
  <dcterms:created xsi:type="dcterms:W3CDTF">1996-10-14T23:33:28Z</dcterms:created>
  <dcterms:modified xsi:type="dcterms:W3CDTF">2025-09-10T06:55:02Z</dcterms:modified>
</cp:coreProperties>
</file>