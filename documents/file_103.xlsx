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M30" i="2" s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<sst xmlns="http://schemas.openxmlformats.org/spreadsheetml/2006/main" count="201" uniqueCount="163">
  <si>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</si>
  <si>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</si>
  <si>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</si>
  <si>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</si>
  <si>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</si>
  <si>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</si>
  <si>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</si>
  <si>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</si>
  <si>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</si>
  <si>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</si>
  <si>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</si>
  <si>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</si>
  <si>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</si>
  <si>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</si>
  <si>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</si>
  <si>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</si>
  <si>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</si>
  <si>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</si>
  <si>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</si>
  <si>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</si>
  <si>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</si>
  <si>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</si>
  <si>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</si>
  <si>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</si>
  <si>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</si>
  <si>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</si>
  <si>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</si>
  <si>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</si>
  <si>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</si>
  <si>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</si>
  <si>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</si>
  <si>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</si>
  <si>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</si>
  <si>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</si>
  <si>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</si>
  <si>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</si>
  <si>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</si>
  <si>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</si>
  <si>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</si>
  <si>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</si>
  <si>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</si>
  <si>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</si>
  <si>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</si>
  <si>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</si>
  <si>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</si>
  <si>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</si>
  <si>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</si>
  <si>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</si>
  <si>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</si>
  <si>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</si>
  <si>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</si>
  <si>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</si>
  <si>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</si>
  <si>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</si>
  <si>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</si>
  <si>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</si>
  <si>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</si>
  <si>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</si>
  <si>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</si>
  <si>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</si>
  <si>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</si>
  <si>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</si>
  <si>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</si>
  <si>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</si>
  <si>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</si>
  <si>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</si>
  <si>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</si>
  <si>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</si>
  <si>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</si>
  <si>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</si>
  <si>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</si>
  <si>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</si>
  <si>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</si>
  <si>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</si>
  <si>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</si>
  <si>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</si>
  <si>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</si>
  <si>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</si>
  <si>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</si>
  <si>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</si>
  <si>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</si>
  <si>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</si>
  <si>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</si>
  <si>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</si>
  <si>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</si>
  <si>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</si>
  <si>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</si>
  <si>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</si>
  <si>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</si>
  <si>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</si>
  <si>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</si>
  <si>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</si>
  <si>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</si>
  <si>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</si>
  <si>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</si>
  <si>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</si>
  <si>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</si>
  <si>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</si>
  <si>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</si>
  <si>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</si>
  <si>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</si>
  <si>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</si>
  <si>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</si>
  <si>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</si>
  <si>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</si>
  <si>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</si>
  <si>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</si>
  <si>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</si>
  <si>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</si>
  <si>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</si>
  <si>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</si>
  <si>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</si>
  <si>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</si>
  <si>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</si>
  <si>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</si>
  <si>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</si>
  <si>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</si>
  <si>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</si>
  <si>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</si>
  <si>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</si>
  <si>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</si>
  <si>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</si>
  <si>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</si>
  <si>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</si>
  <si>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</si>
  <si>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</si>
  <si>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</si>
  <si>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</si>
  <si>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</si>
  <si>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</si>
  <si>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</si>
  <si>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</si>
  <si>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</si>
  <si>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</si>
  <si>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</si>
  <si>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</si>
  <si>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</si>
  <si>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</si>
  <si>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</si>
  <si>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</si>
  <si>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</si>
  <si>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</si>
  <si>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</si>
  <si>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</si>
  <si>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</si>
  <si>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</si>
  <si>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</si>
  <si>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</si>
  <si>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</si>
  <si>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</si>
  <si>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</si>
  <si>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</si>
  <si>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</si>
  <si>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</si>
  <si>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</si>
  <si>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</si>
  <si>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</si>
  <si>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</si>
  <si>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14.08.2025г.</t>
  </si>
  <si>
    <t xml:space="preserve">ИНВОЙС № BEZ-A-92 от </t>
  </si>
  <si>
    <t xml:space="preserve">СПЕЦИФИКАЦИЯ № BEZ-A-92 от </t>
  </si>
  <si>
    <t>40389LCA/401119CA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</si>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</sst>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xmlns="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xmlns="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9" t="s">
        <v>159</v>
      </c>
      <c r="D1" s="149"/>
      <c r="E1" s="149"/>
      <c r="F1" s="148" t="s">
        <v>158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5" t="s">
        <v>118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5" t="s">
        <v>27</v>
      </c>
      <c r="G30" s="106">
        <v>22700</v>
      </c>
      <c r="H30" s="106">
        <v>20900</v>
      </c>
      <c r="I30" s="108">
        <v>0.2</v>
      </c>
      <c r="J30" s="13">
        <f t="shared" ref="J30" si="0">H30*I30</f>
        <v>4180</v>
      </c>
      <c r="K30" s="12">
        <v>0</v>
      </c>
      <c r="L30" s="12">
        <v>0</v>
      </c>
      <c r="M30" s="13">
        <f t="shared" ref="M30" si="1">J30</f>
        <v>4180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22700</v>
      </c>
      <c r="H31" s="64">
        <f>SUM(H30:H30)</f>
        <v>20900</v>
      </c>
      <c r="I31" s="102"/>
      <c r="J31" s="17">
        <f>SUM(J30:J30)</f>
        <v>4180</v>
      </c>
      <c r="K31" s="16"/>
      <c r="L31" s="16"/>
      <c r="M31" s="17">
        <f>SUM(M30:M30)</f>
        <v>4180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восемьдесят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0" zoomScale="115" zoomScaleNormal="115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BEZ-A-92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40389LCA/401119CA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40389LCA/401119CA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BEZ-A-92 от  14.08.2025г.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22700</v>
      </c>
    </row>
    <row r="20" spans="2:10" ht="13.5" customHeight="1" x14ac:dyDescent="0.3">
      <c r="B20" s="83"/>
      <c r="E20" s="122"/>
      <c r="F20" s="117"/>
      <c r="G20" s="159"/>
      <c r="H20" s="159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59"/>
      <c r="H22" s="159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59"/>
      <c r="H24" s="159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59"/>
      <c r="H26" s="159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59"/>
      <c r="H28" s="159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59"/>
      <c r="H30" s="159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59"/>
      <c r="H32" s="159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59"/>
      <c r="H34" s="159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59"/>
      <c r="H36" s="159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59"/>
      <c r="H38" s="159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59"/>
      <c r="H42" s="159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1"/>
      <c r="H44" s="161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2">
        <f>+F18+F20+F22+F24+F26+F28+F30+F32+F34+F36+F38+F40+F42</f>
        <v>1000</v>
      </c>
      <c r="E47" s="163"/>
    </row>
    <row r="48" spans="2:10" ht="17.25" customHeight="1" x14ac:dyDescent="0.3">
      <c r="B48" s="160" t="s">
        <v>105</v>
      </c>
      <c r="C48" s="160"/>
      <c r="D48" s="160"/>
      <c r="E48" s="160"/>
    </row>
    <row r="49" spans="2:5" ht="21.75" customHeight="1" x14ac:dyDescent="0.3">
      <c r="B49" s="160"/>
      <c r="C49" s="160"/>
      <c r="D49" s="160"/>
      <c r="E49" s="160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8" t="s">
        <v>160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3.8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5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6" t="str">
        <f>+Инвойс!E26</f>
        <v>40389LCA/401119CA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1.8" x14ac:dyDescent="0.25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22700</v>
      </c>
      <c r="H30" s="106">
        <f>+Инвойс!H30</f>
        <v>20900</v>
      </c>
      <c r="I30" s="108">
        <f>+Инвойс!I30</f>
        <v>0.2</v>
      </c>
      <c r="J30" s="13">
        <f>+Инвойс!J30</f>
        <v>4180</v>
      </c>
      <c r="K30" s="12">
        <v>0</v>
      </c>
      <c r="L30" s="12">
        <v>0</v>
      </c>
      <c r="M30" s="13">
        <f>+Инвойс!M30</f>
        <v>4180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1000</v>
      </c>
      <c r="F31" s="15"/>
      <c r="G31" s="64">
        <f>SUM(G30:G30)</f>
        <v>22700</v>
      </c>
      <c r="H31" s="64">
        <f>SUM(H30:H30)</f>
        <v>20900</v>
      </c>
      <c r="I31" s="102"/>
      <c r="J31" s="17">
        <f>SUM(J30:J30)</f>
        <v>4180</v>
      </c>
      <c r="K31" s="16"/>
      <c r="L31" s="16"/>
      <c r="M31" s="17">
        <f>SUM(M30:M30)</f>
        <v>4180</v>
      </c>
      <c r="P31" s="66"/>
    </row>
    <row r="32" spans="1:17" ht="13.8" x14ac:dyDescent="0.3">
      <c r="A32" s="2" t="s">
        <v>17</v>
      </c>
      <c r="B32" s="3"/>
      <c r="C32" s="11"/>
      <c r="D32" s="11"/>
      <c r="E32" s="144" t="str">
        <f>Лист1!B3</f>
        <v>Четыре тысячи сто восемьдесят долларов США, 00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5" sqref="A5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4180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восемьдесят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восемьдесят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восемьдесят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восемьдесят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восемьдесят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4180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4180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180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2025-08-14T05:18:12Z</cp:lastPrinted>
  <dcterms:created xsi:type="dcterms:W3CDTF">1996-10-14T23:33:28Z</dcterms:created>
  <dcterms:modified xsi:type="dcterms:W3CDTF">2025-08-14T05:18:18Z</dcterms:modified>
</cp:coreProperties>
</file>