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<sst xmlns="http://schemas.openxmlformats.org/spreadsheetml/2006/main" count="211" uniqueCount="163">
  <si>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</si>
  <si>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</si>
  <si>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</si>
  <si>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</si>
  <si>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</si>
  <si>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</si>
  <si>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</si>
  <si>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</si>
  <si>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</si>
  <si>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</si>
  <si>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</si>
  <si>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</si>
  <si>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</si>
  <si>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</si>
  <si>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</si>
  <si>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</si>
  <si>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</si>
  <si>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</si>
  <si>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</si>
  <si>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</si>
  <si>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</si>
  <si>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</si>
  <si>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</si>
  <si>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</si>
  <si>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</si>
  <si>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</si>
  <si>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</si>
  <si>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</si>
  <si>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</si>
  <si>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</si>
  <si>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</si>
  <si>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</si>
  <si>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</si>
  <si>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</si>
  <si>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</si>
  <si>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</si>
  <si>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</si>
  <si>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</si>
  <si>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</si>
  <si>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</si>
  <si>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</si>
  <si>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</si>
  <si>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</si>
  <si>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</si>
  <si>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</si>
  <si>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</si>
  <si>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</si>
  <si>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</si>
  <si>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</si>
  <si>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</si>
  <si>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</si>
  <si>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</si>
  <si>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</si>
  <si>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</si>
  <si>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</si>
  <si>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</si>
  <si>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</si>
  <si>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</si>
  <si>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</si>
  <si>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</si>
  <si>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</si>
  <si>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</si>
  <si>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</si>
  <si>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</si>
  <si>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</si>
  <si>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</si>
  <si>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</si>
  <si>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</si>
  <si>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</si>
  <si>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</si>
  <si>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</si>
  <si>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</si>
  <si>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</si>
  <si>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</si>
  <si>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</si>
  <si>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</si>
  <si>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</si>
  <si>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</si>
  <si>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</si>
  <si>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</si>
  <si>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</si>
  <si>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</si>
  <si>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</si>
  <si>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</si>
  <si>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</si>
  <si>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</si>
  <si>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</si>
  <si>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</si>
  <si>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</si>
  <si>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</si>
  <si>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</si>
  <si>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</si>
  <si>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</si>
  <si>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</si>
  <si>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</si>
  <si>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</si>
  <si>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</si>
  <si>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</si>
  <si>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</si>
  <si>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</si>
  <si>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</si>
  <si>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</si>
  <si>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</si>
  <si>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</si>
  <si>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</si>
  <si>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</si>
  <si>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</si>
  <si>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</si>
  <si>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</si>
  <si>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</si>
  <si>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</si>
  <si>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</si>
  <si>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</si>
  <si>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</si>
  <si>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</si>
  <si>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</si>
  <si>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</si>
  <si>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</si>
  <si>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</si>
  <si>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</si>
  <si>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</si>
  <si>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</si>
  <si>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</si>
  <si>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</si>
  <si>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</si>
  <si>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</si>
  <si>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</si>
  <si>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</si>
  <si>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</si>
  <si>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</si>
  <si>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</si>
  <si>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</si>
  <si>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</si>
  <si>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</si>
  <si>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</si>
  <si>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</si>
  <si>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</si>
  <si>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</si>
  <si>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</si>
  <si>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</si>
  <si>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</si>
  <si>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</si>
  <si>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</si>
  <si>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</si>
  <si>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</si>
  <si>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</si>
  <si>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</si>
  <si>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</si>
  <si>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</si>
  <si>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</si>
  <si>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</si>
  <si>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</si>
  <si>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</si>
  <si>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</si>
  <si>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</si>
  <si>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</si>
  <si>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 05.09.2025г.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</si>
  <si>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</si>
  <si>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</si>
  <si>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</si>
  <si>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UFG-M-68 от </t>
  </si>
  <si>
    <t>10142UBA/108577AA</t>
  </si>
  <si>
    <t xml:space="preserve">СПЕЦИФИКАЦИЯ № UFG-M-68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</si>
</sst>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3" t="s">
        <v>160</v>
      </c>
      <c r="D1" s="153"/>
      <c r="E1" s="153"/>
      <c r="F1" s="152" t="s">
        <v>156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">
        <v>147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">
        <v>148</v>
      </c>
      <c r="B5" s="154"/>
      <c r="C5" s="154"/>
      <c r="D5" s="154"/>
      <c r="E5" s="154"/>
      <c r="F5" s="6"/>
      <c r="G5" s="147" t="s">
        <v>135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143</v>
      </c>
      <c r="B6" s="141"/>
      <c r="C6" s="141"/>
      <c r="D6" s="141"/>
      <c r="E6" s="141"/>
      <c r="F6" s="7"/>
      <c r="G6" s="140" t="s">
        <v>136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1" t="s">
        <v>149</v>
      </c>
      <c r="B7" s="141"/>
      <c r="C7" s="141"/>
      <c r="D7" s="141"/>
      <c r="E7" s="141"/>
      <c r="F7" s="63"/>
      <c r="G7" s="140" t="s">
        <v>137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144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5" x14ac:dyDescent="0.25">
      <c r="A9" s="8" t="s">
        <v>150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145</v>
      </c>
      <c r="B10" s="124"/>
      <c r="C10" s="124"/>
      <c r="D10" s="124"/>
      <c r="E10" s="124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146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43" t="s">
        <v>141</v>
      </c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">
        <v>148</v>
      </c>
      <c r="B14" s="154"/>
      <c r="C14" s="154"/>
      <c r="D14" s="154"/>
      <c r="E14" s="154"/>
      <c r="F14" s="6"/>
      <c r="G14" s="147" t="s">
        <v>135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">
        <v>143</v>
      </c>
      <c r="B15" s="141"/>
      <c r="C15" s="141"/>
      <c r="D15" s="141"/>
      <c r="E15" s="141"/>
      <c r="F15" s="7"/>
      <c r="G15" s="140" t="s">
        <v>136</v>
      </c>
      <c r="H15" s="140"/>
      <c r="I15" s="140"/>
      <c r="J15" s="140"/>
      <c r="K15" s="140"/>
      <c r="L15" s="140"/>
      <c r="M15" s="140"/>
    </row>
    <row r="16" spans="1:15" ht="15" x14ac:dyDescent="0.25">
      <c r="A16" s="141" t="s">
        <v>149</v>
      </c>
      <c r="B16" s="141"/>
      <c r="C16" s="141"/>
      <c r="D16" s="141"/>
      <c r="E16" s="141"/>
      <c r="F16" s="63"/>
      <c r="G16" s="140" t="s">
        <v>137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144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150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145</v>
      </c>
      <c r="B19" s="124"/>
      <c r="C19" s="124"/>
      <c r="D19" s="124"/>
      <c r="E19" s="124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146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151</v>
      </c>
      <c r="B21" s="8"/>
      <c r="C21" s="8"/>
      <c r="D21" s="8"/>
      <c r="E21" s="8"/>
      <c r="G21" s="143" t="s">
        <v>141</v>
      </c>
      <c r="H21" s="143"/>
      <c r="I21" s="143"/>
      <c r="J21" s="143"/>
      <c r="K21" s="143"/>
      <c r="L21" s="143"/>
      <c r="M21" s="14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7" t="s">
        <v>117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75" x14ac:dyDescent="0.25">
      <c r="A24" s="20" t="s">
        <v>22</v>
      </c>
      <c r="C24" s="18" t="s">
        <v>158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">
        <v>161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" x14ac:dyDescent="0.2">
      <c r="A30" s="126">
        <v>1</v>
      </c>
      <c r="B30" s="101" t="s">
        <v>125</v>
      </c>
      <c r="C30" s="107" t="s">
        <v>126</v>
      </c>
      <c r="D30" s="109" t="s">
        <v>112</v>
      </c>
      <c r="E30" s="101">
        <v>900</v>
      </c>
      <c r="F30" s="115" t="s">
        <v>27</v>
      </c>
      <c r="G30" s="106">
        <v>23000</v>
      </c>
      <c r="H30" s="106">
        <v>21380</v>
      </c>
      <c r="I30" s="108">
        <v>0.25</v>
      </c>
      <c r="J30" s="13">
        <f t="shared" ref="J30" si="0">H30*I30</f>
        <v>5345</v>
      </c>
      <c r="K30" s="12">
        <v>0</v>
      </c>
      <c r="L30" s="12">
        <v>0</v>
      </c>
      <c r="M30" s="13">
        <f t="shared" ref="M30" si="1">J30</f>
        <v>5345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5345</v>
      </c>
      <c r="K31" s="16"/>
      <c r="L31" s="16"/>
      <c r="M31" s="17">
        <f>SUM(M30:M30)</f>
        <v>5345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триста сорок пять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152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05.09.2025г.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UFG-M-68 от  05.09.2025г.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05.09.2025г.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10142UBA/108577AA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6" t="s">
        <v>96</v>
      </c>
      <c r="C2" s="166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7" t="str">
        <f>+Инвойс!E26</f>
        <v>10142UBA/108577AA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05.09.2025г.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UFG-M-68 от  05.09.2025г.</v>
      </c>
      <c r="I15" s="169"/>
      <c r="J15" s="169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900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23000</v>
      </c>
    </row>
    <row r="20" spans="2:10" ht="13.5" customHeight="1" x14ac:dyDescent="0.25">
      <c r="B20" s="83"/>
      <c r="E20" s="122"/>
      <c r="F20" s="117"/>
      <c r="G20" s="162"/>
      <c r="H20" s="162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2"/>
      <c r="H22" s="162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2"/>
      <c r="H24" s="162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2"/>
      <c r="H26" s="162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2"/>
      <c r="H28" s="162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2"/>
      <c r="H30" s="162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2"/>
      <c r="H32" s="162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2"/>
      <c r="H34" s="162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2"/>
      <c r="H36" s="162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2"/>
      <c r="H38" s="162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2"/>
      <c r="H42" s="162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4"/>
      <c r="H44" s="164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5">
        <f>+F18+F20+F22+F24+F26+F28+F30+F32+F34+F36+F38+F40+F42</f>
        <v>900</v>
      </c>
      <c r="E47" s="141"/>
    </row>
    <row r="48" spans="2:10" ht="17.25" customHeight="1" x14ac:dyDescent="0.25">
      <c r="B48" s="163" t="s">
        <v>105</v>
      </c>
      <c r="C48" s="163"/>
      <c r="D48" s="163"/>
      <c r="E48" s="163"/>
    </row>
    <row r="49" spans="2:5" ht="21.75" customHeight="1" x14ac:dyDescent="0.25">
      <c r="B49" s="163"/>
      <c r="C49" s="163"/>
      <c r="D49" s="163"/>
      <c r="E49" s="163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0" t="s">
        <v>162</v>
      </c>
      <c r="C1" s="170"/>
      <c r="D1" s="170"/>
      <c r="E1" s="170"/>
      <c r="F1" s="152" t="str">
        <f>+Инвойс!F1</f>
        <v xml:space="preserve"> 05.09.2025г.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tr">
        <f>+Инвойс!C2</f>
        <v>к контракту № GR-UF-01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tr">
        <f>+Инвойс!A5</f>
        <v>OOO UCHQIZIL FRUITS EXPORT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5" x14ac:dyDescent="0.25">
      <c r="A6" s="173" t="str">
        <f>+Инвойс!A6</f>
        <v>РЕСПУБЛИКА УЗБЕКИСТАН. СУРХАНДАРЬИНСКАЯ ОБЛАСТЬ,</v>
      </c>
      <c r="B6" s="173"/>
      <c r="C6" s="173"/>
      <c r="D6" s="173"/>
      <c r="E6" s="173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3" t="str">
        <f>+Инвойс!A7</f>
        <v>ТЕРМИЗСКИЙ РАЙОН,ЯНГИХАЯТ МФЙ, УЛИЦА БОГИ ШАМОЛ, 20-А</v>
      </c>
      <c r="B7" s="173"/>
      <c r="C7" s="173"/>
      <c r="D7" s="173"/>
      <c r="E7" s="173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3" t="str">
        <f>+Инвойс!A8</f>
        <v>в АКБ“KAPITAL BANK”  МФО: 01158  Swift: KACHUZ22</v>
      </c>
      <c r="B8" s="173"/>
      <c r="C8" s="173"/>
      <c r="D8" s="173"/>
      <c r="E8" s="173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73" t="str">
        <f>+Инвойс!A9</f>
        <v>Доллар США: 20208840207293094001</v>
      </c>
      <c r="B9" s="173"/>
      <c r="C9" s="173"/>
      <c r="D9" s="173"/>
      <c r="E9" s="173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3" t="str">
        <f>+Инвойс!A10</f>
        <v>Корреспондирующий банк (RUB): АКБ "Азия Инвест Банк" (АО) :</v>
      </c>
      <c r="B10" s="173"/>
      <c r="C10" s="173"/>
      <c r="D10" s="173"/>
      <c r="E10" s="173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73" t="str">
        <f>+Инвойс!A11</f>
        <v>SWIFT:ASIJRUMM / БИК 044525234,</v>
      </c>
      <c r="B11" s="173"/>
      <c r="C11" s="173"/>
      <c r="D11" s="173"/>
      <c r="E11" s="173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tr">
        <f>+Инвойс!A14</f>
        <v>OOO UCHQIZIL FRUITS EXPORT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73" t="str">
        <f>+Инвойс!A15</f>
        <v>РЕСПУБЛИКА УЗБЕКИСТАН. СУРХАНДАРЬИНСКАЯ ОБЛАСТЬ,</v>
      </c>
      <c r="B15" s="173"/>
      <c r="C15" s="173"/>
      <c r="D15" s="173"/>
      <c r="E15" s="173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73" t="str">
        <f>+Инвойс!A16</f>
        <v>ТЕРМИЗСКИЙ РАЙОН,ЯНГИХАЯТ МФЙ, УЛИЦА БОГИ ШАМОЛ, 20-А</v>
      </c>
      <c r="B16" s="173"/>
      <c r="C16" s="173"/>
      <c r="D16" s="173"/>
      <c r="E16" s="173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3" t="str">
        <f>+Инвойс!A17</f>
        <v>в АКБ“KAPITAL BANK”  МФО: 01158  Swift: KACHUZ22</v>
      </c>
      <c r="B17" s="173"/>
      <c r="C17" s="173"/>
      <c r="D17" s="173"/>
      <c r="E17" s="173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73" t="str">
        <f>+Инвойс!A18</f>
        <v>Доллар США: 20208840207293094001</v>
      </c>
      <c r="B18" s="173"/>
      <c r="C18" s="173"/>
      <c r="D18" s="173"/>
      <c r="E18" s="173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73" t="str">
        <f>+Инвойс!A19</f>
        <v>Корреспондирующий банк (RUB): АКБ "Азия Инвест Банк" (АО) :</v>
      </c>
      <c r="B19" s="173"/>
      <c r="C19" s="173"/>
      <c r="D19" s="173"/>
      <c r="E19" s="173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73" t="str">
        <f>+Инвойс!A20</f>
        <v>SWIFT:ASIJRUMM / БИК 044525234,</v>
      </c>
      <c r="B20" s="173"/>
      <c r="C20" s="173"/>
      <c r="D20" s="173"/>
      <c r="E20" s="173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25">
      <c r="A22" s="1" t="s">
        <v>123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Сарыагаш,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tr">
        <f>+Инвойс!E26</f>
        <v>10142UBA/108577AA</v>
      </c>
      <c r="F26" s="139"/>
      <c r="G26" s="139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5.25" customHeight="1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900</v>
      </c>
      <c r="F30" s="115" t="str">
        <f>+Инвойс!F30</f>
        <v>кг</v>
      </c>
      <c r="G30" s="106">
        <f>+Инвойс!G30</f>
        <v>23000</v>
      </c>
      <c r="H30" s="106">
        <f>+Инвойс!H30</f>
        <v>21380</v>
      </c>
      <c r="I30" s="108">
        <f>+Инвойс!I30</f>
        <v>0.25</v>
      </c>
      <c r="J30" s="13">
        <f>+Инвойс!J30</f>
        <v>5345</v>
      </c>
      <c r="K30" s="12">
        <v>0</v>
      </c>
      <c r="L30" s="12">
        <v>0</v>
      </c>
      <c r="M30" s="13">
        <f>+Инвойс!M30</f>
        <v>5345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5345</v>
      </c>
      <c r="K31" s="16"/>
      <c r="L31" s="16"/>
      <c r="M31" s="17">
        <f>SUM(M30:M30)</f>
        <v>5345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триста сорок пять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0" t="s">
        <v>153</v>
      </c>
      <c r="B36" s="130"/>
      <c r="D36" s="18" t="str">
        <f>+Инвойс!D36</f>
        <v>ЭШТЕМИРОВ Х.Х</v>
      </c>
      <c r="E36" s="131"/>
      <c r="G36" s="128" t="s">
        <v>128</v>
      </c>
      <c r="H36" s="18" t="str">
        <f>Инвойс!G5</f>
        <v>ООО «ГРИН ВОРЛД»</v>
      </c>
      <c r="K36" s="132" t="s">
        <v>142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127</v>
      </c>
    </row>
    <row r="5" spans="1:10" ht="89.25" x14ac:dyDescent="0.2">
      <c r="A5" s="125" t="s">
        <v>155</v>
      </c>
    </row>
    <row r="6" spans="1:10" x14ac:dyDescent="0.2">
      <c r="E6" s="18" t="s">
        <v>157</v>
      </c>
      <c r="J6" s="25" t="s">
        <v>130</v>
      </c>
    </row>
    <row r="7" spans="1:10" ht="51" x14ac:dyDescent="0.2">
      <c r="A7" s="125" t="s">
        <v>117</v>
      </c>
    </row>
    <row r="8" spans="1:10" x14ac:dyDescent="0.2">
      <c r="E8" s="18" t="s">
        <v>158</v>
      </c>
      <c r="J8" s="25" t="s">
        <v>131</v>
      </c>
    </row>
    <row r="9" spans="1:10" ht="51" x14ac:dyDescent="0.2">
      <c r="A9" s="125" t="s">
        <v>118</v>
      </c>
    </row>
    <row r="10" spans="1:10" x14ac:dyDescent="0.2">
      <c r="A10" s="125"/>
      <c r="E10" s="18" t="s">
        <v>158</v>
      </c>
      <c r="J10" s="25" t="s">
        <v>132</v>
      </c>
    </row>
    <row r="11" spans="1:10" ht="51" x14ac:dyDescent="0.2">
      <c r="A11" s="125" t="s">
        <v>154</v>
      </c>
    </row>
    <row r="12" spans="1:10" x14ac:dyDescent="0.2">
      <c r="E12" s="18" t="s">
        <v>159</v>
      </c>
      <c r="J12" s="25" t="s">
        <v>133</v>
      </c>
    </row>
    <row r="13" spans="1:10" ht="51" x14ac:dyDescent="0.2">
      <c r="A13" s="125" t="s">
        <v>119</v>
      </c>
    </row>
    <row r="15" spans="1:10" ht="38.25" x14ac:dyDescent="0.2">
      <c r="A15" s="125" t="s">
        <v>120</v>
      </c>
    </row>
    <row r="17" spans="1:1" ht="38.25" x14ac:dyDescent="0.2">
      <c r="A17" s="125" t="s">
        <v>121</v>
      </c>
    </row>
    <row r="19" spans="1:1" ht="38.25" x14ac:dyDescent="0.2">
      <c r="A19" s="127" t="s">
        <v>122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5345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сорок пять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45905</v>
      </c>
      <c r="O3" s="177"/>
      <c r="P3">
        <f ca="1">DAY(N3)</f>
        <v>5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триста сорок пять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5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сорок пять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сорок пять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сорок пять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45905</v>
      </c>
    </row>
    <row r="13" spans="1:19" s="43" customFormat="1" x14ac:dyDescent="0.2">
      <c r="A13" s="49"/>
      <c r="D13" s="51"/>
      <c r="E13" s="52">
        <f>TRUNC(E2)</f>
        <v>5345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5345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345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2025-09-05T17:44:48Z</cp:lastPrinted>
  <dcterms:created xsi:type="dcterms:W3CDTF">1996-10-14T23:33:28Z</dcterms:created>
  <dcterms:modified xsi:type="dcterms:W3CDTF">2025-09-05T17:44:49Z</dcterms:modified>
</cp:coreProperties>
</file>