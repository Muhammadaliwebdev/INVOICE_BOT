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670976D-99E7-481A-B67A-D12EA8C826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<sst xmlns="http://schemas.openxmlformats.org/spreadsheetml/2006/main" count="201" uniqueCount="163">
  <si>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</si>
  <si>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</si>
  <si>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</si>
  <si>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</si>
  <si>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</si>
  <si>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</si>
  <si>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</si>
  <si>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</si>
  <si>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</si>
  <si>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</si>
  <si>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</si>
  <si>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</si>
  <si>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</si>
  <si>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</si>
  <si>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</si>
  <si>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</si>
  <si>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</si>
  <si>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</si>
  <si>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</si>
  <si>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</si>
  <si>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</si>
  <si>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</si>
  <si>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</si>
  <si>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</si>
  <si>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</si>
  <si>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</si>
  <si>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</si>
  <si>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</si>
  <si>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</si>
  <si>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</si>
  <si>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</si>
  <si>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</si>
  <si>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</si>
  <si>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</si>
  <si>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</si>
  <si>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</si>
  <si>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</si>
  <si>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</si>
  <si>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</si>
  <si>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</si>
  <si>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</si>
  <si>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</si>
  <si>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</si>
  <si>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</si>
  <si>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</si>
  <si>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</si>
  <si>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</si>
  <si>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</si>
  <si>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</si>
  <si>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</si>
  <si>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</si>
  <si>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</si>
  <si>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</si>
  <si>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</si>
  <si>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</si>
  <si>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</si>
  <si>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</si>
  <si>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</si>
  <si>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</si>
  <si>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</si>
  <si>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</si>
  <si>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</si>
  <si>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</si>
  <si>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</si>
  <si>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</si>
  <si>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</si>
  <si>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</si>
  <si>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</si>
  <si>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</si>
  <si>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</si>
  <si>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</si>
  <si>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</si>
  <si>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</si>
  <si>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</si>
  <si>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</si>
  <si>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</si>
  <si>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</si>
  <si>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</si>
  <si>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</si>
  <si>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</si>
  <si>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</si>
  <si>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</si>
  <si>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</si>
  <si>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</si>
  <si>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</si>
  <si>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</si>
  <si>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</si>
  <si>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</si>
  <si>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</si>
  <si>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</si>
  <si>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</si>
  <si>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</si>
  <si>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</si>
  <si>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</si>
  <si>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</si>
  <si>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</si>
  <si>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</si>
  <si>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</si>
  <si>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</si>
  <si>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</si>
  <si>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</si>
  <si>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</si>
  <si>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</si>
  <si>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</si>
  <si>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</si>
  <si>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</si>
  <si>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</si>
  <si>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</si>
  <si>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</si>
  <si>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</si>
  <si>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</si>
  <si>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</si>
  <si>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</si>
  <si>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</si>
  <si>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</si>
  <si>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</si>
  <si>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</si>
  <si>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</si>
  <si>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</si>
  <si>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</si>
  <si>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</si>
  <si>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</si>
  <si>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</si>
  <si>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</si>
  <si>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</si>
  <si>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</si>
  <si>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</si>
  <si>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</si>
  <si>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</si>
  <si>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</si>
  <si>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</si>
  <si>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</si>
  <si>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</si>
  <si>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</si>
  <si>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</si>
  <si>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</si>
  <si>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</si>
  <si>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</si>
  <si>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</si>
  <si>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</si>
  <si>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</si>
  <si>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</si>
  <si>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</si>
  <si>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</si>
  <si>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</si>
  <si>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</si>
  <si>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</si>
  <si>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</si>
  <si>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</si>
  <si>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</si>
  <si>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</si>
  <si>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</si>
  <si>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</si>
  <si>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</si>
  <si>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</si>
  <si>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</si>
  <si>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</si>
  <si>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</si>
  <si>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BEZ-M-15 от </t>
  </si>
  <si>
    <t>DAP - с Амандык , Республика Казахстан</t>
  </si>
  <si>
    <t xml:space="preserve">СПЕЦИФИКАЦИЯ № BEZ-M-15 от </t>
  </si>
  <si>
    <t xml:space="preserve"> 13.08.2025г.</t>
  </si>
  <si>
    <t>У538HB716/31AEM17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</si>
</sst>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0" t="s">
        <v>158</v>
      </c>
      <c r="D1" s="150"/>
      <c r="E1" s="150"/>
      <c r="F1" s="149" t="s">
        <v>161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">
        <v>148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">
        <v>149</v>
      </c>
      <c r="B5" s="151"/>
      <c r="C5" s="151"/>
      <c r="D5" s="151"/>
      <c r="E5" s="151"/>
      <c r="F5" s="6"/>
      <c r="G5" s="144" t="s">
        <v>138</v>
      </c>
      <c r="H5" s="144"/>
      <c r="I5" s="144"/>
      <c r="J5" s="144"/>
      <c r="K5" s="144"/>
      <c r="L5" s="144"/>
      <c r="M5" s="144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9" t="s">
        <v>139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9" t="s">
        <v>140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">
        <v>149</v>
      </c>
      <c r="B14" s="151"/>
      <c r="C14" s="151"/>
      <c r="D14" s="151"/>
      <c r="E14" s="151"/>
      <c r="F14" s="6"/>
      <c r="G14" s="144" t="s">
        <v>125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9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9" t="s">
        <v>127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119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162</v>
      </c>
      <c r="F26" s="138"/>
      <c r="G26" s="138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950</v>
      </c>
      <c r="F30" s="110" t="s">
        <v>27</v>
      </c>
      <c r="G30" s="106">
        <v>22500</v>
      </c>
      <c r="H30" s="106">
        <v>20790</v>
      </c>
      <c r="I30" s="108">
        <v>0.2</v>
      </c>
      <c r="J30" s="13">
        <f t="shared" ref="J30" si="0">H30*I30</f>
        <v>4158</v>
      </c>
      <c r="K30" s="12">
        <v>0</v>
      </c>
      <c r="L30" s="12">
        <v>0</v>
      </c>
      <c r="M30" s="13">
        <f t="shared" ref="M30" si="1">J30</f>
        <v>4158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22500</v>
      </c>
      <c r="H31" s="64">
        <f>SUM(H30:H30)</f>
        <v>20790</v>
      </c>
      <c r="I31" s="102"/>
      <c r="J31" s="17">
        <f>SUM(J30:J30)</f>
        <v>4158</v>
      </c>
      <c r="K31" s="16"/>
      <c r="L31" s="16"/>
      <c r="M31" s="17">
        <f>SUM(M30:M30)</f>
        <v>4158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сто пятьдесят восемь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49" sqref="B49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13.08.2025г.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BEZ-M-15 от  13.08.2025г.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950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13.08.2025г.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У538HB716/31AEM17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M34" sqref="M32:M34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У538HB716/31AEM17</v>
      </c>
      <c r="C14" s="166"/>
      <c r="D14" s="166"/>
      <c r="E14" s="166"/>
      <c r="F14" s="166"/>
      <c r="G14" s="166"/>
      <c r="H14" s="167" t="s">
        <v>108</v>
      </c>
      <c r="I14" s="167"/>
      <c r="J14" s="88" t="str">
        <f>+Инвойс!F1</f>
        <v xml:space="preserve"> 13.08.2025г.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BEZ-M-15 от  13.08.2025г.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950</v>
      </c>
      <c r="G18" s="160" t="str">
        <f>+CMR!F30</f>
        <v>Дыни свежие</v>
      </c>
      <c r="H18" s="160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0"/>
      <c r="H20" s="160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0"/>
      <c r="H22" s="160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0"/>
      <c r="H24" s="160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0"/>
      <c r="H26" s="160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0"/>
      <c r="H28" s="160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0"/>
      <c r="H30" s="160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0"/>
      <c r="H32" s="160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0"/>
      <c r="H34" s="160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0"/>
      <c r="H36" s="160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0"/>
      <c r="H38" s="160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0"/>
      <c r="H40" s="160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0"/>
      <c r="H42" s="160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2"/>
      <c r="H44" s="162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950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6" zoomScale="85" zoomScaleNormal="85" workbookViewId="0">
      <selection activeCell="S28" sqref="S28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160</v>
      </c>
      <c r="C1" s="169"/>
      <c r="D1" s="169"/>
      <c r="E1" s="169"/>
      <c r="F1" s="149" t="str">
        <f>+Инвойс!F1</f>
        <v xml:space="preserve"> 13.08.2025г.</v>
      </c>
      <c r="G1" s="149"/>
      <c r="H1" s="149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3" t="str">
        <f>+Инвойс!C2</f>
        <v>к контракту № EX1607 от 16.07.2025 года</v>
      </c>
      <c r="D2" s="153"/>
      <c r="E2" s="153"/>
      <c r="F2" s="153"/>
      <c r="G2" s="153"/>
      <c r="H2" s="153"/>
      <c r="I2" s="153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1" t="str">
        <f>+Инвойс!A5</f>
        <v>OOO “BMB EXIM”</v>
      </c>
      <c r="B5" s="151"/>
      <c r="C5" s="151"/>
      <c r="D5" s="151"/>
      <c r="E5" s="151"/>
      <c r="F5" s="6"/>
      <c r="G5" s="144" t="str">
        <f>+Инвойс!G5</f>
        <v>ООО ТД «РЕСУРС»</v>
      </c>
      <c r="H5" s="144"/>
      <c r="I5" s="144"/>
      <c r="J5" s="144"/>
      <c r="K5" s="144"/>
      <c r="L5" s="144"/>
      <c r="M5" s="144"/>
    </row>
    <row r="6" spans="1:15" ht="13.8" x14ac:dyDescent="0.25">
      <c r="A6" s="172" t="str">
        <f>+Инвойс!A6</f>
        <v>Республика Узбекистан, Джизакская область,</v>
      </c>
      <c r="B6" s="172"/>
      <c r="C6" s="172"/>
      <c r="D6" s="172"/>
      <c r="E6" s="172"/>
      <c r="F6" s="7"/>
      <c r="G6" s="170" t="str">
        <f>+Инвойс!G6</f>
        <v xml:space="preserve">125362, Город Москва, вн.тер.г. муниципальный округ </v>
      </c>
      <c r="H6" s="170"/>
      <c r="I6" s="170"/>
      <c r="J6" s="170"/>
      <c r="K6" s="170"/>
      <c r="L6" s="170"/>
      <c r="M6" s="170"/>
      <c r="N6" s="4"/>
    </row>
    <row r="7" spans="1:15" ht="13.8" x14ac:dyDescent="0.25">
      <c r="A7" s="172" t="str">
        <f>+Инвойс!A7</f>
        <v>Шароф Рашидовский район, Токчилик МФЙ, ул Мустакиллик дом 92а</v>
      </c>
      <c r="B7" s="172"/>
      <c r="C7" s="172"/>
      <c r="D7" s="172"/>
      <c r="E7" s="172"/>
      <c r="F7" s="63"/>
      <c r="G7" s="170" t="str">
        <f>+Инвойс!G7</f>
        <v xml:space="preserve">Южное Тушино, ул Свободы, д. 35, стр. 43, помещ. 92/3 </v>
      </c>
      <c r="H7" s="170"/>
      <c r="I7" s="170"/>
      <c r="J7" s="170"/>
      <c r="K7" s="170"/>
      <c r="L7" s="170"/>
      <c r="M7" s="170"/>
    </row>
    <row r="8" spans="1:15" ht="15" customHeight="1" x14ac:dyDescent="0.25">
      <c r="A8" s="172" t="str">
        <f>+Инвойс!A8</f>
        <v>Р/с N 20208840905433267001   (USD)</v>
      </c>
      <c r="B8" s="172"/>
      <c r="C8" s="172"/>
      <c r="D8" s="172"/>
      <c r="E8" s="172"/>
      <c r="F8" s="63"/>
      <c r="G8" s="170" t="str">
        <f>+Инвойс!G8</f>
        <v>Банк: Азия-Инвест Банк (АО) ИНН: 9705116064 КПП: 770501001</v>
      </c>
      <c r="H8" s="170"/>
      <c r="I8" s="170"/>
      <c r="J8" s="170"/>
      <c r="K8" s="170"/>
      <c r="L8" s="170"/>
      <c r="M8" s="170"/>
    </row>
    <row r="9" spans="1:15" ht="13.8" x14ac:dyDescent="0.25">
      <c r="A9" s="172" t="str">
        <f>+Инвойс!A9</f>
        <v xml:space="preserve">в “Узсаноаткурилиш” Банк операционный </v>
      </c>
      <c r="B9" s="172"/>
      <c r="C9" s="172"/>
      <c r="D9" s="172"/>
      <c r="E9" s="172"/>
      <c r="F9" s="7"/>
      <c r="G9" s="170" t="str">
        <f>+Инвойс!G9</f>
        <v xml:space="preserve">Р/Счет: 40702840100000019384 ; БИК:  044525234 </v>
      </c>
      <c r="H9" s="170"/>
      <c r="I9" s="170"/>
      <c r="J9" s="170"/>
      <c r="K9" s="170"/>
      <c r="L9" s="170"/>
      <c r="M9" s="170"/>
      <c r="O9" s="7"/>
    </row>
    <row r="10" spans="1:15" ht="13.8" x14ac:dyDescent="0.25">
      <c r="A10" s="172" t="str">
        <f>+Инвойс!A10</f>
        <v>МФО 00440</v>
      </c>
      <c r="B10" s="172"/>
      <c r="C10" s="172"/>
      <c r="D10" s="172"/>
      <c r="E10" s="172"/>
      <c r="F10" s="7"/>
      <c r="G10" s="170" t="str">
        <f>+Инвойс!G10</f>
        <v xml:space="preserve">Корр.счет: 30101810445250000234  </v>
      </c>
      <c r="H10" s="170"/>
      <c r="I10" s="170"/>
      <c r="J10" s="170"/>
      <c r="K10" s="170"/>
      <c r="L10" s="170"/>
      <c r="M10" s="170"/>
    </row>
    <row r="11" spans="1:15" ht="13.8" x14ac:dyDescent="0.25">
      <c r="A11" s="172" t="str">
        <f>+Инвойс!A11</f>
        <v>ИНН: 308822933</v>
      </c>
      <c r="B11" s="172"/>
      <c r="C11" s="172"/>
      <c r="D11" s="172"/>
      <c r="E11" s="172"/>
      <c r="F11" s="7"/>
      <c r="G11" s="170" t="str">
        <f>+Инвойс!G11</f>
        <v>(SWIFT code: ASIJRUMM)</v>
      </c>
      <c r="H11" s="170"/>
      <c r="I11" s="170"/>
      <c r="J11" s="170"/>
      <c r="K11" s="170"/>
      <c r="L11" s="170"/>
      <c r="M11" s="170"/>
    </row>
    <row r="12" spans="1:15" ht="36" customHeight="1" x14ac:dyDescent="0.25">
      <c r="A12" s="152"/>
      <c r="B12" s="152"/>
      <c r="C12" s="152"/>
      <c r="D12" s="152"/>
      <c r="E12" s="152"/>
      <c r="F12" s="7"/>
      <c r="G12" s="152"/>
      <c r="H12" s="152"/>
      <c r="I12" s="152"/>
      <c r="J12" s="152"/>
      <c r="K12" s="152"/>
      <c r="L12" s="152"/>
      <c r="M12" s="152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1" t="str">
        <f>+Инвойс!A14</f>
        <v>OOO “BMB EXIM”</v>
      </c>
      <c r="B14" s="151"/>
      <c r="C14" s="151"/>
      <c r="D14" s="151"/>
      <c r="E14" s="151"/>
      <c r="F14" s="6"/>
      <c r="G14" s="144" t="str">
        <f>+Инвойс!G14</f>
        <v>OOO «Западные ворота»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2" t="str">
        <f>+Инвойс!A15</f>
        <v>Республика Узбекистан, Джизакская область,</v>
      </c>
      <c r="B15" s="172"/>
      <c r="C15" s="172"/>
      <c r="D15" s="172"/>
      <c r="E15" s="172"/>
      <c r="F15" s="7"/>
      <c r="G15" s="170" t="str">
        <f>+Инвойс!G15</f>
        <v>108811, г. Москва, вн.тер.г. муниципальный округ</v>
      </c>
      <c r="H15" s="170"/>
      <c r="I15" s="170"/>
      <c r="J15" s="170"/>
      <c r="K15" s="170"/>
      <c r="L15" s="170"/>
      <c r="M15" s="170"/>
    </row>
    <row r="16" spans="1:15" ht="13.8" x14ac:dyDescent="0.25">
      <c r="A16" s="172" t="str">
        <f>+Инвойс!A16</f>
        <v>Шароф Рашидовский район, Токчилик МФЙ, ул Мустакиллик дом 92а</v>
      </c>
      <c r="B16" s="172"/>
      <c r="C16" s="172"/>
      <c r="D16" s="172"/>
      <c r="E16" s="172"/>
      <c r="F16" s="63"/>
      <c r="G16" s="170" t="str">
        <f>+Инвойс!G16</f>
        <v>Солнцево, Киевское шоссе, 23-й км, д.8, стр.1</v>
      </c>
      <c r="H16" s="170"/>
      <c r="I16" s="170"/>
      <c r="J16" s="170"/>
      <c r="K16" s="170"/>
      <c r="L16" s="170"/>
      <c r="M16" s="170"/>
    </row>
    <row r="17" spans="1:17" ht="15" customHeight="1" x14ac:dyDescent="0.25">
      <c r="A17" s="172" t="str">
        <f>+Инвойс!A17</f>
        <v>Р/с N 20208840905433267001   (USD)</v>
      </c>
      <c r="B17" s="172"/>
      <c r="C17" s="172"/>
      <c r="D17" s="172"/>
      <c r="E17" s="172"/>
      <c r="F17" s="63"/>
      <c r="G17" s="170" t="str">
        <f>+Инвойс!G17</f>
        <v xml:space="preserve">р/с USD 40702810501400013450 </v>
      </c>
      <c r="H17" s="170"/>
      <c r="I17" s="170"/>
      <c r="J17" s="170"/>
      <c r="K17" s="170"/>
      <c r="L17" s="170"/>
      <c r="M17" s="170"/>
    </row>
    <row r="18" spans="1:17" ht="13.8" x14ac:dyDescent="0.25">
      <c r="A18" s="172" t="str">
        <f>+Инвойс!A18</f>
        <v xml:space="preserve">в “Узсаноаткурилиш” Банк операционный </v>
      </c>
      <c r="B18" s="172"/>
      <c r="C18" s="172"/>
      <c r="D18" s="172"/>
      <c r="E18" s="172"/>
      <c r="F18" s="7"/>
      <c r="G18" s="170" t="str">
        <f>+Инвойс!G18</f>
        <v>Банк: Филиал АО «АЛЬФА-БАНК»</v>
      </c>
      <c r="H18" s="170"/>
      <c r="I18" s="170"/>
      <c r="J18" s="170"/>
      <c r="K18" s="170"/>
      <c r="L18" s="170"/>
      <c r="M18" s="170"/>
    </row>
    <row r="19" spans="1:17" ht="13.8" x14ac:dyDescent="0.25">
      <c r="A19" s="172" t="str">
        <f>+Инвойс!A19</f>
        <v>МФО 00440</v>
      </c>
      <c r="B19" s="172"/>
      <c r="C19" s="172"/>
      <c r="D19" s="172"/>
      <c r="E19" s="172"/>
      <c r="F19" s="7"/>
      <c r="G19" s="170" t="str">
        <f>+Инвойс!G19</f>
        <v>к/с:  30101810200000000593</v>
      </c>
      <c r="H19" s="170"/>
      <c r="I19" s="170"/>
      <c r="J19" s="170"/>
      <c r="K19" s="170"/>
      <c r="L19" s="170"/>
      <c r="M19" s="170"/>
    </row>
    <row r="20" spans="1:17" ht="13.8" x14ac:dyDescent="0.25">
      <c r="A20" s="172" t="str">
        <f>+Инвойс!A20</f>
        <v>ИНН: 308822933</v>
      </c>
      <c r="B20" s="172"/>
      <c r="C20" s="172"/>
      <c r="D20" s="172"/>
      <c r="E20" s="172"/>
      <c r="F20" s="7"/>
      <c r="G20" s="170" t="str">
        <f>+Инвойс!G20</f>
        <v>ИНН/КПП 5004025693/775101001 ОГРН 1135004001802</v>
      </c>
      <c r="H20" s="170"/>
      <c r="I20" s="170"/>
      <c r="J20" s="170"/>
      <c r="K20" s="170"/>
      <c r="L20" s="170"/>
      <c r="M20" s="170"/>
    </row>
    <row r="21" spans="1:17" ht="13.8" x14ac:dyDescent="0.25">
      <c r="A21" s="172"/>
      <c r="B21" s="172"/>
      <c r="C21" s="172"/>
      <c r="D21" s="172"/>
      <c r="E21" s="172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У538HB716/31AEM17</v>
      </c>
      <c r="F26" s="138"/>
      <c r="G26" s="138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1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1" t="s">
        <v>12</v>
      </c>
      <c r="H29" s="111" t="s">
        <v>13</v>
      </c>
      <c r="I29" s="133"/>
      <c r="J29" s="112" t="s">
        <v>14</v>
      </c>
      <c r="K29" s="10" t="s">
        <v>15</v>
      </c>
      <c r="L29" s="10" t="s">
        <v>16</v>
      </c>
      <c r="M29" s="133"/>
    </row>
    <row r="30" spans="1:17" ht="22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950</v>
      </c>
      <c r="F30" s="116" t="str">
        <f>+Инвойс!F30</f>
        <v>кг</v>
      </c>
      <c r="G30" s="106">
        <f>+Инвойс!G30</f>
        <v>22500</v>
      </c>
      <c r="H30" s="106">
        <f>+Инвойс!H30</f>
        <v>20790</v>
      </c>
      <c r="I30" s="108">
        <f>+Инвойс!I30</f>
        <v>0.2</v>
      </c>
      <c r="J30" s="13">
        <f>+Инвойс!J30</f>
        <v>4158</v>
      </c>
      <c r="K30" s="12">
        <v>0</v>
      </c>
      <c r="L30" s="12">
        <v>0</v>
      </c>
      <c r="M30" s="13">
        <f>+Инвойс!M30</f>
        <v>4158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950</v>
      </c>
      <c r="F31" s="15"/>
      <c r="G31" s="64">
        <f>SUM(G30:G30)</f>
        <v>22500</v>
      </c>
      <c r="H31" s="64">
        <f>SUM(H30:H30)</f>
        <v>20790</v>
      </c>
      <c r="I31" s="102"/>
      <c r="J31" s="17">
        <f>SUM(J30:J30)</f>
        <v>4158</v>
      </c>
      <c r="K31" s="16"/>
      <c r="L31" s="16"/>
      <c r="M31" s="17">
        <f>SUM(M30:M30)</f>
        <v>4158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Четыре тысячи сто пятьдесят восемь долларов США, 00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4158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пятьдесят восемь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45882</v>
      </c>
      <c r="O3" s="176"/>
      <c r="P3">
        <f ca="1">DAY(N3)</f>
        <v>13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пятьдесят восемь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13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пятьдесят восемь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пятьдесят восемь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пятьдесят восемь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45882</v>
      </c>
    </row>
    <row r="13" spans="1:19" s="43" customFormat="1" x14ac:dyDescent="0.25">
      <c r="A13" s="49"/>
      <c r="D13" s="51"/>
      <c r="E13" s="52">
        <f>TRUNC(E2)</f>
        <v>4158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4158</v>
      </c>
      <c r="B29" s="47">
        <f>TRUNC(RIGHT(A29))</f>
        <v>8</v>
      </c>
      <c r="C29" s="51">
        <f>IF(B28=1,B29+10,IF(B29=0,0,B29))</f>
        <v>8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восемь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158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2025-08-12T21:37:02Z</cp:lastPrinted>
  <dcterms:created xsi:type="dcterms:W3CDTF">1996-10-14T23:33:28Z</dcterms:created>
  <dcterms:modified xsi:type="dcterms:W3CDTF">2025-08-12T21:37:21Z</dcterms:modified>
</cp:coreProperties>
</file>