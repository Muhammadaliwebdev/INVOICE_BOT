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7DB87F3-7722-4F5F-98AF-CB9818BF4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<sst xmlns="http://schemas.openxmlformats.org/spreadsheetml/2006/main" count="208" uniqueCount="170">
  <si>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</si>
  <si>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</si>
  <si>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</si>
  <si>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</si>
  <si>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</si>
  <si>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</si>
  <si>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</si>
  <si>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</si>
  <si>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</si>
  <si>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</si>
  <si>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</si>
  <si>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</si>
  <si>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</si>
  <si>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</si>
  <si>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</si>
  <si>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</si>
  <si>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</si>
  <si>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</si>
  <si>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</si>
  <si>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</si>
  <si>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</si>
  <si>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</si>
  <si>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</si>
  <si>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</si>
  <si>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</si>
  <si>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</si>
  <si>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</si>
  <si>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</si>
  <si>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</si>
  <si>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</si>
  <si>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</si>
  <si>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</si>
  <si>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</si>
  <si>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</si>
  <si>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</si>
  <si>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</si>
  <si>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</si>
  <si>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</si>
  <si>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</si>
  <si>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</si>
  <si>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</si>
  <si>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</si>
  <si>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</si>
  <si>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</si>
  <si>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</si>
  <si>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</si>
  <si>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</si>
  <si>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</si>
  <si>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</si>
  <si>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</si>
  <si>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</si>
  <si>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</si>
  <si>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</si>
  <si>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</si>
  <si>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</si>
  <si>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</si>
  <si>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</si>
  <si>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</si>
  <si>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</si>
  <si>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</si>
  <si>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</si>
  <si>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</si>
  <si>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</si>
  <si>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</si>
  <si>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</si>
  <si>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</si>
  <si>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</si>
  <si>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</si>
  <si>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</si>
  <si>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</si>
  <si>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</si>
  <si>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</si>
  <si>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</si>
  <si>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</si>
  <si>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</si>
  <si>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</si>
  <si>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</si>
  <si>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</si>
  <si>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</si>
  <si>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</si>
  <si>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</si>
  <si>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</si>
  <si>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</si>
  <si>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</si>
  <si>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</si>
  <si>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</si>
  <si>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</si>
  <si>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</si>
  <si>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</si>
  <si>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</si>
  <si>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</si>
  <si>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</si>
  <si>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</si>
  <si>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</si>
  <si>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</si>
  <si>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</si>
  <si>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</si>
  <si>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</si>
  <si>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</si>
  <si>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</si>
  <si>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</si>
  <si>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</si>
  <si>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</si>
  <si>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</si>
  <si>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</si>
  <si>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</si>
  <si>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</si>
  <si>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</si>
  <si>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</si>
  <si>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</si>
  <si>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</si>
  <si>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</si>
  <si>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</si>
  <si>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</si>
  <si>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</si>
  <si>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</si>
  <si>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</si>
  <si>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</si>
  <si>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</si>
  <si>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</si>
  <si>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</si>
  <si>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</si>
  <si>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</si>
  <si>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</si>
  <si>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</si>
  <si>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</si>
  <si>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</si>
  <si>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</si>
  <si>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</si>
  <si>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</si>
  <si>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</si>
  <si>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</si>
  <si>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</si>
  <si>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</si>
  <si>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</si>
  <si>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</si>
  <si>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</si>
  <si>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</si>
  <si>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</si>
  <si>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</si>
  <si>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</si>
  <si>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</si>
  <si>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</si>
  <si>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</si>
  <si>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</si>
  <si>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</si>
  <si>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</si>
  <si>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</si>
  <si>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</si>
  <si>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</si>
  <si>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</si>
  <si>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</si>
  <si>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</si>
  <si>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</si>
  <si>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</si>
  <si>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</si>
  <si>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</si>
  <si>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</si>
  <si>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</si>
  <si>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</si>
  <si>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</si>
  <si>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</si>
  <si>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</si>
  <si>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</si>
  <si>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</si>
  <si>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</si>
  <si>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BMX-A-45 от </t>
  </si>
  <si>
    <t xml:space="preserve"> 24.08.2025г.</t>
  </si>
  <si>
    <t>30L715CB/308777AA</t>
  </si>
  <si>
    <t xml:space="preserve">СПЕЦИФИКАЦИЯ № BMX-A-45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</si>
</sst>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166</v>
      </c>
      <c r="D1" s="133"/>
      <c r="E1" s="133"/>
      <c r="F1" s="132" t="s">
        <v>167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165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139</v>
      </c>
      <c r="H5" s="136"/>
      <c r="I5" s="136"/>
      <c r="J5" s="136"/>
      <c r="K5" s="136"/>
      <c r="L5" s="136"/>
      <c r="M5" s="136"/>
    </row>
    <row r="6" spans="1:15" ht="13.8" x14ac:dyDescent="0.25">
      <c r="A6" s="140" t="s">
        <v>150</v>
      </c>
      <c r="B6" s="141"/>
      <c r="C6" s="141"/>
      <c r="D6" s="141"/>
      <c r="E6" s="141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150</v>
      </c>
      <c r="B15" s="141"/>
      <c r="C15" s="141"/>
      <c r="D15" s="141"/>
      <c r="E15" s="141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137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168</v>
      </c>
      <c r="F26" s="154"/>
      <c r="G26" s="154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110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BMX-A-45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30L715CB/308777AA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F27" sqref="F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30L715CB/308777AA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BMX-A-45 от  24.08.2025г.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5"/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1000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169</v>
      </c>
      <c r="C1" s="172"/>
      <c r="D1" s="172"/>
      <c r="E1" s="172"/>
      <c r="F1" s="132" t="str">
        <f>+Инвойс!F1</f>
        <v xml:space="preserve"> 24.08.2025г.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BMR-2025 от 16.08.2025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МAX”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40" t="str">
        <f>+Инвойс!A6</f>
        <v>Республика Узбекистан. Ташкентская область,</v>
      </c>
      <c r="B6" s="140"/>
      <c r="C6" s="140"/>
      <c r="D6" s="140"/>
      <c r="E6" s="140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40" t="str">
        <f>+Инвойс!A7</f>
        <v>Бекабадский район, МФЙ Найман, улица Мусаффо, дом 107</v>
      </c>
      <c r="B7" s="140"/>
      <c r="C7" s="140"/>
      <c r="D7" s="140"/>
      <c r="E7" s="140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0" t="str">
        <f>+Инвойс!A8</f>
        <v>в “Узсаноаткурилиш” Банк операционный  МФО 00440</v>
      </c>
      <c r="B8" s="140"/>
      <c r="C8" s="140"/>
      <c r="D8" s="140"/>
      <c r="E8" s="140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40" t="str">
        <f>+Инвойс!A9</f>
        <v>Х/Р: 20208000005606798001 / Х/Р: 20208840605606798003</v>
      </c>
      <c r="B9" s="140"/>
      <c r="C9" s="140"/>
      <c r="D9" s="140"/>
      <c r="E9" s="140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40" t="str">
        <f>+Инвойс!A10</f>
        <v>Х/Р: 20208840605606798003</v>
      </c>
      <c r="B10" s="140"/>
      <c r="C10" s="140"/>
      <c r="D10" s="140"/>
      <c r="E10" s="140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40" t="str">
        <f>+Инвойс!A11</f>
        <v>ИНН: 309774620</v>
      </c>
      <c r="B11" s="140"/>
      <c r="C11" s="140"/>
      <c r="D11" s="140"/>
      <c r="E11" s="140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“BMB МAX”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tr">
        <f>+Инвойс!A15</f>
        <v>Республика Узбекистан. Ташкентская область,</v>
      </c>
      <c r="B15" s="140"/>
      <c r="C15" s="140"/>
      <c r="D15" s="140"/>
      <c r="E15" s="140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40" t="str">
        <f>+Инвойс!A16</f>
        <v>Бекабадский район, МФЙ Найман, улица Мусаффо, дом 107</v>
      </c>
      <c r="B16" s="140"/>
      <c r="C16" s="140"/>
      <c r="D16" s="140"/>
      <c r="E16" s="140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0" t="str">
        <f>+Инвойс!A17</f>
        <v>в “Узсаноаткурилиш” Банк операционный  МФО 00440</v>
      </c>
      <c r="B17" s="140"/>
      <c r="C17" s="140"/>
      <c r="D17" s="140"/>
      <c r="E17" s="140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40" t="str">
        <f>+Инвойс!A18</f>
        <v>Х/Р: 20208000005606798001 / Х/Р: 20208840605606798003</v>
      </c>
      <c r="B18" s="140"/>
      <c r="C18" s="140"/>
      <c r="D18" s="140"/>
      <c r="E18" s="140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40" t="str">
        <f>+Инвойс!A19</f>
        <v>Х/Р: 20208840605606798003</v>
      </c>
      <c r="B19" s="140"/>
      <c r="C19" s="140"/>
      <c r="D19" s="140"/>
      <c r="E19" s="140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40" t="str">
        <f>+Инвойс!A20</f>
        <v>ИНН: 309774620</v>
      </c>
      <c r="B20" s="140"/>
      <c r="C20" s="140"/>
      <c r="D20" s="140"/>
      <c r="E20" s="140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30L715CB/308777AA</v>
      </c>
      <c r="F26" s="154"/>
      <c r="G26" s="154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36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.6" x14ac:dyDescent="0.3">
      <c r="A36" s="7" t="s">
        <v>157</v>
      </c>
      <c r="B36" s="7"/>
      <c r="D36" s="25" t="str">
        <f>+Инвойс!D36</f>
        <v>Номуротов Ш.В</v>
      </c>
      <c r="E36" s="24"/>
      <c r="G36" s="129" t="s">
        <v>146</v>
      </c>
      <c r="H36" t="str">
        <f>Инвойс!G5</f>
        <v>ООО ТД «РЕСУРС»</v>
      </c>
      <c r="K36" s="130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8" sqref="D8:E8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117</v>
      </c>
    </row>
    <row r="2" spans="1:9" x14ac:dyDescent="0.25">
      <c r="D2" s="18" t="s">
        <v>138</v>
      </c>
      <c r="I2" s="25" t="s">
        <v>158</v>
      </c>
    </row>
    <row r="3" spans="1:9" ht="52.8" x14ac:dyDescent="0.25">
      <c r="A3" s="131" t="s">
        <v>137</v>
      </c>
    </row>
    <row r="4" spans="1:9" x14ac:dyDescent="0.25">
      <c r="D4" s="18" t="s">
        <v>164</v>
      </c>
      <c r="I4" s="25" t="s">
        <v>159</v>
      </c>
    </row>
    <row r="5" spans="1:9" ht="39.6" x14ac:dyDescent="0.25">
      <c r="A5" s="126" t="s">
        <v>118</v>
      </c>
    </row>
    <row r="6" spans="1:9" x14ac:dyDescent="0.25">
      <c r="D6" s="18" t="s">
        <v>160</v>
      </c>
      <c r="I6" s="25" t="s">
        <v>161</v>
      </c>
    </row>
    <row r="7" spans="1:9" ht="52.8" x14ac:dyDescent="0.25">
      <c r="A7" s="126" t="s">
        <v>119</v>
      </c>
    </row>
    <row r="8" spans="1:9" x14ac:dyDescent="0.25">
      <c r="D8" s="18" t="s">
        <v>162</v>
      </c>
      <c r="I8" s="25" t="s">
        <v>163</v>
      </c>
    </row>
    <row r="9" spans="1:9" ht="52.8" x14ac:dyDescent="0.25">
      <c r="A9" s="126" t="s">
        <v>120</v>
      </c>
    </row>
    <row r="10" spans="1:9" x14ac:dyDescent="0.25">
      <c r="A10" s="126"/>
    </row>
    <row r="11" spans="1:9" ht="52.8" x14ac:dyDescent="0.25">
      <c r="A11" s="126" t="s">
        <v>121</v>
      </c>
    </row>
    <row r="13" spans="1:9" ht="52.8" x14ac:dyDescent="0.25">
      <c r="A13" s="126" t="s">
        <v>122</v>
      </c>
    </row>
    <row r="15" spans="1:9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2025-08-24T06:58:28Z</cp:lastPrinted>
  <dcterms:created xsi:type="dcterms:W3CDTF">1996-10-14T23:33:28Z</dcterms:created>
  <dcterms:modified xsi:type="dcterms:W3CDTF">2025-08-24T06:58:42Z</dcterms:modified>
</cp:coreProperties>
</file>