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<sst xmlns="http://schemas.openxmlformats.org/spreadsheetml/2006/main" count="209" uniqueCount="163">
  <si>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</si>
  <si>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</si>
  <si>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</si>
  <si>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</si>
  <si>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</si>
  <si>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</si>
  <si>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</si>
  <si>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</si>
  <si>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</si>
  <si>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</si>
  <si>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</si>
  <si>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</si>
  <si>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</si>
  <si>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</si>
  <si>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</si>
  <si>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</si>
  <si>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</si>
  <si>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</si>
  <si>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</si>
  <si>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</si>
  <si>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</si>
  <si>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</si>
  <si>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</si>
  <si>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</si>
  <si>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</si>
  <si>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</si>
  <si>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</si>
  <si>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</si>
  <si>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</si>
  <si>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</si>
  <si>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</si>
  <si>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</si>
  <si>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</si>
  <si>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</si>
  <si>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</si>
  <si>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</si>
  <si>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</si>
  <si>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</si>
  <si>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</si>
  <si>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</si>
  <si>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</si>
  <si>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</si>
  <si>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</si>
  <si>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</si>
  <si>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</si>
  <si>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</si>
  <si>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</si>
  <si>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</si>
  <si>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</si>
  <si>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</si>
  <si>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</si>
  <si>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</si>
  <si>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</si>
  <si>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</si>
  <si>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</si>
  <si>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</si>
  <si>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</si>
  <si>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</si>
  <si>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</si>
  <si>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</si>
  <si>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</si>
  <si>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</si>
  <si>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</si>
  <si>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</si>
  <si>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</si>
  <si>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</si>
  <si>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</si>
  <si>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</si>
  <si>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</si>
  <si>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</si>
  <si>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</si>
  <si>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</si>
  <si>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</si>
  <si>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</si>
  <si>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</si>
  <si>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</si>
  <si>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</si>
  <si>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</si>
  <si>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</si>
  <si>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</si>
  <si>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</si>
  <si>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</si>
  <si>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</si>
  <si>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</si>
  <si>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</si>
  <si>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</si>
  <si>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</si>
  <si>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</si>
  <si>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</si>
  <si>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</si>
  <si>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</si>
  <si>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</si>
  <si>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</si>
  <si>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</si>
  <si>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</si>
  <si>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</si>
  <si>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</si>
  <si>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</si>
  <si>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</si>
  <si>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</si>
  <si>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</si>
  <si>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</si>
  <si>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</si>
  <si>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</si>
  <si>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</si>
  <si>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</si>
  <si>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</si>
  <si>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</si>
  <si>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</si>
  <si>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</si>
  <si>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</si>
  <si>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</si>
  <si>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</si>
  <si>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</si>
  <si>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</si>
  <si>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</si>
  <si>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</si>
  <si>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</si>
  <si>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</si>
  <si>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</si>
  <si>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</si>
  <si>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</si>
  <si>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</si>
  <si>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</si>
  <si>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</si>
  <si>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</si>
  <si>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</si>
  <si>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</si>
  <si>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</si>
  <si>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</si>
  <si>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</si>
  <si>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</si>
  <si>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</si>
  <si>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</si>
  <si>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</si>
  <si>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</si>
  <si>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</si>
  <si>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</si>
  <si>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</si>
  <si>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</si>
  <si>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</si>
  <si>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</si>
  <si>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</si>
  <si>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</si>
  <si>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</si>
  <si>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</si>
  <si>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</si>
  <si>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</si>
  <si>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</si>
  <si>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</si>
  <si>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</si>
  <si>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</si>
  <si>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</si>
  <si>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</si>
  <si>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</si>
  <si>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</si>
  <si>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</si>
  <si>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</si>
  <si>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</si>
  <si>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PLG-A-50 от </t>
  </si>
  <si>
    <t xml:space="preserve"> 04.09.2025г.</t>
  </si>
  <si>
    <t>80071SBA/807171AA</t>
  </si>
  <si>
    <t xml:space="preserve">СПЕЦИФИКАЦИЯ № PLG-A-50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</si>
</sst>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120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2500</v>
      </c>
      <c r="F30" s="110" t="s">
        <v>27</v>
      </c>
      <c r="G30" s="106">
        <v>22500</v>
      </c>
      <c r="H30" s="106">
        <v>20750</v>
      </c>
      <c r="I30" s="108">
        <v>1</v>
      </c>
      <c r="J30" s="13">
        <f t="shared" ref="J30" si="0">H30*I30</f>
        <v>20750</v>
      </c>
      <c r="K30" s="12">
        <v>0</v>
      </c>
      <c r="L30" s="12">
        <v>0</v>
      </c>
      <c r="M30" s="13">
        <f t="shared" ref="M30" si="1">J30</f>
        <v>20750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2500</v>
      </c>
      <c r="F31" s="15"/>
      <c r="G31" s="64">
        <f>SUM(G30:G30)</f>
        <v>22500</v>
      </c>
      <c r="H31" s="64">
        <f>SUM(H30:H30)</f>
        <v>20750</v>
      </c>
      <c r="I31" s="102"/>
      <c r="J31" s="17">
        <f>SUM(J30:J30)</f>
        <v>20750</v>
      </c>
      <c r="K31" s="16"/>
      <c r="L31" s="16"/>
      <c r="M31" s="17">
        <f>SUM(M30:M30)</f>
        <v>20750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семьсот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PLG-A-50 от  04.09.2025г.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2500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04.09.2025г.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80071SBA/807171AA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80071SBA/807171AA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04.09.2025г.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PLG-A-50 от  04.09.2025г.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2500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2500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04.09.2025г.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80071SBA/807171AA</v>
      </c>
      <c r="F26" s="156"/>
      <c r="G26" s="156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2500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20750</v>
      </c>
      <c r="I30" s="108">
        <f>+Инвойс!I30</f>
        <v>1</v>
      </c>
      <c r="J30" s="13">
        <f>+Инвойс!J30</f>
        <v>20750</v>
      </c>
      <c r="K30" s="12">
        <v>0</v>
      </c>
      <c r="L30" s="12">
        <v>0</v>
      </c>
      <c r="M30" s="13">
        <f>+Инвойс!M30</f>
        <v>20750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2500</v>
      </c>
      <c r="F31" s="15"/>
      <c r="G31" s="64">
        <f>SUM(G30:G30)</f>
        <v>22500</v>
      </c>
      <c r="H31" s="64">
        <f>SUM(H30:H30)</f>
        <v>20750</v>
      </c>
      <c r="I31" s="102"/>
      <c r="J31" s="17">
        <f>SUM(J30:J30)</f>
        <v>20750</v>
      </c>
      <c r="K31" s="16"/>
      <c r="L31" s="16"/>
      <c r="M31" s="17">
        <f>SUM(M30:M30)</f>
        <v>20750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семьсот пятьдесят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20750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семьсот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семьсот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семьсот пятьдесят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семьсот пятьдесят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семьсот пятьдесят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">
      <c r="A13" s="49"/>
      <c r="D13" s="51"/>
      <c r="E13" s="52">
        <f>TRUNC(E2)</f>
        <v>20750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">
      <c r="A28" s="54">
        <f>TRUNC(A29/10)</f>
        <v>2075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20750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2025-09-04T08:54:13Z</cp:lastPrinted>
  <dcterms:created xsi:type="dcterms:W3CDTF">1996-10-14T23:33:28Z</dcterms:created>
  <dcterms:modified xsi:type="dcterms:W3CDTF">2025-09-04T08:54:14Z</dcterms:modified>
</cp:coreProperties>
</file>