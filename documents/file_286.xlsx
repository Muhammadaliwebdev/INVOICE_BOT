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B804054-70CA-493D-AC16-B4B52DE4D1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<sst xmlns="http://schemas.openxmlformats.org/spreadsheetml/2006/main" count="213" uniqueCount="164">
  <si>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</si>
  <si>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</si>
  <si>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</si>
  <si>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</si>
  <si>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</si>
  <si>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</si>
  <si>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</si>
  <si>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</si>
  <si>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</si>
  <si>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</si>
  <si>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</si>
  <si>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</si>
  <si>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</si>
  <si>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</si>
  <si>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</si>
  <si>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</si>
  <si>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</si>
  <si>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</si>
  <si>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</si>
  <si>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</si>
  <si>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</si>
  <si>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</si>
  <si>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</si>
  <si>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</si>
  <si>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</si>
  <si>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</si>
  <si>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</si>
  <si>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</si>
  <si>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</si>
  <si>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</si>
  <si>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</si>
  <si>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</si>
  <si>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</si>
  <si>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</si>
  <si>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</si>
  <si>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</si>
  <si>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</si>
  <si>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</si>
  <si>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</si>
  <si>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</si>
  <si>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</si>
  <si>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</si>
  <si>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</si>
  <si>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</si>
  <si>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</si>
  <si>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</si>
  <si>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</si>
  <si>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</si>
  <si>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</si>
  <si>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</si>
  <si>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</si>
  <si>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</si>
  <si>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</si>
  <si>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</si>
  <si>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</si>
  <si>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</si>
  <si>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</si>
  <si>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</si>
  <si>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</si>
  <si>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</si>
  <si>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</si>
  <si>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</si>
  <si>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</si>
  <si>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</si>
  <si>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</si>
  <si>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</si>
  <si>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</si>
  <si>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</si>
  <si>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</si>
  <si>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</si>
  <si>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</si>
  <si>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</si>
  <si>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</si>
  <si>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</si>
  <si>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</si>
  <si>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</si>
  <si>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</si>
  <si>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</si>
  <si>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</si>
  <si>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</si>
  <si>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</si>
  <si>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</si>
  <si>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</si>
  <si>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</si>
  <si>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</si>
  <si>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</si>
  <si>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</si>
  <si>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</si>
  <si>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</si>
  <si>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</si>
  <si>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</si>
  <si>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</si>
  <si>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</si>
  <si>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</si>
  <si>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</si>
  <si>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</si>
  <si>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</si>
  <si>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</si>
  <si>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</si>
  <si>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</si>
  <si>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</si>
  <si>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</si>
  <si>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</si>
  <si>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</si>
  <si>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</si>
  <si>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</si>
  <si>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</si>
  <si>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</si>
  <si>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</si>
  <si>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</si>
  <si>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</si>
  <si>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</si>
  <si>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</si>
  <si>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</si>
  <si>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</si>
  <si>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</si>
  <si>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</si>
  <si>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</si>
  <si>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</si>
  <si>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</si>
  <si>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</si>
  <si>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</si>
  <si>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</si>
  <si>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</si>
  <si>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</si>
  <si>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</si>
  <si>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</si>
  <si>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</si>
  <si>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</si>
  <si>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</si>
  <si>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</si>
  <si>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</si>
  <si>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</si>
  <si>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</si>
  <si>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</si>
  <si>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</si>
  <si>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</si>
  <si>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</si>
  <si>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</si>
  <si>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</si>
  <si>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</si>
  <si>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</si>
  <si>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</si>
  <si>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</si>
  <si>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</si>
  <si>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</si>
  <si>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</si>
  <si>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</si>
  <si>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</si>
  <si>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</si>
  <si>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</si>
  <si>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</si>
  <si>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</si>
  <si>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</si>
  <si>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</si>
  <si>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</si>
  <si>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</si>
  <si>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</si>
  <si>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 30.08.2025г.</t>
  </si>
  <si>
    <t>30168DBA/304391AA</t>
  </si>
  <si>
    <t>навалом</t>
  </si>
  <si>
    <t>-</t>
  </si>
  <si>
    <t xml:space="preserve">ИНВОЙС № MEG-O-38 от </t>
  </si>
  <si>
    <t xml:space="preserve">СПЕЦИФИКАЦИЯ № MEG-O-38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</si>
</sst>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38</xdr:row>
      <xdr:rowOff>33618</xdr:rowOff>
    </xdr:from>
    <xdr:to>
      <xdr:col>3</xdr:col>
      <xdr:colOff>224118</xdr:colOff>
      <xdr:row>50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38</xdr:row>
      <xdr:rowOff>100855</xdr:rowOff>
    </xdr:from>
    <xdr:to>
      <xdr:col>4</xdr:col>
      <xdr:colOff>389833</xdr:colOff>
      <xdr:row>40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38</xdr:row>
      <xdr:rowOff>22412</xdr:rowOff>
    </xdr:from>
    <xdr:to>
      <xdr:col>2</xdr:col>
      <xdr:colOff>392207</xdr:colOff>
      <xdr:row>50</xdr:row>
      <xdr:rowOff>10889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38</xdr:row>
      <xdr:rowOff>89649</xdr:rowOff>
    </xdr:from>
    <xdr:to>
      <xdr:col>3</xdr:col>
      <xdr:colOff>546715</xdr:colOff>
      <xdr:row>40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37</xdr:row>
      <xdr:rowOff>78441</xdr:rowOff>
    </xdr:from>
    <xdr:to>
      <xdr:col>9</xdr:col>
      <xdr:colOff>589990</xdr:colOff>
      <xdr:row>49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162</v>
      </c>
      <c r="D1" s="136"/>
      <c r="E1" s="136"/>
      <c r="F1" s="135" t="s">
        <v>158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138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130</v>
      </c>
      <c r="B5" s="137"/>
      <c r="C5" s="137"/>
      <c r="D5" s="137"/>
      <c r="E5" s="137"/>
      <c r="F5" s="6"/>
      <c r="G5" s="139" t="s">
        <v>139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131</v>
      </c>
      <c r="B6" s="125"/>
      <c r="C6" s="125"/>
      <c r="D6" s="125"/>
      <c r="E6" s="125"/>
      <c r="F6" s="7"/>
      <c r="G6" s="141" t="s">
        <v>140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136</v>
      </c>
      <c r="B7" s="125"/>
      <c r="C7" s="125"/>
      <c r="D7" s="125"/>
      <c r="E7" s="125"/>
      <c r="F7" s="63"/>
      <c r="G7" s="141" t="s">
        <v>141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134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146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130</v>
      </c>
      <c r="B14" s="137"/>
      <c r="C14" s="137"/>
      <c r="D14" s="137"/>
      <c r="E14" s="137"/>
      <c r="F14" s="6"/>
      <c r="G14" s="139" t="s">
        <v>139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131</v>
      </c>
      <c r="B15" s="125"/>
      <c r="C15" s="125"/>
      <c r="D15" s="125"/>
      <c r="E15" s="125"/>
      <c r="F15" s="7"/>
      <c r="G15" s="141" t="s">
        <v>140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136</v>
      </c>
      <c r="B16" s="125"/>
      <c r="C16" s="125"/>
      <c r="D16" s="125"/>
      <c r="E16" s="125"/>
      <c r="F16" s="63"/>
      <c r="G16" s="141" t="s">
        <v>141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134</v>
      </c>
      <c r="B19" s="125"/>
      <c r="C19" s="125"/>
      <c r="D19" s="125"/>
      <c r="E19" s="125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146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151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159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930</v>
      </c>
      <c r="F30" s="110" t="s">
        <v>27</v>
      </c>
      <c r="G30" s="106">
        <v>22300</v>
      </c>
      <c r="H30" s="106">
        <v>20626</v>
      </c>
      <c r="I30" s="108">
        <v>0.25</v>
      </c>
      <c r="J30" s="13">
        <f t="shared" ref="J30:J31" si="0">H30*I30</f>
        <v>5156.5</v>
      </c>
      <c r="K30" s="12">
        <v>0</v>
      </c>
      <c r="L30" s="12">
        <v>0</v>
      </c>
      <c r="M30" s="13">
        <f t="shared" ref="M30:M31" si="1">J30</f>
        <v>5156.5</v>
      </c>
      <c r="O30" s="100"/>
      <c r="Q30" s="100"/>
    </row>
    <row r="31" spans="1:17" ht="13.8" x14ac:dyDescent="0.25">
      <c r="A31" s="128">
        <v>2</v>
      </c>
      <c r="B31" s="101" t="s">
        <v>124</v>
      </c>
      <c r="C31" s="107" t="s">
        <v>125</v>
      </c>
      <c r="D31" s="109" t="s">
        <v>160</v>
      </c>
      <c r="E31" s="101" t="s">
        <v>161</v>
      </c>
      <c r="F31" s="116" t="s">
        <v>27</v>
      </c>
      <c r="G31" s="106">
        <v>700</v>
      </c>
      <c r="H31" s="106">
        <v>700</v>
      </c>
      <c r="I31" s="108">
        <v>0.25</v>
      </c>
      <c r="J31" s="13">
        <f t="shared" si="0"/>
        <v>175</v>
      </c>
      <c r="K31" s="12">
        <v>0</v>
      </c>
      <c r="L31" s="12">
        <v>0</v>
      </c>
      <c r="M31" s="13">
        <f t="shared" si="1"/>
        <v>175</v>
      </c>
      <c r="O31" s="100"/>
      <c r="Q31" s="100"/>
    </row>
    <row r="32" spans="1:17" ht="13.8" x14ac:dyDescent="0.25">
      <c r="A32" s="149" t="s">
        <v>0</v>
      </c>
      <c r="B32" s="150"/>
      <c r="C32" s="14"/>
      <c r="D32" s="15"/>
      <c r="E32" s="64">
        <f>SUM(E30:E31)</f>
        <v>930</v>
      </c>
      <c r="F32" s="15"/>
      <c r="G32" s="64">
        <f>SUM(G30:G31)</f>
        <v>23000</v>
      </c>
      <c r="H32" s="64">
        <f>SUM(H30:H31)</f>
        <v>21326</v>
      </c>
      <c r="I32" s="102"/>
      <c r="J32" s="17">
        <f>SUM(J30:J31)</f>
        <v>5331.5</v>
      </c>
      <c r="K32" s="16"/>
      <c r="L32" s="16"/>
      <c r="M32" s="17">
        <f>SUM(M30:M31)</f>
        <v>5331.5</v>
      </c>
      <c r="P32" s="66"/>
    </row>
    <row r="33" spans="1:14" ht="13.8" x14ac:dyDescent="0.3">
      <c r="A33" s="2" t="s">
        <v>17</v>
      </c>
      <c r="B33" s="3"/>
      <c r="C33" s="11"/>
      <c r="D33" s="11"/>
      <c r="E33" s="145" t="str">
        <f>Лист1!B3</f>
        <v>Пять тысяч триста тридцать один доллар США,50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5">
      <c r="A35" s="143" t="s">
        <v>109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ht="13.8" x14ac:dyDescent="0.25">
      <c r="A37" s="7" t="s">
        <v>28</v>
      </c>
      <c r="B37" s="7"/>
      <c r="D37" s="25" t="s">
        <v>135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3">
    <mergeCell ref="I28:I29"/>
    <mergeCell ref="G28:H28"/>
    <mergeCell ref="C23:M23"/>
    <mergeCell ref="E26:G26"/>
    <mergeCell ref="G7:M7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I41" sqref="I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MEG-O-38 от  30.08.2025г.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22300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700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59" t="str">
        <f>+C22</f>
        <v xml:space="preserve"> 30.08.2025г.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30168DBA/304391AA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43" sqref="G43:H4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30168DBA/304391AA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MEG-O-38 от  30.08.2025г.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930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22300</v>
      </c>
    </row>
    <row r="20" spans="2:10" ht="13.5" customHeight="1" x14ac:dyDescent="0.3">
      <c r="B20" s="83"/>
      <c r="E20" s="123"/>
      <c r="F20" s="118" t="str">
        <f>+Инвойс!E31</f>
        <v>-</v>
      </c>
      <c r="G20" s="166" t="str">
        <f>+CMR!F31</f>
        <v>Дыни свежие</v>
      </c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навалом</v>
      </c>
      <c r="G21" s="160" t="str">
        <f>+Инвойс!C31</f>
        <v>0807190001</v>
      </c>
      <c r="H21" s="161"/>
      <c r="I21" s="122" t="s">
        <v>103</v>
      </c>
      <c r="J21" s="120">
        <f>+Инвойс!G31</f>
        <v>700</v>
      </c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v>930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13" zoomScale="85" zoomScaleNormal="85" workbookViewId="0">
      <selection activeCell="B2" sqref="B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5" t="str">
        <f>+Инвойс!F1</f>
        <v xml:space="preserve"> 30.08.2025г.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GR-MG-01 от 22.08.2025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>ООО «MEGA EXIMPORT»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Ферганская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Кува Район, Гулобод МФЙ, Сарбоз улитца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 xml:space="preserve">Р/с N 20208840607249418001   (USD)    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 xml:space="preserve">в АКБ «KAPITAL BANK» МФО: 01088 Swift: KACHUZ22  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 xml:space="preserve"> ИНН: 312169146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/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>ООО «MEGA EXIMPORT»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Ферганская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Кува Район, Гулобод МФЙ, Сарбоз улитца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 xml:space="preserve">Р/с N 20208840607249418001   (USD)    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 xml:space="preserve">в АКБ «KAPITAL BANK» МФО: 01088 Swift: KACHUZ22  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 xml:space="preserve"> ИНН: 312169146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/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30168DBA/304391AA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4.6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930</v>
      </c>
      <c r="F30" s="116" t="str">
        <f>+Инвойс!F30</f>
        <v>кг</v>
      </c>
      <c r="G30" s="106">
        <f>+Инвойс!G30</f>
        <v>22300</v>
      </c>
      <c r="H30" s="106">
        <f>+Инвойс!H30</f>
        <v>20626</v>
      </c>
      <c r="I30" s="108">
        <f>+Инвойс!I30</f>
        <v>0.25</v>
      </c>
      <c r="J30" s="13">
        <f>+Инвойс!J30</f>
        <v>5156.5</v>
      </c>
      <c r="K30" s="12">
        <v>0</v>
      </c>
      <c r="L30" s="12">
        <v>0</v>
      </c>
      <c r="M30" s="13">
        <f>+Инвойс!M30</f>
        <v>5156.5</v>
      </c>
      <c r="O30" s="100"/>
      <c r="Q30" s="100"/>
    </row>
    <row r="31" spans="1:17" ht="13.8" x14ac:dyDescent="0.25">
      <c r="A31" s="128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700</v>
      </c>
      <c r="H31" s="106">
        <f>+Инвойс!H31</f>
        <v>700</v>
      </c>
      <c r="I31" s="108">
        <f>+Инвойс!I31</f>
        <v>0.25</v>
      </c>
      <c r="J31" s="13">
        <f>+Инвойс!J31</f>
        <v>175</v>
      </c>
      <c r="K31" s="12">
        <v>0</v>
      </c>
      <c r="L31" s="12">
        <v>0</v>
      </c>
      <c r="M31" s="13">
        <f>+Инвойс!M31</f>
        <v>175</v>
      </c>
      <c r="O31" s="100"/>
      <c r="Q31" s="100"/>
    </row>
    <row r="32" spans="1:17" ht="13.8" x14ac:dyDescent="0.25">
      <c r="A32" s="149" t="s">
        <v>0</v>
      </c>
      <c r="B32" s="150"/>
      <c r="C32" s="14"/>
      <c r="D32" s="15"/>
      <c r="E32" s="64">
        <f>SUM(E30:E31)</f>
        <v>930</v>
      </c>
      <c r="F32" s="15"/>
      <c r="G32" s="64">
        <f>SUM(G30:G31)</f>
        <v>23000</v>
      </c>
      <c r="H32" s="64">
        <f>SUM(H30:H31)</f>
        <v>21326</v>
      </c>
      <c r="I32" s="102"/>
      <c r="J32" s="17">
        <f>SUM(J30:J31)</f>
        <v>5331.5</v>
      </c>
      <c r="K32" s="16"/>
      <c r="L32" s="16"/>
      <c r="M32" s="17">
        <f>SUM(M30:M31)</f>
        <v>5331.5</v>
      </c>
      <c r="P32" s="66"/>
    </row>
    <row r="33" spans="1:14" ht="13.8" x14ac:dyDescent="0.3">
      <c r="A33" s="2" t="s">
        <v>17</v>
      </c>
      <c r="B33" s="3"/>
      <c r="C33" s="11"/>
      <c r="D33" s="11"/>
      <c r="E33" s="145" t="str">
        <f>Лист1!B3</f>
        <v>Пять тысяч триста тридцать один доллар США,50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5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s="18" customFormat="1" ht="15.6" x14ac:dyDescent="0.3">
      <c r="A37" s="132" t="s">
        <v>137</v>
      </c>
      <c r="B37" s="132"/>
      <c r="D37" s="18" t="str">
        <f>+Инвойс!D37</f>
        <v>Эргашев О.Р</v>
      </c>
      <c r="E37" s="133"/>
      <c r="G37" s="130" t="s">
        <v>128</v>
      </c>
      <c r="H37" s="18" t="str">
        <f>Инвойс!G5</f>
        <v>ООО «ГРИН ВОРЛД»</v>
      </c>
      <c r="K37" s="134" t="s">
        <v>147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150</v>
      </c>
    </row>
    <row r="7" spans="1:10" ht="52.8" x14ac:dyDescent="0.25">
      <c r="A7" s="127" t="s">
        <v>116</v>
      </c>
    </row>
    <row r="8" spans="1:10" x14ac:dyDescent="0.25">
      <c r="E8" s="18" t="s">
        <v>151</v>
      </c>
      <c r="J8" s="25" t="s">
        <v>152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153</v>
      </c>
      <c r="J10" s="25" t="s">
        <v>154</v>
      </c>
    </row>
    <row r="11" spans="1:10" ht="52.8" x14ac:dyDescent="0.25">
      <c r="A11" s="127" t="s">
        <v>155</v>
      </c>
    </row>
    <row r="12" spans="1:10" x14ac:dyDescent="0.25">
      <c r="E12" s="18" t="s">
        <v>156</v>
      </c>
      <c r="J12" s="25" t="s">
        <v>157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5331.5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тридцать один доллар США,50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тридцать один доллар США,50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тридцать один доллар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тридцать один доллар США,50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триста тридцать один доллар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5331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5331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331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2025-08-30T07:04:03Z</cp:lastPrinted>
  <dcterms:created xsi:type="dcterms:W3CDTF">1996-10-14T23:33:28Z</dcterms:created>
  <dcterms:modified xsi:type="dcterms:W3CDTF">2025-08-30T07:04:20Z</dcterms:modified>
</cp:coreProperties>
</file>