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<sst xmlns="http://schemas.openxmlformats.org/spreadsheetml/2006/main" count="208" uniqueCount="171">
  <si>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</si>
  <si>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</si>
  <si>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</si>
  <si>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</si>
  <si>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</si>
  <si>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</si>
  <si>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</si>
  <si>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</si>
  <si>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</si>
  <si>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</si>
  <si>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</si>
  <si>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</si>
  <si>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</si>
  <si>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</si>
  <si>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</si>
  <si>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</si>
  <si>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</si>
  <si>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</si>
  <si>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</si>
  <si>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</si>
  <si>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</si>
  <si>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</si>
  <si>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</si>
  <si>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</si>
  <si>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</si>
  <si>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</si>
  <si>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</si>
  <si>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</si>
  <si>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</si>
  <si>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</si>
  <si>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</si>
  <si>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</si>
  <si>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</si>
  <si>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</si>
  <si>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</si>
  <si>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</si>
  <si>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</si>
  <si>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</si>
  <si>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</si>
  <si>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</si>
  <si>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</si>
  <si>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</si>
  <si>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</si>
  <si>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</si>
  <si>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</si>
  <si>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</si>
  <si>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</si>
  <si>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</si>
  <si>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</si>
  <si>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</si>
  <si>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</si>
  <si>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</si>
  <si>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</si>
  <si>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</si>
  <si>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</si>
  <si>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</si>
  <si>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</si>
  <si>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</si>
  <si>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</si>
  <si>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</si>
  <si>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</si>
  <si>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</si>
  <si>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</si>
  <si>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</si>
  <si>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</si>
  <si>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</si>
  <si>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</si>
  <si>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</si>
  <si>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</si>
  <si>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</si>
  <si>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</si>
  <si>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</si>
  <si>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</si>
  <si>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</si>
  <si>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</si>
  <si>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</si>
  <si>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</si>
  <si>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</si>
  <si>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</si>
  <si>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</si>
  <si>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</si>
  <si>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</si>
  <si>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</si>
  <si>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</si>
  <si>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</si>
  <si>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</si>
  <si>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</si>
  <si>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</si>
  <si>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</si>
  <si>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</si>
  <si>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</si>
  <si>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</si>
  <si>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</si>
  <si>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</si>
  <si>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</si>
  <si>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</si>
  <si>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</si>
  <si>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</si>
  <si>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</si>
  <si>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</si>
  <si>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</si>
  <si>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</si>
  <si>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</si>
  <si>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</si>
  <si>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</si>
  <si>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</si>
  <si>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</si>
  <si>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</si>
  <si>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</si>
  <si>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</si>
  <si>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</si>
  <si>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</si>
  <si>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</si>
  <si>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</si>
  <si>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</si>
  <si>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</si>
  <si>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</si>
  <si>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</si>
  <si>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</si>
  <si>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</si>
  <si>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</si>
  <si>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</si>
  <si>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</si>
  <si>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</si>
  <si>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</si>
  <si>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</si>
  <si>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</si>
  <si>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</si>
  <si>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</si>
  <si>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</si>
  <si>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</si>
  <si>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</si>
  <si>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</si>
  <si>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</si>
  <si>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</si>
  <si>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</si>
  <si>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</si>
  <si>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</si>
  <si>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</si>
  <si>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</si>
  <si>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</si>
  <si>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</si>
  <si>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</si>
  <si>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</si>
  <si>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</si>
  <si>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</si>
  <si>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</si>
  <si>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</si>
  <si>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</si>
  <si>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</si>
  <si>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</si>
  <si>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</si>
  <si>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</si>
  <si>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</si>
  <si>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</si>
  <si>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</si>
  <si>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</si>
  <si>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</si>
  <si>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</si>
  <si>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</si>
  <si>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</si>
  <si>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</si>
  <si>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</si>
  <si>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</si>
  <si>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</si>
  <si>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</si>
  <si>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 24.08.2025г.</t>
  </si>
  <si>
    <t xml:space="preserve">ИНВОЙС № BMX-O-12 от </t>
  </si>
  <si>
    <t xml:space="preserve">СПЕЦИФИКАЦИЯ № BMX-O-12 от </t>
  </si>
  <si>
    <t>50C006BA/404147AA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</si>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</sst>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78443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167</v>
      </c>
      <c r="D1" s="150"/>
      <c r="E1" s="150"/>
      <c r="F1" s="149" t="s">
        <v>166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165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139</v>
      </c>
      <c r="H5" s="144"/>
      <c r="I5" s="144"/>
      <c r="J5" s="144"/>
      <c r="K5" s="144"/>
      <c r="L5" s="144"/>
      <c r="M5" s="144"/>
    </row>
    <row r="6" spans="1:15" ht="13.8" x14ac:dyDescent="0.25">
      <c r="A6" s="140" t="s">
        <v>150</v>
      </c>
      <c r="B6" s="139"/>
      <c r="C6" s="139"/>
      <c r="D6" s="139"/>
      <c r="E6" s="139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39" t="s">
        <v>151</v>
      </c>
      <c r="B7" s="139"/>
      <c r="C7" s="139"/>
      <c r="D7" s="139"/>
      <c r="E7" s="139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40" t="s">
        <v>150</v>
      </c>
      <c r="B15" s="139"/>
      <c r="C15" s="139"/>
      <c r="D15" s="139"/>
      <c r="E15" s="139"/>
      <c r="F15" s="7"/>
      <c r="G15" s="138" t="s">
        <v>126</v>
      </c>
      <c r="H15" s="139"/>
      <c r="I15" s="139"/>
      <c r="J15" s="139"/>
      <c r="K15" s="139"/>
      <c r="L15" s="139"/>
      <c r="M15" s="139"/>
    </row>
    <row r="16" spans="1:15" ht="13.8" x14ac:dyDescent="0.25">
      <c r="A16" s="139" t="s">
        <v>151</v>
      </c>
      <c r="B16" s="139"/>
      <c r="C16" s="139"/>
      <c r="D16" s="139"/>
      <c r="E16" s="139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118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7" ht="15.6" x14ac:dyDescent="0.3">
      <c r="A26" s="1" t="s">
        <v>25</v>
      </c>
      <c r="C26" s="18" t="s">
        <v>26</v>
      </c>
      <c r="E26" s="136" t="s">
        <v>169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940</v>
      </c>
      <c r="F30" s="115" t="s">
        <v>27</v>
      </c>
      <c r="G30" s="106">
        <v>23000</v>
      </c>
      <c r="H30" s="106">
        <v>21308</v>
      </c>
      <c r="I30" s="108">
        <v>0.2</v>
      </c>
      <c r="J30" s="13">
        <f t="shared" ref="J30" si="0">H30*I30</f>
        <v>4261.6000000000004</v>
      </c>
      <c r="K30" s="12">
        <v>0</v>
      </c>
      <c r="L30" s="12">
        <v>0</v>
      </c>
      <c r="M30" s="13">
        <f t="shared" ref="M30" si="1">J30</f>
        <v>4261.6000000000004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940</v>
      </c>
      <c r="F31" s="15"/>
      <c r="G31" s="64">
        <f>SUM(G30:G30)</f>
        <v>23000</v>
      </c>
      <c r="H31" s="64">
        <f>SUM(H30:H30)</f>
        <v>21308</v>
      </c>
      <c r="I31" s="102"/>
      <c r="J31" s="17">
        <f>SUM(J30:J30)</f>
        <v>4261.6000000000004</v>
      </c>
      <c r="K31" s="16"/>
      <c r="L31" s="16"/>
      <c r="M31" s="17">
        <f>SUM(M30:M30)</f>
        <v>4261.6000000000004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шестьдесят один доллар США,60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5">
      <c r="A34" s="141" t="s">
        <v>110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" zoomScaleNormal="100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BMX-O-12 от  24.08.2025г.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24.08.2025г.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50C006BA/404147AA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="70" zoomScaleNormal="7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50C006BA/404147AA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BMX-O-12 от  24.08.2025г.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940</v>
      </c>
      <c r="G18" s="160" t="str">
        <f>+CMR!F30</f>
        <v>Дыни свежие</v>
      </c>
      <c r="H18" s="160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8" t="str">
        <f>+Инвойс!C30</f>
        <v>0807190001</v>
      </c>
      <c r="H19" s="159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0"/>
      <c r="H20" s="160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8"/>
      <c r="H21" s="159"/>
      <c r="I21" s="121"/>
      <c r="J21" s="119"/>
    </row>
    <row r="22" spans="2:10" ht="12.75" customHeight="1" x14ac:dyDescent="0.3">
      <c r="B22" s="83"/>
      <c r="E22" s="122"/>
      <c r="F22" s="117"/>
      <c r="G22" s="160"/>
      <c r="H22" s="160"/>
      <c r="I22" s="118"/>
      <c r="J22" s="119"/>
    </row>
    <row r="23" spans="2:10" ht="14.25" customHeight="1" x14ac:dyDescent="0.3">
      <c r="B23" s="83"/>
      <c r="E23" s="122"/>
      <c r="F23" s="120"/>
      <c r="G23" s="158"/>
      <c r="H23" s="159"/>
      <c r="I23" s="121"/>
      <c r="J23" s="119"/>
    </row>
    <row r="24" spans="2:10" ht="12.75" customHeight="1" x14ac:dyDescent="0.3">
      <c r="B24" s="87"/>
      <c r="E24" s="122"/>
      <c r="F24" s="117"/>
      <c r="G24" s="160"/>
      <c r="H24" s="160"/>
      <c r="I24" s="118"/>
      <c r="J24" s="119"/>
    </row>
    <row r="25" spans="2:10" ht="12.75" customHeight="1" x14ac:dyDescent="0.3">
      <c r="B25" s="87"/>
      <c r="E25" s="122"/>
      <c r="F25" s="120"/>
      <c r="G25" s="158"/>
      <c r="H25" s="159"/>
      <c r="I25" s="121"/>
      <c r="J25" s="119"/>
    </row>
    <row r="26" spans="2:10" ht="12" customHeight="1" x14ac:dyDescent="0.3">
      <c r="B26" s="87"/>
      <c r="E26" s="122"/>
      <c r="F26" s="117"/>
      <c r="G26" s="160"/>
      <c r="H26" s="160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0"/>
      <c r="H28" s="160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0"/>
      <c r="H30" s="160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0"/>
      <c r="H32" s="160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0"/>
      <c r="H34" s="160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0"/>
      <c r="H36" s="160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0"/>
      <c r="H38" s="160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0"/>
      <c r="H40" s="160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0"/>
      <c r="H42" s="160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2"/>
      <c r="H44" s="162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940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168</v>
      </c>
      <c r="C1" s="169"/>
      <c r="D1" s="169"/>
      <c r="E1" s="169"/>
      <c r="F1" s="149" t="str">
        <f>+Инвойс!F1</f>
        <v xml:space="preserve"> 24.08.2025г.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BMR-2025 от 16.08.2025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МAX”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40" t="str">
        <f>+Инвойс!A6</f>
        <v>Республика Узбекистан. Ташкентская область,</v>
      </c>
      <c r="B6" s="140"/>
      <c r="C6" s="140"/>
      <c r="D6" s="140"/>
      <c r="E6" s="140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40" t="str">
        <f>+Инвойс!A7</f>
        <v>Бекабадский район, МФЙ Найман, улица Мусаффо, дом 107</v>
      </c>
      <c r="B7" s="140"/>
      <c r="C7" s="140"/>
      <c r="D7" s="140"/>
      <c r="E7" s="140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40" t="str">
        <f>+Инвойс!A8</f>
        <v>в “Узсаноаткурилиш” Банк операционный  МФО 00440</v>
      </c>
      <c r="B8" s="140"/>
      <c r="C8" s="140"/>
      <c r="D8" s="140"/>
      <c r="E8" s="140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40" t="str">
        <f>+Инвойс!A9</f>
        <v>Х/Р: 20208000005606798001 / Х/Р: 20208840605606798003</v>
      </c>
      <c r="B9" s="140"/>
      <c r="C9" s="140"/>
      <c r="D9" s="140"/>
      <c r="E9" s="140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40" t="str">
        <f>+Инвойс!A10</f>
        <v>Х/Р: 20208840605606798003</v>
      </c>
      <c r="B10" s="140"/>
      <c r="C10" s="140"/>
      <c r="D10" s="140"/>
      <c r="E10" s="140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40" t="str">
        <f>+Инвойс!A11</f>
        <v>ИНН: 309774620</v>
      </c>
      <c r="B11" s="140"/>
      <c r="C11" s="140"/>
      <c r="D11" s="140"/>
      <c r="E11" s="140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МAX”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40" t="str">
        <f>+Инвойс!A15</f>
        <v>Республика Узбекистан. Ташкентская область,</v>
      </c>
      <c r="B15" s="140"/>
      <c r="C15" s="140"/>
      <c r="D15" s="140"/>
      <c r="E15" s="140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40" t="str">
        <f>+Инвойс!A16</f>
        <v>Бекабадский район, МФЙ Найман, улица Мусаффо, дом 107</v>
      </c>
      <c r="B16" s="140"/>
      <c r="C16" s="140"/>
      <c r="D16" s="140"/>
      <c r="E16" s="140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40" t="str">
        <f>+Инвойс!A17</f>
        <v>в “Узсаноаткурилиш” Банк операционный  МФО 00440</v>
      </c>
      <c r="B17" s="140"/>
      <c r="C17" s="140"/>
      <c r="D17" s="140"/>
      <c r="E17" s="140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40" t="str">
        <f>+Инвойс!A18</f>
        <v>Х/Р: 20208000005606798001 / Х/Р: 20208840605606798003</v>
      </c>
      <c r="B18" s="140"/>
      <c r="C18" s="140"/>
      <c r="D18" s="140"/>
      <c r="E18" s="140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40" t="str">
        <f>+Инвойс!A19</f>
        <v>Х/Р: 20208840605606798003</v>
      </c>
      <c r="B19" s="140"/>
      <c r="C19" s="140"/>
      <c r="D19" s="140"/>
      <c r="E19" s="140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40" t="str">
        <f>+Инвойс!A20</f>
        <v>ИНН: 309774620</v>
      </c>
      <c r="B20" s="140"/>
      <c r="C20" s="140"/>
      <c r="D20" s="140"/>
      <c r="E20" s="140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40"/>
      <c r="B21" s="140"/>
      <c r="C21" s="140"/>
      <c r="D21" s="140"/>
      <c r="E21" s="14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50C006BA/404147AA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940</v>
      </c>
      <c r="F30" s="115" t="str">
        <f>+Инвойс!F30</f>
        <v>кг</v>
      </c>
      <c r="G30" s="106">
        <f>+Инвойс!G30</f>
        <v>23000</v>
      </c>
      <c r="H30" s="106">
        <f>+Инвойс!H30</f>
        <v>21308</v>
      </c>
      <c r="I30" s="108">
        <f>+Инвойс!I30</f>
        <v>0.2</v>
      </c>
      <c r="J30" s="13">
        <f>+Инвойс!J30</f>
        <v>4261.6000000000004</v>
      </c>
      <c r="K30" s="12">
        <v>0</v>
      </c>
      <c r="L30" s="12">
        <v>0</v>
      </c>
      <c r="M30" s="13">
        <f>+Инвойс!M30</f>
        <v>4261.6000000000004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940</v>
      </c>
      <c r="F31" s="15"/>
      <c r="G31" s="64">
        <f>SUM(G30:G30)</f>
        <v>23000</v>
      </c>
      <c r="H31" s="64">
        <f>SUM(H30:H30)</f>
        <v>21308</v>
      </c>
      <c r="I31" s="102"/>
      <c r="J31" s="17">
        <f>SUM(J30:J30)</f>
        <v>4261.6000000000004</v>
      </c>
      <c r="K31" s="16"/>
      <c r="L31" s="16"/>
      <c r="M31" s="17">
        <f>SUM(M30:M30)</f>
        <v>4261.6000000000004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шестьдесят один доллар США,60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8" t="s">
        <v>146</v>
      </c>
      <c r="H36" t="str">
        <f>Инвойс!G5</f>
        <v>ООО ТД «РЕСУРС»</v>
      </c>
      <c r="K36" s="129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5" zoomScaleNormal="85" workbookViewId="0">
      <selection activeCell="A5" sqref="A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9" ht="39.6" x14ac:dyDescent="0.25">
      <c r="A1" s="125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0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5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5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5" t="s">
        <v>120</v>
      </c>
    </row>
    <row r="10" spans="1:9" x14ac:dyDescent="0.25">
      <c r="A10" s="125"/>
    </row>
    <row r="11" spans="1:9" ht="52.8" x14ac:dyDescent="0.25">
      <c r="A11" s="125" t="s">
        <v>121</v>
      </c>
    </row>
    <row r="13" spans="1:9" ht="52.8" x14ac:dyDescent="0.25">
      <c r="A13" s="125" t="s">
        <v>122</v>
      </c>
    </row>
    <row r="15" spans="1:9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4261.6000000000004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шестьдесят один доллар США,60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45893</v>
      </c>
      <c r="O3" s="175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шестьдесят один доллар США,60 центов. (в т.ч. НДС - 357,79)</v>
      </c>
      <c r="H4" s="32"/>
      <c r="I4" s="32"/>
      <c r="J4" s="32"/>
      <c r="K4" s="176" t="str">
        <f ca="1">CONCATENATE(" «  ",P3,"  »  ",Q3,"  ",R3," г.")</f>
        <v xml:space="preserve"> «  24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шестьдесят один доллар США,60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шестьдесят один доллар США,60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шестьдесят один доллар США,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4261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4261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2025-08-24T17:37:51Z</cp:lastPrinted>
  <dcterms:created xsi:type="dcterms:W3CDTF">1996-10-14T23:33:28Z</dcterms:created>
  <dcterms:modified xsi:type="dcterms:W3CDTF">2025-08-24T17:37:54Z</dcterms:modified>
</cp:coreProperties>
</file>