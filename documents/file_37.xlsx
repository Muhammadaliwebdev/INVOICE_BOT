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9018BC7-5694-4058-83D5-E590A49B55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<sst xmlns="http://schemas.openxmlformats.org/spreadsheetml/2006/main" count="213" uniqueCount="168">
  <si>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</si>
  <si>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</si>
  <si>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</si>
  <si>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</si>
  <si>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</si>
  <si>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</si>
  <si>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</si>
  <si>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</si>
  <si>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</si>
  <si>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</si>
  <si>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</si>
  <si>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</si>
  <si>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</si>
  <si>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</si>
  <si>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</si>
  <si>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</si>
  <si>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</si>
  <si>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</si>
  <si>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</si>
  <si>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</si>
  <si>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</si>
  <si>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</si>
  <si>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</si>
  <si>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</si>
  <si>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</si>
  <si>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</si>
  <si>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</si>
  <si>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</si>
  <si>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</si>
  <si>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</si>
  <si>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</si>
  <si>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</si>
  <si>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</si>
  <si>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</si>
  <si>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</si>
  <si>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</si>
  <si>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</si>
  <si>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</si>
  <si>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</si>
  <si>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</si>
  <si>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</si>
  <si>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</si>
  <si>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</si>
  <si>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</si>
  <si>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</si>
  <si>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</si>
  <si>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</si>
  <si>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</si>
  <si>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</si>
  <si>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</si>
  <si>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</si>
  <si>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</si>
  <si>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</si>
  <si>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</si>
  <si>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</si>
  <si>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</si>
  <si>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</si>
  <si>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</si>
  <si>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</si>
  <si>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</si>
  <si>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</si>
  <si>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</si>
  <si>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</si>
  <si>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</si>
  <si>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</si>
  <si>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</si>
  <si>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</si>
  <si>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</si>
  <si>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</si>
  <si>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</si>
  <si>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</si>
  <si>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</si>
  <si>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</si>
  <si>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</si>
  <si>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</si>
  <si>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</si>
  <si>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</si>
  <si>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</si>
  <si>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</si>
  <si>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</si>
  <si>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</si>
  <si>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</si>
  <si>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</si>
  <si>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</si>
  <si>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</si>
  <si>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</si>
  <si>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</si>
  <si>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</si>
  <si>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</si>
  <si>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</si>
  <si>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</si>
  <si>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</si>
  <si>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</si>
  <si>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</si>
  <si>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</si>
  <si>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</si>
  <si>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</si>
  <si>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</si>
  <si>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</si>
  <si>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</si>
  <si>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</si>
  <si>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</si>
  <si>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</si>
  <si>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</si>
  <si>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</si>
  <si>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</si>
  <si>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</si>
  <si>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</si>
  <si>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</si>
  <si>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</si>
  <si>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</si>
  <si>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</si>
  <si>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</si>
  <si>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</si>
  <si>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Лимоны свежие некалиброванный</t>
  </si>
  <si>
    <t xml:space="preserve">                    Узбекистан Сыр. обл.</t>
  </si>
  <si>
    <t xml:space="preserve">                 Сыр. обл   </t>
  </si>
  <si>
    <t>Персики свежие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</si>
  <si>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</si>
  <si>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</si>
  <si>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</si>
  <si>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</si>
  <si>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</si>
  <si>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</si>
  <si>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</si>
  <si>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</si>
  <si>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</si>
  <si>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</si>
  <si>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</si>
  <si>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</si>
  <si>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</si>
  <si>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</si>
  <si>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</si>
  <si>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</si>
  <si>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</si>
  <si>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</si>
  <si>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0809309001</t>
  </si>
  <si>
    <t>0805501009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</si>
  <si>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</si>
  <si>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</si>
  <si>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</si>
  <si>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</si>
  <si>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</si>
  <si>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</si>
  <si>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</si>
  <si>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</si>
  <si>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</si>
  <si>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</si>
  <si>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</si>
  <si>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</si>
  <si>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</si>
  <si>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</si>
  <si>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</si>
  <si>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</si>
  <si>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</si>
  <si>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</si>
  <si>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</si>
  <si>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</si>
  <si>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</si>
  <si>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</si>
  <si>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</si>
  <si>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</si>
  <si>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</si>
  <si>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MEZ-O-43 от </t>
  </si>
  <si>
    <t xml:space="preserve"> 25.08.2025г.</t>
  </si>
  <si>
    <t>P087KK774/BX537574</t>
  </si>
  <si>
    <t>DAP - с Амандык , Республика Казахстан</t>
  </si>
  <si>
    <t xml:space="preserve">СПЕЦИФИКАЦИЯ № MEZ-O-43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</si>
</sst>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40</xdr:row>
      <xdr:rowOff>33618</xdr:rowOff>
    </xdr:from>
    <xdr:to>
      <xdr:col>3</xdr:col>
      <xdr:colOff>224118</xdr:colOff>
      <xdr:row>52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40</xdr:row>
      <xdr:rowOff>100855</xdr:rowOff>
    </xdr:from>
    <xdr:to>
      <xdr:col>4</xdr:col>
      <xdr:colOff>389833</xdr:colOff>
      <xdr:row>42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42</xdr:row>
      <xdr:rowOff>20172</xdr:rowOff>
    </xdr:from>
    <xdr:to>
      <xdr:col>12</xdr:col>
      <xdr:colOff>149486</xdr:colOff>
      <xdr:row>45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40</xdr:row>
      <xdr:rowOff>98613</xdr:rowOff>
    </xdr:from>
    <xdr:to>
      <xdr:col>9</xdr:col>
      <xdr:colOff>159123</xdr:colOff>
      <xdr:row>52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40</xdr:row>
      <xdr:rowOff>22412</xdr:rowOff>
    </xdr:from>
    <xdr:to>
      <xdr:col>2</xdr:col>
      <xdr:colOff>392207</xdr:colOff>
      <xdr:row>52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40</xdr:row>
      <xdr:rowOff>89649</xdr:rowOff>
    </xdr:from>
    <xdr:to>
      <xdr:col>3</xdr:col>
      <xdr:colOff>546715</xdr:colOff>
      <xdr:row>42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163</v>
      </c>
      <c r="D1" s="135"/>
      <c r="E1" s="135"/>
      <c r="F1" s="134" t="s">
        <v>164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154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155</v>
      </c>
      <c r="B5" s="136"/>
      <c r="C5" s="136"/>
      <c r="D5" s="136"/>
      <c r="E5" s="136"/>
      <c r="F5" s="6"/>
      <c r="G5" s="138" t="s">
        <v>144</v>
      </c>
      <c r="H5" s="138"/>
      <c r="I5" s="138"/>
      <c r="J5" s="138"/>
      <c r="K5" s="138"/>
      <c r="L5" s="138"/>
      <c r="M5" s="138"/>
    </row>
    <row r="6" spans="1:15" ht="15" x14ac:dyDescent="0.25">
      <c r="A6" s="127" t="s">
        <v>156</v>
      </c>
      <c r="B6" s="125"/>
      <c r="C6" s="125"/>
      <c r="D6" s="125"/>
      <c r="E6" s="125"/>
      <c r="F6" s="7"/>
      <c r="G6" s="140" t="s">
        <v>145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7" t="s">
        <v>161</v>
      </c>
      <c r="B7" s="125"/>
      <c r="C7" s="125"/>
      <c r="D7" s="125"/>
      <c r="E7" s="125"/>
      <c r="F7" s="63"/>
      <c r="G7" s="140" t="s">
        <v>146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158</v>
      </c>
      <c r="B8" s="8"/>
      <c r="C8" s="8"/>
      <c r="D8" s="8"/>
      <c r="E8" s="8"/>
      <c r="F8" s="63"/>
      <c r="G8" s="7" t="s">
        <v>147</v>
      </c>
      <c r="H8" s="23"/>
      <c r="I8" s="23"/>
      <c r="J8" s="23"/>
      <c r="K8" s="23"/>
      <c r="L8" s="23"/>
      <c r="M8" s="23"/>
    </row>
    <row r="9" spans="1:15" ht="15" x14ac:dyDescent="0.25">
      <c r="A9" s="8" t="s">
        <v>157</v>
      </c>
      <c r="B9" s="8"/>
      <c r="C9" s="8"/>
      <c r="D9" s="8"/>
      <c r="E9" s="8"/>
      <c r="F9" s="7"/>
      <c r="G9" s="7" t="s">
        <v>148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159</v>
      </c>
      <c r="B10" s="125"/>
      <c r="C10" s="125"/>
      <c r="D10" s="125"/>
      <c r="E10" s="125"/>
      <c r="F10" s="7"/>
      <c r="G10" s="7" t="s">
        <v>149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150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">
        <v>155</v>
      </c>
      <c r="B14" s="136"/>
      <c r="C14" s="136"/>
      <c r="D14" s="136"/>
      <c r="E14" s="136"/>
      <c r="F14" s="6"/>
      <c r="G14" s="138" t="s">
        <v>129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7" t="s">
        <v>156</v>
      </c>
      <c r="B15" s="125"/>
      <c r="C15" s="125"/>
      <c r="D15" s="125"/>
      <c r="E15" s="125"/>
      <c r="F15" s="7"/>
      <c r="G15" s="140" t="s">
        <v>130</v>
      </c>
      <c r="H15" s="143"/>
      <c r="I15" s="143"/>
      <c r="J15" s="143"/>
      <c r="K15" s="143"/>
      <c r="L15" s="143"/>
      <c r="M15" s="143"/>
    </row>
    <row r="16" spans="1:15" ht="15" x14ac:dyDescent="0.25">
      <c r="A16" s="127" t="s">
        <v>161</v>
      </c>
      <c r="B16" s="125"/>
      <c r="C16" s="125"/>
      <c r="D16" s="125"/>
      <c r="E16" s="125"/>
      <c r="F16" s="63"/>
      <c r="G16" s="140" t="s">
        <v>131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158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157</v>
      </c>
      <c r="B18" s="8"/>
      <c r="C18" s="8"/>
      <c r="D18" s="8"/>
      <c r="E18" s="8"/>
      <c r="F18" s="7"/>
      <c r="G18" s="8" t="s">
        <v>133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135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166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165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9">
        <v>1</v>
      </c>
      <c r="B30" s="101" t="s">
        <v>139</v>
      </c>
      <c r="C30" s="107" t="s">
        <v>138</v>
      </c>
      <c r="D30" s="109" t="s">
        <v>113</v>
      </c>
      <c r="E30" s="101">
        <v>1896</v>
      </c>
      <c r="F30" s="110" t="s">
        <v>27</v>
      </c>
      <c r="G30" s="106">
        <v>18030</v>
      </c>
      <c r="H30" s="106">
        <v>15375</v>
      </c>
      <c r="I30" s="108">
        <v>1.2</v>
      </c>
      <c r="J30" s="13">
        <f t="shared" ref="J30:J33" si="0">H30*I30</f>
        <v>18450</v>
      </c>
      <c r="K30" s="12">
        <v>0</v>
      </c>
      <c r="L30" s="12">
        <v>0</v>
      </c>
      <c r="M30" s="13">
        <f t="shared" ref="M30:M33" si="1">J30</f>
        <v>18450</v>
      </c>
      <c r="O30" s="100"/>
      <c r="Q30" s="100"/>
    </row>
    <row r="31" spans="1:17" ht="15" x14ac:dyDescent="0.2">
      <c r="A31" s="129">
        <v>2</v>
      </c>
      <c r="B31" s="101" t="s">
        <v>117</v>
      </c>
      <c r="C31" s="107" t="s">
        <v>136</v>
      </c>
      <c r="D31" s="109" t="s">
        <v>113</v>
      </c>
      <c r="E31" s="101">
        <v>185</v>
      </c>
      <c r="F31" s="110" t="s">
        <v>27</v>
      </c>
      <c r="G31" s="106">
        <v>995</v>
      </c>
      <c r="H31" s="106">
        <v>773</v>
      </c>
      <c r="I31" s="108">
        <v>1.1000000000000001</v>
      </c>
      <c r="J31" s="13">
        <f t="shared" si="0"/>
        <v>850.30000000000007</v>
      </c>
      <c r="K31" s="12">
        <v>0</v>
      </c>
      <c r="L31" s="12">
        <v>0</v>
      </c>
      <c r="M31" s="13">
        <f t="shared" si="1"/>
        <v>850.30000000000007</v>
      </c>
      <c r="O31" s="100"/>
      <c r="Q31" s="100"/>
    </row>
    <row r="32" spans="1:17" ht="15" x14ac:dyDescent="0.2">
      <c r="A32" s="129">
        <v>3</v>
      </c>
      <c r="B32" s="126" t="s">
        <v>118</v>
      </c>
      <c r="C32" s="107" t="s">
        <v>119</v>
      </c>
      <c r="D32" s="109" t="s">
        <v>113</v>
      </c>
      <c r="E32" s="101">
        <v>100</v>
      </c>
      <c r="F32" s="110" t="s">
        <v>27</v>
      </c>
      <c r="G32" s="106">
        <v>955</v>
      </c>
      <c r="H32" s="106">
        <v>815</v>
      </c>
      <c r="I32" s="108">
        <v>1</v>
      </c>
      <c r="J32" s="13">
        <f t="shared" si="0"/>
        <v>815</v>
      </c>
      <c r="K32" s="12">
        <v>0</v>
      </c>
      <c r="L32" s="12">
        <v>0</v>
      </c>
      <c r="M32" s="13">
        <f t="shared" si="1"/>
        <v>815</v>
      </c>
      <c r="O32" s="100"/>
      <c r="Q32" s="100"/>
    </row>
    <row r="33" spans="1:17" ht="30" x14ac:dyDescent="0.2">
      <c r="A33" s="129">
        <v>4</v>
      </c>
      <c r="B33" s="101" t="s">
        <v>114</v>
      </c>
      <c r="C33" s="107" t="s">
        <v>137</v>
      </c>
      <c r="D33" s="109" t="s">
        <v>113</v>
      </c>
      <c r="E33" s="101">
        <v>101</v>
      </c>
      <c r="F33" s="110" t="s">
        <v>27</v>
      </c>
      <c r="G33" s="106">
        <v>450</v>
      </c>
      <c r="H33" s="106">
        <v>310</v>
      </c>
      <c r="I33" s="108">
        <v>3</v>
      </c>
      <c r="J33" s="13">
        <f t="shared" si="0"/>
        <v>930</v>
      </c>
      <c r="K33" s="12">
        <v>0</v>
      </c>
      <c r="L33" s="12">
        <v>0</v>
      </c>
      <c r="M33" s="13">
        <f t="shared" si="1"/>
        <v>930</v>
      </c>
      <c r="O33" s="100"/>
      <c r="Q33" s="100"/>
    </row>
    <row r="34" spans="1:17" ht="14.25" x14ac:dyDescent="0.2">
      <c r="A34" s="149" t="s">
        <v>0</v>
      </c>
      <c r="B34" s="150"/>
      <c r="C34" s="14"/>
      <c r="D34" s="15"/>
      <c r="E34" s="64">
        <f>SUM(E30:E33)</f>
        <v>2282</v>
      </c>
      <c r="F34" s="15"/>
      <c r="G34" s="64">
        <f>SUM(G30:G33)</f>
        <v>20430</v>
      </c>
      <c r="H34" s="64">
        <f>SUM(H30:H33)</f>
        <v>17273</v>
      </c>
      <c r="I34" s="102"/>
      <c r="J34" s="17">
        <f>SUM(J30:J33)</f>
        <v>21045.3</v>
      </c>
      <c r="K34" s="16"/>
      <c r="L34" s="16"/>
      <c r="M34" s="17">
        <f>SUM(M30:M33)</f>
        <v>21045.3</v>
      </c>
      <c r="P34" s="66"/>
    </row>
    <row r="35" spans="1:17" ht="13.5" x14ac:dyDescent="0.25">
      <c r="A35" s="2" t="s">
        <v>17</v>
      </c>
      <c r="B35" s="3"/>
      <c r="C35" s="11"/>
      <c r="D35" s="11"/>
      <c r="E35" s="145" t="str">
        <f>Лист1!B3</f>
        <v>Двадцать одна тысяча сорок пять долларов США, 30 центов.</v>
      </c>
      <c r="F35" s="146"/>
      <c r="G35" s="146"/>
      <c r="H35" s="146"/>
      <c r="I35" s="146"/>
      <c r="J35" s="146"/>
      <c r="K35" s="146"/>
      <c r="L35" s="146"/>
      <c r="M35" s="146"/>
    </row>
    <row r="36" spans="1:17" ht="20.25" customHeight="1" x14ac:dyDescent="0.2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</row>
    <row r="37" spans="1:17" ht="25.5" customHeight="1" x14ac:dyDescent="0.2">
      <c r="A37" s="142" t="s">
        <v>110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26"/>
    </row>
    <row r="39" spans="1:17" ht="15" x14ac:dyDescent="0.25">
      <c r="A39" s="7" t="s">
        <v>28</v>
      </c>
      <c r="B39" s="7"/>
      <c r="D39" s="25" t="s">
        <v>160</v>
      </c>
      <c r="E39" s="24"/>
    </row>
    <row r="40" spans="1:17" ht="15" x14ac:dyDescent="0.25">
      <c r="A40" s="7"/>
      <c r="B40" s="9"/>
    </row>
    <row r="41" spans="1:17" ht="15" x14ac:dyDescent="0.25">
      <c r="A41" s="7" t="s">
        <v>18</v>
      </c>
      <c r="B41" s="9"/>
    </row>
    <row r="42" spans="1:17" ht="15" x14ac:dyDescent="0.25">
      <c r="A42" s="7"/>
      <c r="B42" s="9"/>
    </row>
    <row r="43" spans="1:17" ht="15" x14ac:dyDescent="0.25">
      <c r="A43" s="7" t="s">
        <v>29</v>
      </c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32">
    <mergeCell ref="I28:I29"/>
    <mergeCell ref="G28:H28"/>
    <mergeCell ref="C23:M23"/>
    <mergeCell ref="E26:G26"/>
    <mergeCell ref="G7:M7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4" sqref="B34:XFD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153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MEZ-O-43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1896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18030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185</v>
      </c>
      <c r="D31" s="103" t="str">
        <f>+Инвойс!D31</f>
        <v>Дер. ящик</v>
      </c>
      <c r="E31" s="103"/>
      <c r="F31" s="103" t="str">
        <f>+Инвойс!B31</f>
        <v>Персики свежие</v>
      </c>
      <c r="G31" s="104" t="str">
        <f>+Инвойс!C31</f>
        <v>0809309001</v>
      </c>
      <c r="H31" s="103"/>
      <c r="I31" s="105">
        <f>+Инвойс!G31</f>
        <v>995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100</v>
      </c>
      <c r="D32" s="103" t="str">
        <f>+Инвойс!D32</f>
        <v>Дер.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955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101</v>
      </c>
      <c r="D33" s="103" t="str">
        <f>+Инвойс!D33</f>
        <v>Дер. ящик</v>
      </c>
      <c r="E33" s="103"/>
      <c r="F33" s="103" t="str">
        <f>+Инвойс!B33</f>
        <v>Лимоны свежие некалиброванный</v>
      </c>
      <c r="G33" s="104" t="str">
        <f>+Инвойс!C33</f>
        <v>0805501009</v>
      </c>
      <c r="H33" s="103"/>
      <c r="I33" s="105">
        <f>+Инвойс!G33</f>
        <v>450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P087KK774/BX537574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6" sqref="F26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P087KK774/BX537574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MEZ-O-43 от  25.08.2025г.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1896</v>
      </c>
      <c r="G18" s="166" t="str">
        <f>+CMR!F30</f>
        <v>Виноград свежий столовых сортов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0" t="str">
        <f>+Инвойс!C30</f>
        <v>0806101001</v>
      </c>
      <c r="H19" s="161"/>
      <c r="I19" s="122" t="s">
        <v>103</v>
      </c>
      <c r="J19" s="120">
        <f>+Инвойс!G30</f>
        <v>18030</v>
      </c>
    </row>
    <row r="20" spans="2:10" ht="13.5" customHeight="1" x14ac:dyDescent="0.25">
      <c r="B20" s="83"/>
      <c r="E20" s="123"/>
      <c r="F20" s="118">
        <f>+Инвойс!E31</f>
        <v>185</v>
      </c>
      <c r="G20" s="166" t="str">
        <f>+CMR!F31</f>
        <v>Персики свежие</v>
      </c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Дер. ящик</v>
      </c>
      <c r="G21" s="160" t="str">
        <f>+Инвойс!C31</f>
        <v>0809309001</v>
      </c>
      <c r="H21" s="161"/>
      <c r="I21" s="122" t="s">
        <v>103</v>
      </c>
      <c r="J21" s="120">
        <f>+Инвойс!G31</f>
        <v>995</v>
      </c>
    </row>
    <row r="22" spans="2:10" ht="12.75" customHeight="1" x14ac:dyDescent="0.25">
      <c r="B22" s="83"/>
      <c r="E22" s="123"/>
      <c r="F22" s="118">
        <f>+Инвойс!E32</f>
        <v>100</v>
      </c>
      <c r="G22" s="166" t="str">
        <f>+CMR!F32</f>
        <v>Перец горький свежий</v>
      </c>
      <c r="H22" s="166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60" t="str">
        <f>+Инвойс!C32</f>
        <v>0709609900</v>
      </c>
      <c r="H23" s="161"/>
      <c r="I23" s="122" t="s">
        <v>103</v>
      </c>
      <c r="J23" s="120">
        <f>+Инвойс!G32</f>
        <v>955</v>
      </c>
    </row>
    <row r="24" spans="2:10" ht="12.75" customHeight="1" x14ac:dyDescent="0.25">
      <c r="B24" s="87"/>
      <c r="E24" s="123"/>
      <c r="F24" s="118">
        <f>+Инвойс!E33</f>
        <v>101</v>
      </c>
      <c r="G24" s="166" t="str">
        <f>+CMR!F33</f>
        <v>Лимоны свежие некалиброванный</v>
      </c>
      <c r="H24" s="166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60" t="str">
        <f>+Инвойс!C33</f>
        <v>0805501009</v>
      </c>
      <c r="H25" s="161"/>
      <c r="I25" s="122" t="s">
        <v>103</v>
      </c>
      <c r="J25" s="120">
        <f>+Инвойс!G33</f>
        <v>450</v>
      </c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2282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16" zoomScale="85" zoomScaleNormal="85" workbookViewId="0">
      <selection activeCell="A34" sqref="A34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167</v>
      </c>
      <c r="C1" s="174"/>
      <c r="D1" s="174"/>
      <c r="E1" s="174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EX0508 от 05.08.2025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«MEGA EXIMPORT»</v>
      </c>
      <c r="B5" s="136"/>
      <c r="C5" s="136"/>
      <c r="D5" s="136"/>
      <c r="E5" s="136"/>
      <c r="F5" s="6"/>
      <c r="G5" s="138" t="str">
        <f>+Инвойс!G5</f>
        <v>ООО ТД «РЕСУРС»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5" x14ac:dyDescent="0.25">
      <c r="A11" s="172"/>
      <c r="B11" s="172"/>
      <c r="C11" s="172"/>
      <c r="D11" s="172"/>
      <c r="E11" s="172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tr">
        <f>+Инвойс!A14</f>
        <v>ООО «MEGA EXIMPORT»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72"/>
      <c r="B20" s="172"/>
      <c r="C20" s="172"/>
      <c r="D20" s="172"/>
      <c r="E20" s="172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141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120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P087KK774/BX537574</v>
      </c>
      <c r="F26" s="155"/>
      <c r="G26" s="155"/>
      <c r="J26" s="21"/>
    </row>
    <row r="27" spans="1:17" ht="34.5" customHeight="1" x14ac:dyDescent="0.25">
      <c r="A27" s="67" t="s">
        <v>142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9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1896</v>
      </c>
      <c r="F30" s="116" t="str">
        <f>+Инвойс!F30</f>
        <v>кг</v>
      </c>
      <c r="G30" s="106">
        <f>+Инвойс!G30</f>
        <v>18030</v>
      </c>
      <c r="H30" s="106">
        <f>+Инвойс!H30</f>
        <v>15375</v>
      </c>
      <c r="I30" s="108">
        <f>+Инвойс!I30</f>
        <v>1.2</v>
      </c>
      <c r="J30" s="13">
        <f>+Инвойс!J30</f>
        <v>18450</v>
      </c>
      <c r="K30" s="12">
        <v>0</v>
      </c>
      <c r="L30" s="12">
        <v>0</v>
      </c>
      <c r="M30" s="13">
        <f>+Инвойс!M30</f>
        <v>18450</v>
      </c>
      <c r="O30" s="100"/>
      <c r="Q30" s="100"/>
    </row>
    <row r="31" spans="1:17" ht="15" x14ac:dyDescent="0.2">
      <c r="A31" s="129">
        <f>+Инвойс!A31</f>
        <v>2</v>
      </c>
      <c r="B31" s="101" t="str">
        <f>+Инвойс!B31</f>
        <v>Персики свежие</v>
      </c>
      <c r="C31" s="107" t="str">
        <f>+Инвойс!C31</f>
        <v>0809309001</v>
      </c>
      <c r="D31" s="115" t="str">
        <f>+Инвойс!D31</f>
        <v>Дер. ящик</v>
      </c>
      <c r="E31" s="101">
        <f>+Инвойс!E31</f>
        <v>185</v>
      </c>
      <c r="F31" s="116" t="str">
        <f>+Инвойс!F31</f>
        <v>кг</v>
      </c>
      <c r="G31" s="106">
        <f>+Инвойс!G31</f>
        <v>995</v>
      </c>
      <c r="H31" s="106">
        <f>+Инвойс!H31</f>
        <v>773</v>
      </c>
      <c r="I31" s="108">
        <f>+Инвойс!I31</f>
        <v>1.1000000000000001</v>
      </c>
      <c r="J31" s="13">
        <f>+Инвойс!J31</f>
        <v>850.30000000000007</v>
      </c>
      <c r="K31" s="12">
        <v>0</v>
      </c>
      <c r="L31" s="12">
        <v>0</v>
      </c>
      <c r="M31" s="13">
        <f>+Инвойс!M31</f>
        <v>850.30000000000007</v>
      </c>
      <c r="O31" s="100"/>
      <c r="Q31" s="100"/>
    </row>
    <row r="32" spans="1:17" ht="15" x14ac:dyDescent="0.2">
      <c r="A32" s="129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5" t="str">
        <f>+Инвойс!D32</f>
        <v>Дер. ящик</v>
      </c>
      <c r="E32" s="101">
        <f>+Инвойс!E32</f>
        <v>100</v>
      </c>
      <c r="F32" s="116" t="str">
        <f>+Инвойс!F32</f>
        <v>кг</v>
      </c>
      <c r="G32" s="106">
        <f>+Инвойс!G32</f>
        <v>955</v>
      </c>
      <c r="H32" s="106">
        <f>+Инвойс!H32</f>
        <v>815</v>
      </c>
      <c r="I32" s="108">
        <f>+Инвойс!I32</f>
        <v>1</v>
      </c>
      <c r="J32" s="13">
        <f>+Инвойс!J32</f>
        <v>815</v>
      </c>
      <c r="K32" s="12">
        <v>0</v>
      </c>
      <c r="L32" s="12">
        <v>0</v>
      </c>
      <c r="M32" s="13">
        <f>+Инвойс!M32</f>
        <v>815</v>
      </c>
      <c r="O32" s="100"/>
      <c r="Q32" s="100"/>
    </row>
    <row r="33" spans="1:17" ht="30" x14ac:dyDescent="0.2">
      <c r="A33" s="129">
        <f>+Инвойс!A33</f>
        <v>4</v>
      </c>
      <c r="B33" s="101" t="str">
        <f>+Инвойс!B33</f>
        <v>Лимоны свежие некалиброванный</v>
      </c>
      <c r="C33" s="107" t="str">
        <f>+Инвойс!C33</f>
        <v>0805501009</v>
      </c>
      <c r="D33" s="115" t="str">
        <f>+Инвойс!D33</f>
        <v>Дер. ящик</v>
      </c>
      <c r="E33" s="101">
        <f>+Инвойс!E33</f>
        <v>101</v>
      </c>
      <c r="F33" s="116" t="str">
        <f>+Инвойс!F33</f>
        <v>кг</v>
      </c>
      <c r="G33" s="106">
        <f>+Инвойс!G33</f>
        <v>450</v>
      </c>
      <c r="H33" s="106">
        <f>+Инвойс!H33</f>
        <v>310</v>
      </c>
      <c r="I33" s="108">
        <f>+Инвойс!I33</f>
        <v>3</v>
      </c>
      <c r="J33" s="13">
        <f>+Инвойс!J33</f>
        <v>930</v>
      </c>
      <c r="K33" s="12">
        <v>0</v>
      </c>
      <c r="L33" s="12">
        <v>0</v>
      </c>
      <c r="M33" s="13">
        <f>+Инвойс!M33</f>
        <v>930</v>
      </c>
      <c r="O33" s="100"/>
      <c r="Q33" s="100"/>
    </row>
    <row r="34" spans="1:17" ht="14.25" x14ac:dyDescent="0.2">
      <c r="A34" s="149" t="s">
        <v>0</v>
      </c>
      <c r="B34" s="150"/>
      <c r="C34" s="14"/>
      <c r="D34" s="15"/>
      <c r="E34" s="64">
        <f>SUM(E30:E33)</f>
        <v>2282</v>
      </c>
      <c r="F34" s="15"/>
      <c r="G34" s="64">
        <f>SUM(G30:G33)</f>
        <v>20430</v>
      </c>
      <c r="H34" s="64">
        <f>SUM(H30:H33)</f>
        <v>17273</v>
      </c>
      <c r="I34" s="102"/>
      <c r="J34" s="17">
        <f>SUM(J30:J33)</f>
        <v>21045.3</v>
      </c>
      <c r="K34" s="16"/>
      <c r="L34" s="16"/>
      <c r="M34" s="17">
        <f>SUM(M30:M33)</f>
        <v>21045.3</v>
      </c>
      <c r="P34" s="66"/>
    </row>
    <row r="35" spans="1:17" ht="13.5" x14ac:dyDescent="0.25">
      <c r="A35" s="2" t="s">
        <v>17</v>
      </c>
      <c r="B35" s="3"/>
      <c r="C35" s="11"/>
      <c r="D35" s="11"/>
      <c r="E35" s="145" t="str">
        <f>Лист1!B3</f>
        <v>Двадцать одна тысяча сорок пять долларов США, 30 центов.</v>
      </c>
      <c r="F35" s="146"/>
      <c r="G35" s="146"/>
      <c r="H35" s="146"/>
      <c r="I35" s="146"/>
      <c r="J35" s="146"/>
      <c r="K35" s="146"/>
      <c r="L35" s="146"/>
      <c r="M35" s="146"/>
    </row>
    <row r="36" spans="1:17" ht="20.25" customHeight="1" x14ac:dyDescent="0.2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</row>
    <row r="37" spans="1:17" ht="25.5" customHeight="1" x14ac:dyDescent="0.2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26"/>
    </row>
    <row r="39" spans="1:17" ht="15.75" x14ac:dyDescent="0.25">
      <c r="A39" s="7" t="s">
        <v>162</v>
      </c>
      <c r="B39" s="7"/>
      <c r="D39" s="25" t="str">
        <f>+Инвойс!D39</f>
        <v>Эргашев О.Р</v>
      </c>
      <c r="E39" s="24"/>
      <c r="G39" s="131" t="s">
        <v>151</v>
      </c>
      <c r="H39" t="str">
        <f>Инвойс!G5</f>
        <v>ООО ТД «РЕСУРС»</v>
      </c>
      <c r="K39" s="132" t="s">
        <v>152</v>
      </c>
    </row>
    <row r="40" spans="1:17" ht="15" x14ac:dyDescent="0.25">
      <c r="A40" s="7"/>
      <c r="B40" s="9"/>
    </row>
    <row r="41" spans="1:17" ht="15" x14ac:dyDescent="0.25">
      <c r="A41" s="7"/>
      <c r="B41" s="9"/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8"/>
      <c r="B44" s="9"/>
    </row>
    <row r="45" spans="1:17" x14ac:dyDescent="0.2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8" t="s">
        <v>121</v>
      </c>
    </row>
    <row r="3" spans="1:1" ht="51" x14ac:dyDescent="0.2">
      <c r="A3" s="133" t="s">
        <v>143</v>
      </c>
    </row>
    <row r="5" spans="1:1" ht="38.25" x14ac:dyDescent="0.2">
      <c r="A5" s="128" t="s">
        <v>122</v>
      </c>
    </row>
    <row r="7" spans="1:1" ht="51" x14ac:dyDescent="0.2">
      <c r="A7" s="128" t="s">
        <v>123</v>
      </c>
    </row>
    <row r="9" spans="1:1" ht="51" x14ac:dyDescent="0.2">
      <c r="A9" s="128" t="s">
        <v>124</v>
      </c>
    </row>
    <row r="10" spans="1:1" x14ac:dyDescent="0.2">
      <c r="A10" s="128"/>
    </row>
    <row r="11" spans="1:1" ht="51" x14ac:dyDescent="0.2">
      <c r="A11" s="128" t="s">
        <v>125</v>
      </c>
    </row>
    <row r="13" spans="1:1" ht="51" x14ac:dyDescent="0.2">
      <c r="A13" s="128" t="s">
        <v>126</v>
      </c>
    </row>
    <row r="15" spans="1:1" ht="38.25" x14ac:dyDescent="0.2">
      <c r="A15" s="128" t="s">
        <v>127</v>
      </c>
    </row>
    <row r="17" spans="1:1" ht="38.25" x14ac:dyDescent="0.2">
      <c r="A17" s="128" t="s">
        <v>128</v>
      </c>
    </row>
    <row r="19" spans="1:1" ht="38.25" x14ac:dyDescent="0.2">
      <c r="A19" s="130" t="s">
        <v>140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Инвойс!M34</f>
        <v>21045.3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одна тысяча сорок пять долларов США, 30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одна тысяча сорок пять долларов США, 30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одна тысяча сорок пять долларов США, 30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одна тысяча сорок пять долларов США, 30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сорок пять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30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21045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">
      <c r="A27" s="54">
        <f>TRUNC(A28/10)</f>
        <v>210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2104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21045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30</v>
      </c>
      <c r="C31" s="59">
        <f>TRUNC(A31/10)</f>
        <v>3</v>
      </c>
      <c r="E31" s="56" t="str">
        <f>IF(OR(C31=1,C31=0),"",IF(C31=2,E35,IF(C31=3,E36,IF(C31=4,E37,IF(C31=5,E38,IF(C31=6,E39,IF(C31=7,E40,IF(C31=8,E41,E42))))))))</f>
        <v xml:space="preserve">тридцать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2025-08-25T04:41:44Z</cp:lastPrinted>
  <dcterms:created xsi:type="dcterms:W3CDTF">1996-10-14T23:33:28Z</dcterms:created>
  <dcterms:modified xsi:type="dcterms:W3CDTF">2025-08-25T04:41:53Z</dcterms:modified>
</cp:coreProperties>
</file>