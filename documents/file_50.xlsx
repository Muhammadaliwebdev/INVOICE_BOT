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ED361F0-6B4A-43EE-992D-EC3A1E5039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<sst xmlns="http://schemas.openxmlformats.org/spreadsheetml/2006/main" count="209" uniqueCount="163">
  <si>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</si>
  <si>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</si>
  <si>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</si>
  <si>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</si>
  <si>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</si>
  <si>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</si>
  <si>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</si>
  <si>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</si>
  <si>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</si>
  <si>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</si>
  <si>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</si>
  <si>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</si>
  <si>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</si>
  <si>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</si>
  <si>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</si>
  <si>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</si>
  <si>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</si>
  <si>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</si>
  <si>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</si>
  <si>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</si>
  <si>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</si>
  <si>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</si>
  <si>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</si>
  <si>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</si>
  <si>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</si>
  <si>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</si>
  <si>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</si>
  <si>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</si>
  <si>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</si>
  <si>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</si>
  <si>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</si>
  <si>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</si>
  <si>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</si>
  <si>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</si>
  <si>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</si>
  <si>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</si>
  <si>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</si>
  <si>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</si>
  <si>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</si>
  <si>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</si>
  <si>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</si>
  <si>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</si>
  <si>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</si>
  <si>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</si>
  <si>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</si>
  <si>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</si>
  <si>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</si>
  <si>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</si>
  <si>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</si>
  <si>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</si>
  <si>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</si>
  <si>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</si>
  <si>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</si>
  <si>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</si>
  <si>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</si>
  <si>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</si>
  <si>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</si>
  <si>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</si>
  <si>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</si>
  <si>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</si>
  <si>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</si>
  <si>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</si>
  <si>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</si>
  <si>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</si>
  <si>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</si>
  <si>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</si>
  <si>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</si>
  <si>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</si>
  <si>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</si>
  <si>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</si>
  <si>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</si>
  <si>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</si>
  <si>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</si>
  <si>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</si>
  <si>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</si>
  <si>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</si>
  <si>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</si>
  <si>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</si>
  <si>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</si>
  <si>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</si>
  <si>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</si>
  <si>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</si>
  <si>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</si>
  <si>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</si>
  <si>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</si>
  <si>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</si>
  <si>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</si>
  <si>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</si>
  <si>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</si>
  <si>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</si>
  <si>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</si>
  <si>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</si>
  <si>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</si>
  <si>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</si>
  <si>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</si>
  <si>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</si>
  <si>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</si>
  <si>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</si>
  <si>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</si>
  <si>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</si>
  <si>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</si>
  <si>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</si>
  <si>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</si>
  <si>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</si>
  <si>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</si>
  <si>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</si>
  <si>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</si>
  <si>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</si>
  <si>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</si>
  <si>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</si>
  <si>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</si>
  <si>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</si>
  <si>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</si>
  <si>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</si>
  <si>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</si>
  <si>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</si>
  <si>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</si>
  <si>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</si>
  <si>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</si>
  <si>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</si>
  <si>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</si>
  <si>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</si>
  <si>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</si>
  <si>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</si>
  <si>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</si>
  <si>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</si>
  <si>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</si>
  <si>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</si>
  <si>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</si>
  <si>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</si>
  <si>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</si>
  <si>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</si>
  <si>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</si>
  <si>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</si>
  <si>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</si>
  <si>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</si>
  <si>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</si>
  <si>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</si>
  <si>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</si>
  <si>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</si>
  <si>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</si>
  <si>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</si>
  <si>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</si>
  <si>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</si>
  <si>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</si>
  <si>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</si>
  <si>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</si>
  <si>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</si>
  <si>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</si>
  <si>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 xml:space="preserve"> 25.08.2025г.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</si>
  <si>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</si>
  <si>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</si>
  <si>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</si>
  <si>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</si>
  <si>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</si>
  <si>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</si>
  <si>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</si>
  <si>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</si>
  <si>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</si>
  <si>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</si>
  <si>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VG-N-9 от </t>
  </si>
  <si>
    <t>90C004PA/907262AA</t>
  </si>
  <si>
    <t xml:space="preserve">СПЕЦИФИКАЦИЯ № VG-N-9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</si>
</sst>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171674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160</v>
      </c>
      <c r="D1" s="154"/>
      <c r="E1" s="154"/>
      <c r="F1" s="153" t="s">
        <v>149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150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140</v>
      </c>
      <c r="B5" s="155"/>
      <c r="C5" s="155"/>
      <c r="D5" s="155"/>
      <c r="E5" s="155"/>
      <c r="F5" s="6"/>
      <c r="G5" s="148" t="s">
        <v>151</v>
      </c>
      <c r="H5" s="148"/>
      <c r="I5" s="148"/>
      <c r="J5" s="148"/>
      <c r="K5" s="148"/>
      <c r="L5" s="148"/>
      <c r="M5" s="148"/>
    </row>
    <row r="6" spans="1:15" ht="13.8" x14ac:dyDescent="0.25">
      <c r="A6" s="143" t="s">
        <v>141</v>
      </c>
      <c r="B6" s="142"/>
      <c r="C6" s="142"/>
      <c r="D6" s="142"/>
      <c r="E6" s="142"/>
      <c r="F6" s="7"/>
      <c r="G6" s="141" t="s">
        <v>152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148</v>
      </c>
      <c r="B7" s="142"/>
      <c r="C7" s="142"/>
      <c r="D7" s="142"/>
      <c r="E7" s="142"/>
      <c r="F7" s="63"/>
      <c r="G7" s="141" t="s">
        <v>153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154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143</v>
      </c>
      <c r="B9" s="8"/>
      <c r="C9" s="8"/>
      <c r="D9" s="8"/>
      <c r="E9" s="8"/>
      <c r="F9" s="7"/>
      <c r="G9" s="7" t="s">
        <v>155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145</v>
      </c>
      <c r="B11" s="8"/>
      <c r="C11" s="8"/>
      <c r="D11" s="8"/>
      <c r="E11" s="8"/>
      <c r="F11" s="7"/>
      <c r="G11" s="7" t="s">
        <v>156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157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140</v>
      </c>
      <c r="B14" s="155"/>
      <c r="C14" s="155"/>
      <c r="D14" s="155"/>
      <c r="E14" s="155"/>
      <c r="F14" s="6"/>
      <c r="G14" s="148" t="s">
        <v>151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141</v>
      </c>
      <c r="B15" s="142"/>
      <c r="C15" s="142"/>
      <c r="D15" s="142"/>
      <c r="E15" s="142"/>
      <c r="F15" s="7"/>
      <c r="G15" s="141" t="s">
        <v>152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148</v>
      </c>
      <c r="B16" s="142"/>
      <c r="C16" s="142"/>
      <c r="D16" s="142"/>
      <c r="E16" s="142"/>
      <c r="F16" s="63"/>
      <c r="G16" s="141" t="s">
        <v>153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154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143</v>
      </c>
      <c r="B18" s="8"/>
      <c r="C18" s="8"/>
      <c r="D18" s="8"/>
      <c r="E18" s="8"/>
      <c r="F18" s="7"/>
      <c r="G18" s="7" t="s">
        <v>155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145</v>
      </c>
      <c r="B20" s="8"/>
      <c r="C20" s="8"/>
      <c r="D20" s="8"/>
      <c r="E20" s="8"/>
      <c r="F20" s="7"/>
      <c r="G20" s="7" t="s">
        <v>156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157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128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915</v>
      </c>
      <c r="F30" s="110" t="s">
        <v>27</v>
      </c>
      <c r="G30" s="106">
        <v>22800</v>
      </c>
      <c r="H30" s="106">
        <v>21153</v>
      </c>
      <c r="I30" s="108">
        <v>0.25</v>
      </c>
      <c r="J30" s="13">
        <f t="shared" ref="J30" si="0">H30*I30</f>
        <v>5288.25</v>
      </c>
      <c r="K30" s="12">
        <v>0</v>
      </c>
      <c r="L30" s="12">
        <v>0</v>
      </c>
      <c r="M30" s="13">
        <f t="shared" ref="M30" si="1">J30</f>
        <v>5288.25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915</v>
      </c>
      <c r="F31" s="15"/>
      <c r="G31" s="64">
        <f>SUM(G30:G30)</f>
        <v>22800</v>
      </c>
      <c r="H31" s="64">
        <f>SUM(H30:H30)</f>
        <v>21153</v>
      </c>
      <c r="I31" s="102"/>
      <c r="J31" s="17">
        <f>SUM(J30:J30)</f>
        <v>5288.25</v>
      </c>
      <c r="K31" s="16"/>
      <c r="L31" s="16"/>
      <c r="M31" s="17">
        <f>SUM(M30:M30)</f>
        <v>5288.25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двести восемьдесят восемь долларов США, 25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146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F38" sqref="F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VG-N-9 от  25.08.2025г.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915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25.08.2025г.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90C004PA/907262AA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G35" sqref="G35:H35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90C004PA/907262AA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25.08.2025г.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VG-N-9 от  25.08.2025г.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915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22800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915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25.08.2025г.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GR-VT-01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«VISTOTRADE»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 xml:space="preserve">Республика Узбекистан. Кашкадарьинская область, 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Г. Гулам, МФУ, улица Гузара, дом 14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«KAPITAL BANK» МФО: 01158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р/с: 20208840407263267001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KACHUZ22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312236782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«VISTOTRADE»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 xml:space="preserve">Республика Узбекистан. Кашкадарьинская область, 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Г. Гулам, МФУ, улица Гузара, дом 14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«KAPITAL BANK» МФО: 01158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р/с: 20208840407263267001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KACHUZ22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312236782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90C004PA/907262AA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9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915</v>
      </c>
      <c r="F30" s="116" t="str">
        <f>+Инвойс!F30</f>
        <v>кг</v>
      </c>
      <c r="G30" s="106">
        <f>+Инвойс!G30</f>
        <v>22800</v>
      </c>
      <c r="H30" s="106">
        <f>+Инвойс!H30</f>
        <v>21153</v>
      </c>
      <c r="I30" s="108">
        <f>+Инвойс!I30</f>
        <v>0.25</v>
      </c>
      <c r="J30" s="13">
        <f>+Инвойс!J30</f>
        <v>5288.25</v>
      </c>
      <c r="K30" s="12">
        <v>0</v>
      </c>
      <c r="L30" s="12">
        <v>0</v>
      </c>
      <c r="M30" s="13">
        <f>+Инвойс!M30</f>
        <v>5288.25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915</v>
      </c>
      <c r="F31" s="15"/>
      <c r="G31" s="64">
        <f>SUM(G30:G30)</f>
        <v>22800</v>
      </c>
      <c r="H31" s="64">
        <f>SUM(H30:H30)</f>
        <v>21153</v>
      </c>
      <c r="I31" s="102"/>
      <c r="J31" s="17">
        <f>SUM(J30:J30)</f>
        <v>5288.25</v>
      </c>
      <c r="K31" s="16"/>
      <c r="L31" s="16"/>
      <c r="M31" s="17">
        <f>SUM(M30:M30)</f>
        <v>5288.25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двести восемьдесят восемь долларов США, 25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147</v>
      </c>
      <c r="B36" s="131"/>
      <c r="D36" s="18" t="str">
        <f>+Инвойс!D36</f>
        <v>Авазов К.Ф</v>
      </c>
      <c r="E36" s="132"/>
      <c r="G36" s="129" t="s">
        <v>130</v>
      </c>
      <c r="H36" s="18" t="str">
        <f>Инвойс!G5</f>
        <v>ООО «ГРИН ВОРЛД»</v>
      </c>
      <c r="K36" s="133" t="s">
        <v>158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5288.25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восемьдесят восемь долларов США, 25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45894</v>
      </c>
      <c r="O3" s="178"/>
      <c r="P3">
        <f ca="1">DAY(N3)</f>
        <v>25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восемьдесят восемь долларов США, 25 центов. (в т.ч. НДС - 357,79)</v>
      </c>
      <c r="H4" s="32"/>
      <c r="I4" s="32"/>
      <c r="J4" s="32"/>
      <c r="K4" s="179" t="str">
        <f ca="1">CONCATENATE(" «  ",P3,"  »  ",Q3,"  ",R3," г.")</f>
        <v xml:space="preserve"> «  25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восемьдесят восемь долларов США, 25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восемьдесят восемь долларов США, 25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восемьдесят восемь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25 центов.</v>
      </c>
      <c r="D12" s="47"/>
      <c r="E12" s="48"/>
      <c r="M12" s="50">
        <f ca="1">TODAY()</f>
        <v>45894</v>
      </c>
    </row>
    <row r="13" spans="1:19" s="43" customFormat="1" x14ac:dyDescent="0.25">
      <c r="A13" s="49"/>
      <c r="D13" s="51"/>
      <c r="E13" s="52">
        <f>TRUNC(E2)</f>
        <v>5288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5288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288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2025-08-25T16:10:15Z</cp:lastPrinted>
  <dcterms:created xsi:type="dcterms:W3CDTF">1996-10-14T23:33:28Z</dcterms:created>
  <dcterms:modified xsi:type="dcterms:W3CDTF">2025-08-25T16:10:26Z</dcterms:modified>
</cp:coreProperties>
</file>