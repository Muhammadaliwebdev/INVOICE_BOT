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445DA36E-47BD-4637-8290-7ED5C6221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A20" i="7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<sst xmlns="http://schemas.openxmlformats.org/spreadsheetml/2006/main" count="209" uniqueCount="163">
  <si>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</si>
  <si>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</si>
  <si>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</si>
  <si>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</si>
  <si>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</si>
  <si>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</si>
  <si>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</si>
  <si>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</si>
  <si>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</si>
  <si>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</si>
  <si>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</si>
  <si>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</si>
  <si>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</si>
  <si>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</si>
  <si>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</si>
  <si>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</si>
  <si>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</si>
  <si>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</si>
  <si>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</si>
  <si>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</si>
  <si>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</si>
  <si>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</si>
  <si>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</si>
  <si>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</si>
  <si>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</si>
  <si>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</si>
  <si>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</si>
  <si>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</si>
  <si>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</si>
  <si>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</si>
  <si>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</si>
  <si>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</si>
  <si>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</si>
  <si>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</si>
  <si>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</si>
  <si>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</si>
  <si>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</si>
  <si>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</si>
  <si>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</si>
  <si>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</si>
  <si>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</si>
  <si>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</si>
  <si>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</si>
  <si>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</si>
  <si>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</si>
  <si>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</si>
  <si>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</si>
  <si>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</si>
  <si>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</si>
  <si>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</si>
  <si>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</si>
  <si>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</si>
  <si>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</si>
  <si>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</si>
  <si>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</si>
  <si>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</si>
  <si>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</si>
  <si>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</si>
  <si>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</si>
  <si>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</si>
  <si>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</si>
  <si>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</si>
  <si>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</si>
  <si>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</si>
  <si>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</si>
  <si>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</si>
  <si>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</si>
  <si>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</si>
  <si>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</si>
  <si>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</si>
  <si>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</si>
  <si>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</si>
  <si>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</si>
  <si>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</si>
  <si>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</si>
  <si>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</si>
  <si>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</si>
  <si>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</si>
  <si>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</si>
  <si>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</si>
  <si>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</si>
  <si>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</si>
  <si>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</si>
  <si>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</si>
  <si>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</si>
  <si>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</si>
  <si>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</si>
  <si>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</si>
  <si>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</si>
  <si>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</si>
  <si>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</si>
  <si>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</si>
  <si>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</si>
  <si>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</si>
  <si>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</si>
  <si>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</si>
  <si>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</si>
  <si>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</si>
  <si>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</si>
  <si>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</si>
  <si>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</si>
  <si>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</si>
  <si>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</si>
  <si>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</si>
  <si>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</si>
  <si>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</si>
  <si>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</si>
  <si>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</si>
  <si>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</si>
  <si>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</si>
  <si>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</si>
  <si>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</si>
  <si>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</si>
  <si>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</si>
  <si>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</si>
  <si>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</si>
  <si>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</si>
  <si>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</si>
  <si>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</si>
  <si>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</si>
  <si>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</si>
  <si>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</si>
  <si>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</si>
  <si>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</si>
  <si>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</si>
  <si>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</si>
  <si>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</si>
  <si>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</si>
  <si>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</si>
  <si>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</si>
  <si>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</si>
  <si>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</si>
  <si>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</si>
  <si>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</si>
  <si>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</si>
  <si>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</si>
  <si>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</si>
  <si>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</si>
  <si>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</si>
  <si>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</si>
  <si>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</si>
  <si>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</si>
  <si>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</si>
  <si>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</si>
  <si>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</si>
  <si>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</si>
  <si>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</si>
  <si>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</si>
  <si>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</si>
  <si>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</si>
  <si>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</si>
  <si>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</si>
  <si>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</si>
  <si>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</si>
  <si>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</si>
  <si>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</si>
  <si>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</si>
  <si>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</si>
  <si>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</si>
  <si>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GWG-N-7 от </t>
  </si>
  <si>
    <t xml:space="preserve"> 02.09.2025г.</t>
  </si>
  <si>
    <t xml:space="preserve">СПЕЦИФИКАЦИЯ № GWG-N-7 от </t>
  </si>
  <si>
    <t>30M417RB/015007BA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</si>
</sst>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126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146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910</v>
      </c>
      <c r="F30" s="115" t="s">
        <v>27</v>
      </c>
      <c r="G30" s="106">
        <v>22498</v>
      </c>
      <c r="H30" s="106">
        <v>20860</v>
      </c>
      <c r="I30" s="108">
        <v>0.25</v>
      </c>
      <c r="J30" s="13">
        <f t="shared" ref="J30" si="0">H30*I30</f>
        <v>5215</v>
      </c>
      <c r="K30" s="12">
        <v>0</v>
      </c>
      <c r="L30" s="12">
        <v>0</v>
      </c>
      <c r="M30" s="13">
        <f t="shared" ref="M30" si="1">J30</f>
        <v>5215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910</v>
      </c>
      <c r="F31" s="15"/>
      <c r="G31" s="64">
        <f>SUM(G30:G30)</f>
        <v>22498</v>
      </c>
      <c r="H31" s="64">
        <f>SUM(H30:H30)</f>
        <v>20860</v>
      </c>
      <c r="I31" s="102"/>
      <c r="J31" s="17">
        <f>SUM(J30:J30)</f>
        <v>5215</v>
      </c>
      <c r="K31" s="16"/>
      <c r="L31" s="16"/>
      <c r="M31" s="17">
        <f>SUM(M30:M30)</f>
        <v>5215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двести пятнадцать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GWG-N-7 от  02.09.2025г.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22498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02.09.2025г.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30M417RB/015007BA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30M417RB/015007BA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GWG-N-7 от  02.09.2025г.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910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22498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910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161</v>
      </c>
      <c r="C1" s="170"/>
      <c r="D1" s="170"/>
      <c r="E1" s="170"/>
      <c r="F1" s="151" t="str">
        <f>+Инвойс!F1</f>
        <v xml:space="preserve"> 02.09.2025г.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113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30M417RB/015007BA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910</v>
      </c>
      <c r="F30" s="115" t="str">
        <f>+Инвойс!F30</f>
        <v>кг</v>
      </c>
      <c r="G30" s="106">
        <f>+Инвойс!G30</f>
        <v>22498</v>
      </c>
      <c r="H30" s="106">
        <f>+Инвойс!H30</f>
        <v>20860</v>
      </c>
      <c r="I30" s="108">
        <f>+Инвойс!I30</f>
        <v>0.25</v>
      </c>
      <c r="J30" s="13">
        <f>+Инвойс!J30</f>
        <v>5215</v>
      </c>
      <c r="K30" s="12">
        <v>0</v>
      </c>
      <c r="L30" s="12">
        <v>0</v>
      </c>
      <c r="M30" s="13">
        <f>+Инвойс!M30</f>
        <v>5215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910</v>
      </c>
      <c r="F31" s="15"/>
      <c r="G31" s="64">
        <f>SUM(G30:G30)</f>
        <v>22498</v>
      </c>
      <c r="H31" s="64">
        <f>SUM(H30:H30)</f>
        <v>20860</v>
      </c>
      <c r="I31" s="102"/>
      <c r="J31" s="17">
        <f>SUM(J30:J30)</f>
        <v>5215</v>
      </c>
      <c r="K31" s="16"/>
      <c r="L31" s="16"/>
      <c r="M31" s="17">
        <f>SUM(M30:M30)</f>
        <v>5215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двести пятнадцать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6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144</v>
      </c>
      <c r="J10" s="25" t="s">
        <v>145</v>
      </c>
    </row>
    <row r="11" spans="1:10" ht="52.8" x14ac:dyDescent="0.25">
      <c r="A11" s="126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5215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45902</v>
      </c>
      <c r="O3" s="176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пятнадцать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пятнадцать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5215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2025-09-02T14:45:01Z</cp:lastPrinted>
  <dcterms:created xsi:type="dcterms:W3CDTF">1996-10-14T23:33:28Z</dcterms:created>
  <dcterms:modified xsi:type="dcterms:W3CDTF">2025-09-02T14:45:25Z</dcterms:modified>
</cp:coreProperties>
</file>