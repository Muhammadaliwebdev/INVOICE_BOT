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1227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<sst xmlns="http://schemas.openxmlformats.org/spreadsheetml/2006/main" count="211" uniqueCount="164">
  <si>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</si>
  <si>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</si>
  <si>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</si>
  <si>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</si>
  <si>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</si>
  <si>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</si>
  <si>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</si>
  <si>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</si>
  <si>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</si>
  <si>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</si>
  <si>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</si>
  <si>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</si>
  <si>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</si>
  <si>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</si>
  <si>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</si>
  <si>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</si>
  <si>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</si>
  <si>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</si>
  <si>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</si>
  <si>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</si>
  <si>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</si>
  <si>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</si>
  <si>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</si>
  <si>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</si>
  <si>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</si>
  <si>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</si>
  <si>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</si>
  <si>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</si>
  <si>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</si>
  <si>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</si>
  <si>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</si>
  <si>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</si>
  <si>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</si>
  <si>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</si>
  <si>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</si>
  <si>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</si>
  <si>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</si>
  <si>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</si>
  <si>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</si>
  <si>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</si>
  <si>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</si>
  <si>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</si>
  <si>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</si>
  <si>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</si>
  <si>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</si>
  <si>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</si>
  <si>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</si>
  <si>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</si>
  <si>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</si>
  <si>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</si>
  <si>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</si>
  <si>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</si>
  <si>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</si>
  <si>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</si>
  <si>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</si>
  <si>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</si>
  <si>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</si>
  <si>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</si>
  <si>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</si>
  <si>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</si>
  <si>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</si>
  <si>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</si>
  <si>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</si>
  <si>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</si>
  <si>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</si>
  <si>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</si>
  <si>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</si>
  <si>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</si>
  <si>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</si>
  <si>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</si>
  <si>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</si>
  <si>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</si>
  <si>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</si>
  <si>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</si>
  <si>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</si>
  <si>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</si>
  <si>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</si>
  <si>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</si>
  <si>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</si>
  <si>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</si>
  <si>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</si>
  <si>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</si>
  <si>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</si>
  <si>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</si>
  <si>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</si>
  <si>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</si>
  <si>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</si>
  <si>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</si>
  <si>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</si>
  <si>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</si>
  <si>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</si>
  <si>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</si>
  <si>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</si>
  <si>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</si>
  <si>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</si>
  <si>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</si>
  <si>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</si>
  <si>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</si>
  <si>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</si>
  <si>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</si>
  <si>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</si>
  <si>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</si>
  <si>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</si>
  <si>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</si>
  <si>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</si>
  <si>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</si>
  <si>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</si>
  <si>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</si>
  <si>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</si>
  <si>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</si>
  <si>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</si>
  <si>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</si>
  <si>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</si>
  <si>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</si>
  <si>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</si>
  <si>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</si>
  <si>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</si>
  <si>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</si>
  <si>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</si>
  <si>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</si>
  <si>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</si>
  <si>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</si>
  <si>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</si>
  <si>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</si>
  <si>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</si>
  <si>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</si>
  <si>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</si>
  <si>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</si>
  <si>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</si>
  <si>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</si>
  <si>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</si>
  <si>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</si>
  <si>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</si>
  <si>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</si>
  <si>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</si>
  <si>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</si>
  <si>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</si>
  <si>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</si>
  <si>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</si>
  <si>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</si>
  <si>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</si>
  <si>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</si>
  <si>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</si>
  <si>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</si>
  <si>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</si>
  <si>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</si>
  <si>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</si>
  <si>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</si>
  <si>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</si>
  <si>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</si>
  <si>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</si>
  <si>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</si>
  <si>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</si>
  <si>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</si>
  <si>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</si>
  <si>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</si>
  <si>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</si>
  <si>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</si>
  <si>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</si>
  <si>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</si>
  <si>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EXG-F-25 от </t>
  </si>
  <si>
    <t xml:space="preserve"> 30.08.2025г.</t>
  </si>
  <si>
    <t>30F723TA/305674AA</t>
  </si>
  <si>
    <t xml:space="preserve">СПЕЦИФИКАЦИЯ № EXG-F-25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</si>
</sst>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  <col min="15" max="15" width="11.140625" bestFit="1" customWidth="1"/>
  </cols>
  <sheetData>
    <row r="1" spans="1:15" ht="18.75" x14ac:dyDescent="0.3">
      <c r="B1" s="19"/>
      <c r="C1" s="134" t="s">
        <v>160</v>
      </c>
      <c r="D1" s="134"/>
      <c r="E1" s="134"/>
      <c r="F1" s="133" t="s">
        <v>161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148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149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150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151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149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150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151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118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162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1000</v>
      </c>
      <c r="F30" s="115" t="s">
        <v>27</v>
      </c>
      <c r="G30" s="106">
        <v>22100</v>
      </c>
      <c r="H30" s="106">
        <v>20300</v>
      </c>
      <c r="I30" s="108">
        <v>0.25</v>
      </c>
      <c r="J30" s="13">
        <f t="shared" ref="J30" si="0">H30*I30</f>
        <v>5075</v>
      </c>
      <c r="K30" s="12">
        <v>0</v>
      </c>
      <c r="L30" s="12">
        <v>0</v>
      </c>
      <c r="M30" s="13">
        <f t="shared" ref="M30" si="1">J30</f>
        <v>5075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22100</v>
      </c>
      <c r="H31" s="64">
        <f>SUM(H30:H30)</f>
        <v>20300</v>
      </c>
      <c r="I31" s="102"/>
      <c r="J31" s="17">
        <f>SUM(J30:J30)</f>
        <v>5075</v>
      </c>
      <c r="K31" s="16"/>
      <c r="L31" s="16"/>
      <c r="M31" s="17">
        <f>SUM(M30:M30)</f>
        <v>5075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семьдесят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EXG-F-25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30F723TA/305674AA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30F723TA/305674AA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EXG-F-25 от  30.08.2025г.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22100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1000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163</v>
      </c>
      <c r="C1" s="173"/>
      <c r="D1" s="173"/>
      <c r="E1" s="173"/>
      <c r="F1" s="133" t="str">
        <f>+Инвойс!F1</f>
        <v xml:space="preserve"> 30.08.2025г.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GR-EX-01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30F723TA/305674AA</v>
      </c>
      <c r="F26" s="155"/>
      <c r="G26" s="155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22100</v>
      </c>
      <c r="H30" s="106">
        <f>+Инвойс!H30</f>
        <v>20300</v>
      </c>
      <c r="I30" s="108">
        <f>+Инвойс!I30</f>
        <v>0.25</v>
      </c>
      <c r="J30" s="13">
        <f>+Инвойс!J30</f>
        <v>5075</v>
      </c>
      <c r="K30" s="12">
        <v>0</v>
      </c>
      <c r="L30" s="12">
        <v>0</v>
      </c>
      <c r="M30" s="13">
        <f>+Инвойс!M30</f>
        <v>5075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1000</v>
      </c>
      <c r="F31" s="15"/>
      <c r="G31" s="64">
        <f>SUM(G30:G30)</f>
        <v>22100</v>
      </c>
      <c r="H31" s="64">
        <f>SUM(H30:H30)</f>
        <v>20300</v>
      </c>
      <c r="I31" s="102"/>
      <c r="J31" s="17">
        <f>SUM(J30:J30)</f>
        <v>5075</v>
      </c>
      <c r="K31" s="16"/>
      <c r="L31" s="16"/>
      <c r="M31" s="17">
        <f>SUM(M30:M30)</f>
        <v>5075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семьдесят пять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АБДИЛАКИМОВ А.А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128</v>
      </c>
    </row>
    <row r="5" spans="1:10" ht="38.25" x14ac:dyDescent="0.2">
      <c r="A5" s="125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5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5" t="s">
        <v>119</v>
      </c>
    </row>
    <row r="10" spans="1:10" x14ac:dyDescent="0.2">
      <c r="A10" s="125"/>
      <c r="E10" s="18" t="s">
        <v>134</v>
      </c>
      <c r="J10" s="25" t="s">
        <v>135</v>
      </c>
    </row>
    <row r="11" spans="1:10" ht="51" x14ac:dyDescent="0.2">
      <c r="A11" s="125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5" t="s">
        <v>120</v>
      </c>
    </row>
    <row r="15" spans="1:10" ht="38.25" x14ac:dyDescent="0.2">
      <c r="A15" s="125" t="s">
        <v>121</v>
      </c>
    </row>
    <row r="17" spans="1:1" ht="38.25" x14ac:dyDescent="0.2">
      <c r="A17" s="125" t="s">
        <v>122</v>
      </c>
    </row>
    <row r="19" spans="1:1" ht="38.25" x14ac:dyDescent="0.2">
      <c r="A19" s="127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5075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семьдесят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семьдесят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семьдесят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семьдесят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">
      <c r="A13" s="49"/>
      <c r="D13" s="51"/>
      <c r="E13" s="52">
        <f>TRUNC(E2)</f>
        <v>5075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507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5075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2025-08-30T19:00:53Z</cp:lastPrinted>
  <dcterms:created xsi:type="dcterms:W3CDTF">1996-10-14T23:33:28Z</dcterms:created>
  <dcterms:modified xsi:type="dcterms:W3CDTF">2025-08-30T19:00:54Z</dcterms:modified>
</cp:coreProperties>
</file>