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FE471CD0-0D4C-47AE-B243-8BCAC2095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<sst xmlns="http://schemas.openxmlformats.org/spreadsheetml/2006/main" count="212" uniqueCount="164">
  <si>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</si>
  <si>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</si>
  <si>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</si>
  <si>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</si>
  <si>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</si>
  <si>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</si>
  <si>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</si>
  <si>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</si>
  <si>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</si>
  <si>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</si>
  <si>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</si>
  <si>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</si>
  <si>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</si>
  <si>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</si>
  <si>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</si>
  <si>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</si>
  <si>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</si>
  <si>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</si>
  <si>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</si>
  <si>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</si>
  <si>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</si>
  <si>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</si>
  <si>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</si>
  <si>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</si>
  <si>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</si>
  <si>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</si>
  <si>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</si>
  <si>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</si>
  <si>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</si>
  <si>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</si>
  <si>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</si>
  <si>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</si>
  <si>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</si>
  <si>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</si>
  <si>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</si>
  <si>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</si>
  <si>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</si>
  <si>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</si>
  <si>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</si>
  <si>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</si>
  <si>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</si>
  <si>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</si>
  <si>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</si>
  <si>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</si>
  <si>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</si>
  <si>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</si>
  <si>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</si>
  <si>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</si>
  <si>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</si>
  <si>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</si>
  <si>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</si>
  <si>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</si>
  <si>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</si>
  <si>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</si>
  <si>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</si>
  <si>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</si>
  <si>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</si>
  <si>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</si>
  <si>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</si>
  <si>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</si>
  <si>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</si>
  <si>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</si>
  <si>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</si>
  <si>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</si>
  <si>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</si>
  <si>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</si>
  <si>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</si>
  <si>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</si>
  <si>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</si>
  <si>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</si>
  <si>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</si>
  <si>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</si>
  <si>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</si>
  <si>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</si>
  <si>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</si>
  <si>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</si>
  <si>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</si>
  <si>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</si>
  <si>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</si>
  <si>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</si>
  <si>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</si>
  <si>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</si>
  <si>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</si>
  <si>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</si>
  <si>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</si>
  <si>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</si>
  <si>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</si>
  <si>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</si>
  <si>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</si>
  <si>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</si>
  <si>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</si>
  <si>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</si>
  <si>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</si>
  <si>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</si>
  <si>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</si>
  <si>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</si>
  <si>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</si>
  <si>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</si>
  <si>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</si>
  <si>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</si>
  <si>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</si>
  <si>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</si>
  <si>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</si>
  <si>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</si>
  <si>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</si>
  <si>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</si>
  <si>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</si>
  <si>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</si>
  <si>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</si>
  <si>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</si>
  <si>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</si>
  <si>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</si>
  <si>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</si>
  <si>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</si>
  <si>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</si>
  <si>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</si>
  <si>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</si>
  <si>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</si>
  <si>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</si>
  <si>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</si>
  <si>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</si>
  <si>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</si>
  <si>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</si>
  <si>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</si>
  <si>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</si>
  <si>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</si>
  <si>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</si>
  <si>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</si>
  <si>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</si>
  <si>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</si>
  <si>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</si>
  <si>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</si>
  <si>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</si>
  <si>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</si>
  <si>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</si>
  <si>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</si>
  <si>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</si>
  <si>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</si>
  <si>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</si>
  <si>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</si>
  <si>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</si>
  <si>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</si>
  <si>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</si>
  <si>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</si>
  <si>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</si>
  <si>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</si>
  <si>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</si>
  <si>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</si>
  <si>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</si>
  <si>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</si>
  <si>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</si>
  <si>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</si>
  <si>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</si>
  <si>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</si>
  <si>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</si>
  <si>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</si>
  <si>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</si>
  <si>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</si>
  <si>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UFG-M-66 от </t>
  </si>
  <si>
    <t xml:space="preserve">СПЕЦИФИКАЦИЯ № UFG-M-66 от </t>
  </si>
  <si>
    <t>85T410LA/854750AA</t>
  </si>
  <si>
    <t>-</t>
  </si>
  <si>
    <t>Навалом</t>
  </si>
  <si>
    <t>СВХ ООО "Легион Сибирь Плюс" 10609030 - т/п Новосибирский западный 630052, Новосибирская обл., г. Новосибирск, ул. Толмачевская, д.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</si>
</sst>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154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145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146</v>
      </c>
      <c r="B5" s="136"/>
      <c r="C5" s="136"/>
      <c r="D5" s="136"/>
      <c r="E5" s="136"/>
      <c r="F5" s="6"/>
      <c r="G5" s="138" t="s">
        <v>133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141</v>
      </c>
      <c r="B6" s="143"/>
      <c r="C6" s="143"/>
      <c r="D6" s="143"/>
      <c r="E6" s="143"/>
      <c r="F6" s="7"/>
      <c r="G6" s="140" t="s">
        <v>134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147</v>
      </c>
      <c r="B7" s="143"/>
      <c r="C7" s="143"/>
      <c r="D7" s="143"/>
      <c r="E7" s="143"/>
      <c r="F7" s="63"/>
      <c r="G7" s="140" t="s">
        <v>135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136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143</v>
      </c>
      <c r="B10" s="125"/>
      <c r="C10" s="125"/>
      <c r="D10" s="125"/>
      <c r="E10" s="125"/>
      <c r="F10" s="7"/>
      <c r="G10" s="7" t="s">
        <v>132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144</v>
      </c>
      <c r="B11" s="8"/>
      <c r="C11" s="8"/>
      <c r="D11" s="8"/>
      <c r="E11" s="8"/>
      <c r="F11" s="7"/>
      <c r="G11" s="7" t="s">
        <v>138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149</v>
      </c>
      <c r="B12" s="8"/>
      <c r="C12" s="8"/>
      <c r="D12" s="8"/>
      <c r="E12" s="8"/>
      <c r="F12" s="7"/>
      <c r="G12" s="139" t="s">
        <v>139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146</v>
      </c>
      <c r="B14" s="136"/>
      <c r="C14" s="136"/>
      <c r="D14" s="136"/>
      <c r="E14" s="136"/>
      <c r="F14" s="6"/>
      <c r="G14" s="138" t="s">
        <v>133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141</v>
      </c>
      <c r="B15" s="143"/>
      <c r="C15" s="143"/>
      <c r="D15" s="143"/>
      <c r="E15" s="143"/>
      <c r="F15" s="7"/>
      <c r="G15" s="140" t="s">
        <v>134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147</v>
      </c>
      <c r="B16" s="143"/>
      <c r="C16" s="143"/>
      <c r="D16" s="143"/>
      <c r="E16" s="143"/>
      <c r="F16" s="63"/>
      <c r="G16" s="140" t="s">
        <v>135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136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137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143</v>
      </c>
      <c r="B19" s="125"/>
      <c r="C19" s="125"/>
      <c r="D19" s="125"/>
      <c r="E19" s="125"/>
      <c r="F19" s="7"/>
      <c r="G19" s="7" t="s">
        <v>132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144</v>
      </c>
      <c r="B20" s="8"/>
      <c r="C20" s="8"/>
      <c r="D20" s="8"/>
      <c r="E20" s="8"/>
      <c r="F20" s="7"/>
      <c r="G20" s="7" t="s">
        <v>138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149</v>
      </c>
      <c r="B21" s="8"/>
      <c r="C21" s="8"/>
      <c r="D21" s="8"/>
      <c r="E21" s="8"/>
      <c r="G21" s="139" t="s">
        <v>139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163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v>1</v>
      </c>
      <c r="B30" s="101" t="s">
        <v>123</v>
      </c>
      <c r="C30" s="107" t="s">
        <v>124</v>
      </c>
      <c r="D30" s="109" t="s">
        <v>162</v>
      </c>
      <c r="E30" s="101" t="s">
        <v>161</v>
      </c>
      <c r="F30" s="110" t="s">
        <v>27</v>
      </c>
      <c r="G30" s="106">
        <v>23000</v>
      </c>
      <c r="H30" s="106">
        <v>23000</v>
      </c>
      <c r="I30" s="108">
        <v>0.25</v>
      </c>
      <c r="J30" s="13">
        <f t="shared" ref="J30" si="0">H30*I30</f>
        <v>5750</v>
      </c>
      <c r="K30" s="12">
        <v>0</v>
      </c>
      <c r="L30" s="12">
        <v>0</v>
      </c>
      <c r="M30" s="13">
        <f t="shared" ref="M30" si="1">J30</f>
        <v>5750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23000</v>
      </c>
      <c r="H31" s="64">
        <f>SUM(H30:H30)</f>
        <v>23000</v>
      </c>
      <c r="I31" s="102"/>
      <c r="J31" s="17">
        <f>SUM(J30:J30)</f>
        <v>5750</v>
      </c>
      <c r="K31" s="16"/>
      <c r="L31" s="16"/>
      <c r="M31" s="17">
        <f>SUM(M30:M30)</f>
        <v>5750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семьсот пятьдесят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UFG-M-66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85T410LA/854750AA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85T410LA/854750AA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UFG-M-66 от  05.09.2025г.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 t="str">
        <f>+Инвойс!E30</f>
        <v>-</v>
      </c>
      <c r="G18" s="167" t="str">
        <f>+CMR!F30</f>
        <v>Арбузы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Навалом</v>
      </c>
      <c r="G19" s="161" t="str">
        <f>+Инвойс!C30</f>
        <v>0807110001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 t="s">
        <v>162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159</v>
      </c>
      <c r="C1" s="174"/>
      <c r="D1" s="174"/>
      <c r="E1" s="174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85T410LA/854750AA</v>
      </c>
      <c r="F26" s="156"/>
      <c r="G26" s="156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23000</v>
      </c>
      <c r="H30" s="106">
        <f>+Инвойс!H30</f>
        <v>23000</v>
      </c>
      <c r="I30" s="108">
        <f>+Инвойс!I30</f>
        <v>0.25</v>
      </c>
      <c r="J30" s="13">
        <f>+Инвойс!J30</f>
        <v>5750</v>
      </c>
      <c r="K30" s="12">
        <v>0</v>
      </c>
      <c r="L30" s="12">
        <v>0</v>
      </c>
      <c r="M30" s="13">
        <f>+Инвойс!M30</f>
        <v>5750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23000</v>
      </c>
      <c r="H31" s="64">
        <f>SUM(H30:H30)</f>
        <v>23000</v>
      </c>
      <c r="I31" s="102"/>
      <c r="J31" s="17">
        <f>SUM(J30:J30)</f>
        <v>5750</v>
      </c>
      <c r="K31" s="16"/>
      <c r="L31" s="16"/>
      <c r="M31" s="17">
        <f>SUM(M30:M30)</f>
        <v>5750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семьсот пятьдесят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151</v>
      </c>
      <c r="B36" s="131"/>
      <c r="D36" s="18" t="str">
        <f>+Инвойс!D36</f>
        <v>ЭШТЕМИРОВ Х.Х</v>
      </c>
      <c r="E36" s="132"/>
      <c r="G36" s="129" t="s">
        <v>126</v>
      </c>
      <c r="H36" s="18" t="str">
        <f>Инвойс!G5</f>
        <v>ООО «ГРИН ВОРЛД»</v>
      </c>
      <c r="K36" s="133" t="s">
        <v>140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125</v>
      </c>
    </row>
    <row r="5" spans="1:10" ht="92.4" x14ac:dyDescent="0.25">
      <c r="A5" s="126" t="s">
        <v>153</v>
      </c>
    </row>
    <row r="6" spans="1:10" x14ac:dyDescent="0.25">
      <c r="E6" s="18" t="s">
        <v>155</v>
      </c>
      <c r="J6" s="25" t="s">
        <v>128</v>
      </c>
    </row>
    <row r="7" spans="1:10" ht="52.8" x14ac:dyDescent="0.25">
      <c r="A7" s="126" t="s">
        <v>115</v>
      </c>
    </row>
    <row r="8" spans="1:10" x14ac:dyDescent="0.25">
      <c r="E8" s="18" t="s">
        <v>156</v>
      </c>
      <c r="J8" s="25" t="s">
        <v>129</v>
      </c>
    </row>
    <row r="9" spans="1:10" ht="52.8" x14ac:dyDescent="0.25">
      <c r="A9" s="126" t="s">
        <v>116</v>
      </c>
    </row>
    <row r="10" spans="1:10" x14ac:dyDescent="0.25">
      <c r="A10" s="126"/>
      <c r="E10" s="18" t="s">
        <v>156</v>
      </c>
      <c r="J10" s="25" t="s">
        <v>130</v>
      </c>
    </row>
    <row r="11" spans="1:10" ht="52.8" x14ac:dyDescent="0.25">
      <c r="A11" s="126" t="s">
        <v>152</v>
      </c>
    </row>
    <row r="12" spans="1:10" x14ac:dyDescent="0.25">
      <c r="E12" s="18" t="s">
        <v>157</v>
      </c>
      <c r="J12" s="25" t="s">
        <v>131</v>
      </c>
    </row>
    <row r="13" spans="1:10" ht="52.8" x14ac:dyDescent="0.25">
      <c r="A13" s="126" t="s">
        <v>117</v>
      </c>
    </row>
    <row r="15" spans="1:10" ht="39.6" x14ac:dyDescent="0.25">
      <c r="A15" s="126" t="s">
        <v>118</v>
      </c>
    </row>
    <row r="17" spans="1:1" ht="39.6" x14ac:dyDescent="0.25">
      <c r="A17" s="126" t="s">
        <v>119</v>
      </c>
    </row>
    <row r="19" spans="1:1" ht="39.6" x14ac:dyDescent="0.25">
      <c r="A19" s="128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5750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семьсот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семьсот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семьсот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семьсот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5750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575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5750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2025-09-05T15:06:07Z</cp:lastPrinted>
  <dcterms:created xsi:type="dcterms:W3CDTF">1996-10-14T23:33:28Z</dcterms:created>
  <dcterms:modified xsi:type="dcterms:W3CDTF">2025-09-05T15:06:09Z</dcterms:modified>
</cp:coreProperties>
</file>