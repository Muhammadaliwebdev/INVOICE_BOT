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86E7F28-7AE0-4BC2-912E-4273A531E8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<sst xmlns="http://schemas.openxmlformats.org/spreadsheetml/2006/main" count="209" uniqueCount="163">
  <si>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</si>
  <si>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</si>
  <si>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</si>
  <si>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</si>
  <si>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</si>
  <si>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</si>
  <si>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</si>
  <si>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</si>
  <si>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</si>
  <si>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</si>
  <si>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</si>
  <si>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</si>
  <si>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</si>
  <si>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</si>
  <si>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</si>
  <si>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</si>
  <si>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</si>
  <si>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</si>
  <si>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</si>
  <si>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</si>
  <si>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</si>
  <si>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</si>
  <si>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</si>
  <si>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</si>
  <si>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</si>
  <si>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</si>
  <si>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</si>
  <si>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</si>
  <si>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</si>
  <si>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</si>
  <si>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</si>
  <si>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</si>
  <si>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</si>
  <si>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</si>
  <si>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</si>
  <si>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</si>
  <si>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</si>
  <si>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</si>
  <si>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</si>
  <si>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</si>
  <si>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</si>
  <si>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</si>
  <si>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</si>
  <si>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</si>
  <si>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</si>
  <si>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</si>
  <si>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</si>
  <si>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</si>
  <si>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</si>
  <si>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</si>
  <si>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</si>
  <si>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</si>
  <si>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</si>
  <si>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</si>
  <si>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</si>
  <si>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</si>
  <si>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</si>
  <si>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</si>
  <si>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</si>
  <si>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</si>
  <si>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</si>
  <si>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</si>
  <si>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</si>
  <si>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</si>
  <si>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</si>
  <si>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</si>
  <si>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</si>
  <si>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</si>
  <si>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</si>
  <si>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</si>
  <si>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</si>
  <si>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</si>
  <si>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</si>
  <si>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</si>
  <si>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</si>
  <si>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</si>
  <si>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</si>
  <si>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</si>
  <si>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</si>
  <si>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</si>
  <si>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</si>
  <si>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</si>
  <si>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</si>
  <si>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</si>
  <si>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</si>
  <si>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</si>
  <si>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</si>
  <si>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</si>
  <si>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</si>
  <si>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</si>
  <si>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</si>
  <si>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</si>
  <si>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</si>
  <si>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</si>
  <si>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</si>
  <si>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</si>
  <si>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</si>
  <si>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</si>
  <si>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</si>
  <si>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</si>
  <si>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</si>
  <si>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</si>
  <si>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</si>
  <si>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</si>
  <si>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</si>
  <si>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</si>
  <si>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</si>
  <si>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</si>
  <si>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</si>
  <si>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</si>
  <si>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</si>
  <si>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</si>
  <si>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</si>
  <si>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</si>
  <si>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</si>
  <si>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</si>
  <si>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</si>
  <si>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</si>
  <si>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</si>
  <si>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</si>
  <si>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</si>
  <si>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</si>
  <si>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</si>
  <si>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</si>
  <si>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</si>
  <si>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</si>
  <si>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</si>
  <si>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</si>
  <si>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</si>
  <si>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</si>
  <si>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</si>
  <si>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</si>
  <si>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</si>
  <si>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</si>
  <si>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</si>
  <si>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</si>
  <si>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</si>
  <si>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</si>
  <si>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</si>
  <si>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</si>
  <si>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«VISTOTRADE»</t>
  </si>
  <si>
    <t xml:space="preserve">Республика Узбекистан. Кашкадарьинская область, </t>
  </si>
  <si>
    <t>в АКБ «KAPITAL BANK» МФО: 01158</t>
  </si>
  <si>
    <t>р/с: 20208840407263267001 (доллар США)</t>
  </si>
  <si>
    <t>SWIFT: KACHUZ22</t>
  </si>
  <si>
    <t>ИНН: 312236782</t>
  </si>
  <si>
    <t>Авазов К.Ф</t>
  </si>
  <si>
    <t>Директор:  ООО «VISTOTRADE»</t>
  </si>
  <si>
    <t>Г. Гулам, МФУ, улица Гузара, дом 14</t>
  </si>
  <si>
    <t xml:space="preserve"> 25.08.2025г.</t>
  </si>
  <si>
    <t>к контракту № GR-VT-01 от 22.08.2025 года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</si>
  <si>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</si>
  <si>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</si>
  <si>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</si>
  <si>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</si>
  <si>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</si>
  <si>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</si>
  <si>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</si>
  <si>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</si>
  <si>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г.Челябинский таможенный пост г.Челябинск ул. Ениссйская, 87А код поста 10504080   ООО "ГРИН ВОРЛД" 
RU/0237/2 от 27.12.2024</t>
  </si>
  <si>
    <t xml:space="preserve">ИНВОЙС № VG-N-6 от </t>
  </si>
  <si>
    <t>90852CBA/905637BA</t>
  </si>
  <si>
    <t xml:space="preserve">СПЕЦИФИКАЦИЯ № VG-N-6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</si>
</sst>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89649</xdr:colOff>
      <xdr:row>36</xdr:row>
      <xdr:rowOff>89647</xdr:rowOff>
    </xdr:from>
    <xdr:to>
      <xdr:col>4</xdr:col>
      <xdr:colOff>166394</xdr:colOff>
      <xdr:row>39</xdr:row>
      <xdr:rowOff>179294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72503EC-7FB5-41AD-F313-3C4E70CCB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0914" y="20428323"/>
          <a:ext cx="805127" cy="661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739588</xdr:colOff>
      <xdr:row>36</xdr:row>
      <xdr:rowOff>100852</xdr:rowOff>
    </xdr:from>
    <xdr:to>
      <xdr:col>3</xdr:col>
      <xdr:colOff>47624</xdr:colOff>
      <xdr:row>48</xdr:row>
      <xdr:rowOff>147917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33AF74A-0D5C-A2D4-104B-AEBBDF133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8176" y="20439528"/>
          <a:ext cx="2120713" cy="2097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504267</xdr:colOff>
      <xdr:row>36</xdr:row>
      <xdr:rowOff>145677</xdr:rowOff>
    </xdr:from>
    <xdr:to>
      <xdr:col>3</xdr:col>
      <xdr:colOff>569805</xdr:colOff>
      <xdr:row>40</xdr:row>
      <xdr:rowOff>44824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D272AFB-9F9E-491E-95FD-0A1ADD669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5943" y="19363765"/>
          <a:ext cx="805127" cy="661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414617</xdr:colOff>
      <xdr:row>36</xdr:row>
      <xdr:rowOff>156882</xdr:rowOff>
    </xdr:from>
    <xdr:to>
      <xdr:col>2</xdr:col>
      <xdr:colOff>462242</xdr:colOff>
      <xdr:row>49</xdr:row>
      <xdr:rowOff>47065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11BB9AD-03DF-4FBE-852B-33837A4DD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205" y="19374970"/>
          <a:ext cx="2120713" cy="2097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448235</xdr:colOff>
      <xdr:row>36</xdr:row>
      <xdr:rowOff>145676</xdr:rowOff>
    </xdr:from>
    <xdr:to>
      <xdr:col>9</xdr:col>
      <xdr:colOff>634813</xdr:colOff>
      <xdr:row>48</xdr:row>
      <xdr:rowOff>72929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7F2FC92E-0823-4DFC-9CDB-86FF17136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2794" y="19173264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53" t="s">
        <v>160</v>
      </c>
      <c r="D1" s="153"/>
      <c r="E1" s="153"/>
      <c r="F1" s="152" t="s">
        <v>149</v>
      </c>
      <c r="G1" s="152"/>
      <c r="H1" s="152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5" t="s">
        <v>150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">
      <c r="A5" s="154" t="s">
        <v>140</v>
      </c>
      <c r="B5" s="154"/>
      <c r="C5" s="154"/>
      <c r="D5" s="154"/>
      <c r="E5" s="154"/>
      <c r="F5" s="6"/>
      <c r="G5" s="147" t="s">
        <v>151</v>
      </c>
      <c r="H5" s="147"/>
      <c r="I5" s="147"/>
      <c r="J5" s="147"/>
      <c r="K5" s="147"/>
      <c r="L5" s="147"/>
      <c r="M5" s="147"/>
    </row>
    <row r="6" spans="1:15" ht="15" x14ac:dyDescent="0.25">
      <c r="A6" s="142" t="s">
        <v>141</v>
      </c>
      <c r="B6" s="141"/>
      <c r="C6" s="141"/>
      <c r="D6" s="141"/>
      <c r="E6" s="141"/>
      <c r="F6" s="7"/>
      <c r="G6" s="140" t="s">
        <v>152</v>
      </c>
      <c r="H6" s="140"/>
      <c r="I6" s="140"/>
      <c r="J6" s="140"/>
      <c r="K6" s="140"/>
      <c r="L6" s="140"/>
      <c r="M6" s="140"/>
      <c r="N6" s="4"/>
    </row>
    <row r="7" spans="1:15" ht="15" x14ac:dyDescent="0.25">
      <c r="A7" s="141" t="s">
        <v>148</v>
      </c>
      <c r="B7" s="141"/>
      <c r="C7" s="141"/>
      <c r="D7" s="141"/>
      <c r="E7" s="141"/>
      <c r="F7" s="63"/>
      <c r="G7" s="140" t="s">
        <v>153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142</v>
      </c>
      <c r="B8" s="8"/>
      <c r="C8" s="8"/>
      <c r="D8" s="8"/>
      <c r="E8" s="8"/>
      <c r="F8" s="63"/>
      <c r="G8" s="7" t="s">
        <v>154</v>
      </c>
      <c r="H8" s="23"/>
      <c r="I8" s="23"/>
      <c r="J8" s="23"/>
      <c r="K8" s="23"/>
      <c r="L8" s="23"/>
      <c r="M8" s="23"/>
    </row>
    <row r="9" spans="1:15" ht="15" x14ac:dyDescent="0.25">
      <c r="A9" s="8" t="s">
        <v>143</v>
      </c>
      <c r="B9" s="8"/>
      <c r="C9" s="8"/>
      <c r="D9" s="8"/>
      <c r="E9" s="8"/>
      <c r="F9" s="7"/>
      <c r="G9" s="7" t="s">
        <v>155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4" t="s">
        <v>144</v>
      </c>
      <c r="B10" s="124"/>
      <c r="C10" s="124"/>
      <c r="D10" s="124"/>
      <c r="E10" s="124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145</v>
      </c>
      <c r="B11" s="8"/>
      <c r="C11" s="8"/>
      <c r="D11" s="8"/>
      <c r="E11" s="8"/>
      <c r="F11" s="7"/>
      <c r="G11" s="7" t="s">
        <v>156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3" t="s">
        <v>157</v>
      </c>
      <c r="H12" s="143"/>
      <c r="I12" s="143"/>
      <c r="J12" s="143"/>
      <c r="K12" s="143"/>
      <c r="L12" s="143"/>
      <c r="M12" s="143"/>
    </row>
    <row r="13" spans="1:15" ht="24" customHeight="1" x14ac:dyDescent="0.2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">
      <c r="A14" s="154" t="s">
        <v>140</v>
      </c>
      <c r="B14" s="154"/>
      <c r="C14" s="154"/>
      <c r="D14" s="154"/>
      <c r="E14" s="154"/>
      <c r="F14" s="6"/>
      <c r="G14" s="147" t="s">
        <v>151</v>
      </c>
      <c r="H14" s="147"/>
      <c r="I14" s="147"/>
      <c r="J14" s="147"/>
      <c r="K14" s="147"/>
      <c r="L14" s="147"/>
      <c r="M14" s="147"/>
    </row>
    <row r="15" spans="1:15" ht="13.9" customHeight="1" x14ac:dyDescent="0.25">
      <c r="A15" s="142" t="s">
        <v>141</v>
      </c>
      <c r="B15" s="141"/>
      <c r="C15" s="141"/>
      <c r="D15" s="141"/>
      <c r="E15" s="141"/>
      <c r="F15" s="7"/>
      <c r="G15" s="140" t="s">
        <v>152</v>
      </c>
      <c r="H15" s="140"/>
      <c r="I15" s="140"/>
      <c r="J15" s="140"/>
      <c r="K15" s="140"/>
      <c r="L15" s="140"/>
      <c r="M15" s="140"/>
    </row>
    <row r="16" spans="1:15" ht="15" x14ac:dyDescent="0.25">
      <c r="A16" s="141" t="s">
        <v>148</v>
      </c>
      <c r="B16" s="141"/>
      <c r="C16" s="141"/>
      <c r="D16" s="141"/>
      <c r="E16" s="141"/>
      <c r="F16" s="63"/>
      <c r="G16" s="140" t="s">
        <v>153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142</v>
      </c>
      <c r="B17" s="8"/>
      <c r="C17" s="8"/>
      <c r="D17" s="8"/>
      <c r="E17" s="8"/>
      <c r="F17" s="63"/>
      <c r="G17" s="7" t="s">
        <v>154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143</v>
      </c>
      <c r="B18" s="8"/>
      <c r="C18" s="8"/>
      <c r="D18" s="8"/>
      <c r="E18" s="8"/>
      <c r="F18" s="7"/>
      <c r="G18" s="7" t="s">
        <v>155</v>
      </c>
      <c r="H18" s="23"/>
      <c r="I18" s="23"/>
      <c r="J18" s="23"/>
      <c r="K18" s="23"/>
      <c r="L18" s="23"/>
      <c r="M18" s="23"/>
    </row>
    <row r="19" spans="1:17" ht="15" x14ac:dyDescent="0.25">
      <c r="A19" s="124" t="s">
        <v>144</v>
      </c>
      <c r="B19" s="124"/>
      <c r="C19" s="124"/>
      <c r="D19" s="124"/>
      <c r="E19" s="124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145</v>
      </c>
      <c r="B20" s="8"/>
      <c r="C20" s="8"/>
      <c r="D20" s="8"/>
      <c r="E20" s="8"/>
      <c r="F20" s="7"/>
      <c r="G20" s="7" t="s">
        <v>156</v>
      </c>
      <c r="H20" s="23"/>
      <c r="I20" s="23"/>
      <c r="J20" s="23"/>
      <c r="K20" s="23"/>
      <c r="L20" s="23"/>
      <c r="M20" s="23"/>
    </row>
    <row r="21" spans="1:17" ht="15" x14ac:dyDescent="0.25">
      <c r="A21" s="99"/>
      <c r="B21" s="8"/>
      <c r="C21" s="8"/>
      <c r="D21" s="8"/>
      <c r="E21" s="8"/>
      <c r="G21" s="143" t="s">
        <v>157</v>
      </c>
      <c r="H21" s="143"/>
      <c r="I21" s="143"/>
      <c r="J21" s="143"/>
      <c r="K21" s="143"/>
      <c r="L21" s="143"/>
      <c r="M21" s="14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37" t="s">
        <v>121</v>
      </c>
      <c r="D23" s="137"/>
      <c r="E23" s="137"/>
      <c r="F23" s="137"/>
      <c r="G23" s="137"/>
      <c r="H23" s="137"/>
      <c r="I23" s="137"/>
      <c r="J23" s="137"/>
      <c r="K23" s="137"/>
      <c r="L23" s="137"/>
      <c r="M23" s="137"/>
    </row>
    <row r="24" spans="1:17" ht="15.75" x14ac:dyDescent="0.25">
      <c r="A24" s="20" t="s">
        <v>22</v>
      </c>
      <c r="C24" s="18" t="s">
        <v>138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8" t="s">
        <v>161</v>
      </c>
      <c r="F26" s="139"/>
      <c r="G26" s="139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33" t="s">
        <v>1</v>
      </c>
      <c r="B28" s="133" t="s">
        <v>2</v>
      </c>
      <c r="C28" s="133" t="s">
        <v>3</v>
      </c>
      <c r="D28" s="133" t="s">
        <v>4</v>
      </c>
      <c r="E28" s="133" t="s">
        <v>5</v>
      </c>
      <c r="F28" s="133" t="s">
        <v>6</v>
      </c>
      <c r="G28" s="135" t="s">
        <v>7</v>
      </c>
      <c r="H28" s="136"/>
      <c r="I28" s="133" t="s">
        <v>8</v>
      </c>
      <c r="J28" s="110" t="s">
        <v>9</v>
      </c>
      <c r="K28" s="135" t="s">
        <v>10</v>
      </c>
      <c r="L28" s="136"/>
      <c r="M28" s="133" t="s">
        <v>11</v>
      </c>
    </row>
    <row r="29" spans="1:17" ht="32.25" x14ac:dyDescent="0.2">
      <c r="A29" s="134"/>
      <c r="B29" s="134"/>
      <c r="C29" s="134"/>
      <c r="D29" s="134"/>
      <c r="E29" s="134"/>
      <c r="F29" s="134"/>
      <c r="G29" s="110" t="s">
        <v>12</v>
      </c>
      <c r="H29" s="110" t="s">
        <v>13</v>
      </c>
      <c r="I29" s="134"/>
      <c r="J29" s="111" t="s">
        <v>14</v>
      </c>
      <c r="K29" s="10" t="s">
        <v>15</v>
      </c>
      <c r="L29" s="10" t="s">
        <v>16</v>
      </c>
      <c r="M29" s="134"/>
    </row>
    <row r="30" spans="1:17" ht="30" x14ac:dyDescent="0.2">
      <c r="A30" s="126">
        <v>1</v>
      </c>
      <c r="B30" s="101" t="s">
        <v>126</v>
      </c>
      <c r="C30" s="107" t="s">
        <v>127</v>
      </c>
      <c r="D30" s="109" t="s">
        <v>112</v>
      </c>
      <c r="E30" s="101">
        <v>900</v>
      </c>
      <c r="F30" s="115" t="s">
        <v>27</v>
      </c>
      <c r="G30" s="106">
        <v>23000</v>
      </c>
      <c r="H30" s="106">
        <v>21380</v>
      </c>
      <c r="I30" s="108">
        <v>0.25</v>
      </c>
      <c r="J30" s="13">
        <f t="shared" ref="J30" si="0">H30*I30</f>
        <v>5345</v>
      </c>
      <c r="K30" s="12">
        <v>0</v>
      </c>
      <c r="L30" s="12">
        <v>0</v>
      </c>
      <c r="M30" s="13">
        <f t="shared" ref="M30" si="1">J30</f>
        <v>5345</v>
      </c>
      <c r="O30" s="100"/>
      <c r="Q30" s="100"/>
    </row>
    <row r="31" spans="1:17" ht="14.25" x14ac:dyDescent="0.2">
      <c r="A31" s="150" t="s">
        <v>0</v>
      </c>
      <c r="B31" s="151"/>
      <c r="C31" s="14"/>
      <c r="D31" s="15"/>
      <c r="E31" s="64">
        <f>SUM(E30:E30)</f>
        <v>900</v>
      </c>
      <c r="F31" s="15"/>
      <c r="G31" s="64">
        <f>SUM(G30:G30)</f>
        <v>23000</v>
      </c>
      <c r="H31" s="64">
        <f>SUM(H30:H30)</f>
        <v>21380</v>
      </c>
      <c r="I31" s="102"/>
      <c r="J31" s="17">
        <f>SUM(J30:J30)</f>
        <v>5345</v>
      </c>
      <c r="K31" s="16"/>
      <c r="L31" s="16"/>
      <c r="M31" s="17">
        <f>SUM(M30:M30)</f>
        <v>5345</v>
      </c>
      <c r="P31" s="66"/>
    </row>
    <row r="32" spans="1:17" ht="13.5" x14ac:dyDescent="0.25">
      <c r="A32" s="2" t="s">
        <v>17</v>
      </c>
      <c r="B32" s="3"/>
      <c r="C32" s="11"/>
      <c r="D32" s="11"/>
      <c r="E32" s="148" t="str">
        <f>Лист1!B3</f>
        <v>Пять тысяч триста сорок пять долларов США, 00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5" x14ac:dyDescent="0.25">
      <c r="A36" s="7" t="s">
        <v>28</v>
      </c>
      <c r="B36" s="7"/>
      <c r="D36" s="25" t="s">
        <v>146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7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«VISTOTRADE»</v>
      </c>
    </row>
    <row r="3" spans="1:11" ht="11.25" customHeight="1" x14ac:dyDescent="0.2">
      <c r="B3" s="70" t="str">
        <f>+Инвойс!A6</f>
        <v xml:space="preserve">Республика Узбекистан. Кашкадарьинская область, </v>
      </c>
    </row>
    <row r="4" spans="1:11" ht="11.25" customHeight="1" x14ac:dyDescent="0.2">
      <c r="B4" s="70" t="str">
        <f>+Инвойс!A7</f>
        <v>Г. Гулам, МФУ, улица Гузара, дом 14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25.08.2025г.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VG-N-6 от  25.08.2025г.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900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АО "СИАЙТИ ТЕРМИНАЛ" 10502090 - т/п Октябрьский 620025, Свердловская обл., г. Екатеринбург, ул. Бахчиванджи, д. 2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59" t="str">
        <f>+C22</f>
        <v xml:space="preserve"> 25.08.2025г.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90852CBA/905637BA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4" zoomScaleNormal="100" workbookViewId="0">
      <selection activeCell="F20" sqref="F20:J38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7" t="s">
        <v>96</v>
      </c>
      <c r="C2" s="167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8" t="str">
        <f>+Инвойс!E26</f>
        <v>90852CBA/905637BA</v>
      </c>
      <c r="C14" s="168"/>
      <c r="D14" s="168"/>
      <c r="E14" s="168"/>
      <c r="F14" s="168"/>
      <c r="G14" s="168"/>
      <c r="H14" s="169" t="s">
        <v>107</v>
      </c>
      <c r="I14" s="169"/>
      <c r="J14" s="88" t="str">
        <f>+Инвойс!F1</f>
        <v xml:space="preserve"> 25.08.2025г.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70" t="str">
        <f>+CMR!B24</f>
        <v>ИНВОЙС № VG-N-6 от  25.08.2025г.</v>
      </c>
      <c r="I15" s="170"/>
      <c r="J15" s="170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6"/>
      <c r="F18" s="117">
        <f>+Инвойс!E30</f>
        <v>900</v>
      </c>
      <c r="G18" s="162" t="str">
        <f>+CMR!F30</f>
        <v>Дыни свежие</v>
      </c>
      <c r="H18" s="162"/>
      <c r="I18" s="118"/>
      <c r="J18" s="119"/>
    </row>
    <row r="19" spans="2:10" ht="11.25" customHeight="1" x14ac:dyDescent="0.25">
      <c r="B19" s="91"/>
      <c r="E19" s="116"/>
      <c r="F19" s="120" t="str">
        <f>+Инвойс!D30</f>
        <v>Карт.Коробок</v>
      </c>
      <c r="G19" s="160" t="str">
        <f>+Инвойс!C30</f>
        <v>0807190001</v>
      </c>
      <c r="H19" s="161"/>
      <c r="I19" s="121" t="s">
        <v>103</v>
      </c>
      <c r="J19" s="119">
        <f>+Инвойс!G30</f>
        <v>23000</v>
      </c>
    </row>
    <row r="20" spans="2:10" ht="13.5" customHeight="1" x14ac:dyDescent="0.25">
      <c r="B20" s="83"/>
      <c r="E20" s="122"/>
      <c r="F20" s="117"/>
      <c r="G20" s="162"/>
      <c r="H20" s="162"/>
      <c r="I20" s="118"/>
      <c r="J20" s="119"/>
    </row>
    <row r="21" spans="2:10" ht="13.5" customHeight="1" x14ac:dyDescent="0.25">
      <c r="B21" s="83" t="s">
        <v>104</v>
      </c>
      <c r="E21" s="122"/>
      <c r="F21" s="120"/>
      <c r="G21" s="160"/>
      <c r="H21" s="161"/>
      <c r="I21" s="121"/>
      <c r="J21" s="119"/>
    </row>
    <row r="22" spans="2:10" ht="12.75" customHeight="1" x14ac:dyDescent="0.25">
      <c r="B22" s="83"/>
      <c r="E22" s="122"/>
      <c r="F22" s="117"/>
      <c r="G22" s="162"/>
      <c r="H22" s="162"/>
      <c r="I22" s="118"/>
      <c r="J22" s="119"/>
    </row>
    <row r="23" spans="2:10" ht="14.25" customHeight="1" x14ac:dyDescent="0.25">
      <c r="B23" s="83"/>
      <c r="E23" s="122"/>
      <c r="F23" s="120"/>
      <c r="G23" s="160"/>
      <c r="H23" s="161"/>
      <c r="I23" s="121"/>
      <c r="J23" s="119"/>
    </row>
    <row r="24" spans="2:10" ht="12.75" customHeight="1" x14ac:dyDescent="0.25">
      <c r="B24" s="87"/>
      <c r="E24" s="122"/>
      <c r="F24" s="117"/>
      <c r="G24" s="162"/>
      <c r="H24" s="162"/>
      <c r="I24" s="118"/>
      <c r="J24" s="119"/>
    </row>
    <row r="25" spans="2:10" ht="12.75" customHeight="1" x14ac:dyDescent="0.25">
      <c r="B25" s="87"/>
      <c r="E25" s="122"/>
      <c r="F25" s="120"/>
      <c r="G25" s="160"/>
      <c r="H25" s="161"/>
      <c r="I25" s="121"/>
      <c r="J25" s="119"/>
    </row>
    <row r="26" spans="2:10" ht="12" customHeight="1" x14ac:dyDescent="0.25">
      <c r="B26" s="87"/>
      <c r="E26" s="122"/>
      <c r="F26" s="117"/>
      <c r="G26" s="162"/>
      <c r="H26" s="162"/>
      <c r="I26" s="118"/>
      <c r="J26" s="119"/>
    </row>
    <row r="27" spans="2:10" ht="14.25" customHeight="1" x14ac:dyDescent="0.25">
      <c r="B27" s="87"/>
      <c r="E27" s="122"/>
      <c r="F27" s="120"/>
      <c r="G27" s="160"/>
      <c r="H27" s="161"/>
      <c r="I27" s="121"/>
      <c r="J27" s="119"/>
    </row>
    <row r="28" spans="2:10" ht="12.75" customHeight="1" x14ac:dyDescent="0.25">
      <c r="B28" s="87"/>
      <c r="E28" s="122"/>
      <c r="F28" s="117"/>
      <c r="G28" s="162"/>
      <c r="H28" s="162"/>
      <c r="I28" s="118"/>
      <c r="J28" s="119"/>
    </row>
    <row r="29" spans="2:10" ht="12.75" customHeight="1" x14ac:dyDescent="0.25">
      <c r="B29" s="87"/>
      <c r="E29" s="122"/>
      <c r="F29" s="120"/>
      <c r="G29" s="160"/>
      <c r="H29" s="161"/>
      <c r="I29" s="121"/>
      <c r="J29" s="119"/>
    </row>
    <row r="30" spans="2:10" ht="12.75" customHeight="1" x14ac:dyDescent="0.25">
      <c r="B30" s="87"/>
      <c r="E30" s="122"/>
      <c r="F30" s="117"/>
      <c r="G30" s="162"/>
      <c r="H30" s="162"/>
      <c r="I30" s="118"/>
      <c r="J30" s="119"/>
    </row>
    <row r="31" spans="2:10" ht="13.5" customHeight="1" x14ac:dyDescent="0.25">
      <c r="B31" s="87"/>
      <c r="E31" s="122"/>
      <c r="F31" s="120"/>
      <c r="G31" s="160"/>
      <c r="H31" s="161"/>
      <c r="I31" s="121"/>
      <c r="J31" s="119"/>
    </row>
    <row r="32" spans="2:10" ht="13.5" customHeight="1" x14ac:dyDescent="0.25">
      <c r="B32" s="87"/>
      <c r="E32" s="122"/>
      <c r="F32" s="117"/>
      <c r="G32" s="162"/>
      <c r="H32" s="162"/>
      <c r="I32" s="118"/>
      <c r="J32" s="119"/>
    </row>
    <row r="33" spans="2:10" ht="13.5" customHeight="1" x14ac:dyDescent="0.25">
      <c r="B33" s="87"/>
      <c r="E33" s="122"/>
      <c r="F33" s="120"/>
      <c r="G33" s="160"/>
      <c r="H33" s="161"/>
      <c r="I33" s="121"/>
      <c r="J33" s="119"/>
    </row>
    <row r="34" spans="2:10" ht="13.5" customHeight="1" x14ac:dyDescent="0.25">
      <c r="B34" s="87"/>
      <c r="E34" s="122"/>
      <c r="F34" s="117"/>
      <c r="G34" s="162"/>
      <c r="H34" s="162"/>
      <c r="I34" s="118"/>
      <c r="J34" s="119"/>
    </row>
    <row r="35" spans="2:10" ht="12.75" customHeight="1" x14ac:dyDescent="0.25">
      <c r="B35" s="87"/>
      <c r="E35" s="122"/>
      <c r="F35" s="120"/>
      <c r="G35" s="160"/>
      <c r="H35" s="161"/>
      <c r="I35" s="121"/>
      <c r="J35" s="119"/>
    </row>
    <row r="36" spans="2:10" x14ac:dyDescent="0.25">
      <c r="B36" s="87"/>
      <c r="E36" s="122"/>
      <c r="F36" s="117"/>
      <c r="G36" s="162"/>
      <c r="H36" s="162"/>
      <c r="I36" s="118"/>
      <c r="J36" s="119"/>
    </row>
    <row r="37" spans="2:10" ht="13.5" customHeight="1" x14ac:dyDescent="0.25">
      <c r="B37" s="87"/>
      <c r="E37" s="122"/>
      <c r="F37" s="120"/>
      <c r="G37" s="160"/>
      <c r="H37" s="161"/>
      <c r="I37" s="121"/>
      <c r="J37" s="119"/>
    </row>
    <row r="38" spans="2:10" x14ac:dyDescent="0.25">
      <c r="B38" s="87"/>
      <c r="E38" s="122"/>
      <c r="F38" s="117"/>
      <c r="G38" s="162"/>
      <c r="H38" s="162"/>
      <c r="I38" s="118"/>
      <c r="J38" s="119"/>
    </row>
    <row r="39" spans="2:10" ht="13.5" customHeight="1" x14ac:dyDescent="0.25">
      <c r="B39" s="87"/>
      <c r="E39" s="122"/>
      <c r="F39" s="120"/>
      <c r="G39" s="160"/>
      <c r="H39" s="161"/>
      <c r="I39" s="121"/>
      <c r="J39" s="119"/>
    </row>
    <row r="40" spans="2:10" ht="14.25" hidden="1" customHeight="1" x14ac:dyDescent="0.25">
      <c r="B40" s="87"/>
      <c r="E40" s="122"/>
      <c r="F40" s="117"/>
      <c r="G40" s="162"/>
      <c r="H40" s="162"/>
      <c r="I40" s="118"/>
      <c r="J40" s="119"/>
    </row>
    <row r="41" spans="2:10" ht="14.25" hidden="1" customHeight="1" x14ac:dyDescent="0.25">
      <c r="B41" s="87"/>
      <c r="E41" s="122"/>
      <c r="F41" s="120"/>
      <c r="G41" s="160"/>
      <c r="H41" s="161"/>
      <c r="I41" s="121"/>
      <c r="J41" s="119"/>
    </row>
    <row r="42" spans="2:10" hidden="1" x14ac:dyDescent="0.25">
      <c r="B42" s="87"/>
      <c r="E42" s="122"/>
      <c r="F42" s="117"/>
      <c r="G42" s="162"/>
      <c r="H42" s="162"/>
      <c r="I42" s="118"/>
      <c r="J42" s="119"/>
    </row>
    <row r="43" spans="2:10" x14ac:dyDescent="0.25">
      <c r="B43" s="87"/>
      <c r="E43" s="122"/>
      <c r="F43" s="120"/>
      <c r="G43" s="160"/>
      <c r="H43" s="161"/>
      <c r="I43" s="121"/>
      <c r="J43" s="119"/>
    </row>
    <row r="44" spans="2:10" ht="9" customHeight="1" x14ac:dyDescent="0.25">
      <c r="B44" s="87"/>
      <c r="E44" s="95"/>
      <c r="F44" s="92"/>
      <c r="G44" s="164"/>
      <c r="H44" s="164"/>
      <c r="I44" s="94"/>
      <c r="J44" s="123"/>
    </row>
    <row r="45" spans="2:10" ht="15" customHeight="1" x14ac:dyDescent="0.25">
      <c r="B45" s="87"/>
      <c r="E45" s="95"/>
      <c r="F45" s="92"/>
      <c r="G45" s="93"/>
      <c r="H45" s="94"/>
      <c r="I45" s="121"/>
      <c r="J45" s="119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5">
        <f>+F18+F20+F22+F24+F26+F28+F30+F32+F34+F36+F38+F40+F42</f>
        <v>900</v>
      </c>
      <c r="E47" s="166"/>
    </row>
    <row r="48" spans="2:10" ht="17.25" customHeight="1" x14ac:dyDescent="0.25">
      <c r="B48" s="163" t="s">
        <v>105</v>
      </c>
      <c r="C48" s="163"/>
      <c r="D48" s="163"/>
      <c r="E48" s="163"/>
    </row>
    <row r="49" spans="2:5" ht="21.75" customHeight="1" x14ac:dyDescent="0.25">
      <c r="B49" s="163"/>
      <c r="C49" s="163"/>
      <c r="D49" s="163"/>
      <c r="E49" s="163"/>
    </row>
    <row r="50" spans="2:5" x14ac:dyDescent="0.25">
      <c r="B50" s="98"/>
    </row>
    <row r="51" spans="2:5" x14ac:dyDescent="0.2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1" t="s">
        <v>162</v>
      </c>
      <c r="C1" s="171"/>
      <c r="D1" s="171"/>
      <c r="E1" s="171"/>
      <c r="F1" s="152" t="str">
        <f>+Инвойс!F1</f>
        <v xml:space="preserve"> 25.08.2025г.</v>
      </c>
      <c r="G1" s="152"/>
      <c r="H1" s="152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5" t="str">
        <f>+Инвойс!C2</f>
        <v>к контракту № GR-VT-01 от 22.08.2025 года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">
      <c r="A5" s="154" t="str">
        <f>+Инвойс!A5</f>
        <v>ООО «VISTOTRADE»</v>
      </c>
      <c r="B5" s="154"/>
      <c r="C5" s="154"/>
      <c r="D5" s="154"/>
      <c r="E5" s="154"/>
      <c r="F5" s="6"/>
      <c r="G5" s="147" t="str">
        <f>+Инвойс!G5</f>
        <v>ООО «ГРИН ВОРЛД»</v>
      </c>
      <c r="H5" s="147"/>
      <c r="I5" s="147"/>
      <c r="J5" s="147"/>
      <c r="K5" s="147"/>
      <c r="L5" s="147"/>
      <c r="M5" s="147"/>
    </row>
    <row r="6" spans="1:15" ht="15" x14ac:dyDescent="0.25">
      <c r="A6" s="142" t="str">
        <f>+Инвойс!A6</f>
        <v xml:space="preserve">Республика Узбекистан. Кашкадарьинская область, </v>
      </c>
      <c r="B6" s="142"/>
      <c r="C6" s="142"/>
      <c r="D6" s="142"/>
      <c r="E6" s="142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5" x14ac:dyDescent="0.25">
      <c r="A7" s="142" t="str">
        <f>+Инвойс!A7</f>
        <v>Г. Гулам, МФУ, улица Гузара, дом 14</v>
      </c>
      <c r="B7" s="142"/>
      <c r="C7" s="142"/>
      <c r="D7" s="142"/>
      <c r="E7" s="142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42" t="str">
        <f>+Инвойс!A8</f>
        <v>в АКБ «KAPITAL BANK» МФО: 01158</v>
      </c>
      <c r="B8" s="142"/>
      <c r="C8" s="142"/>
      <c r="D8" s="142"/>
      <c r="E8" s="142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5" x14ac:dyDescent="0.25">
      <c r="A9" s="142" t="str">
        <f>+Инвойс!A9</f>
        <v>р/с: 20208840407263267001 (доллар США)</v>
      </c>
      <c r="B9" s="142"/>
      <c r="C9" s="142"/>
      <c r="D9" s="142"/>
      <c r="E9" s="142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5" x14ac:dyDescent="0.25">
      <c r="A10" s="142" t="str">
        <f>+Инвойс!A10</f>
        <v>SWIFT: KACHUZ22</v>
      </c>
      <c r="B10" s="142"/>
      <c r="C10" s="142"/>
      <c r="D10" s="142"/>
      <c r="E10" s="142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5" x14ac:dyDescent="0.25">
      <c r="A11" s="142" t="str">
        <f>+Инвойс!A11</f>
        <v>ИНН: 312236782</v>
      </c>
      <c r="B11" s="142"/>
      <c r="C11" s="142"/>
      <c r="D11" s="142"/>
      <c r="E11" s="142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43"/>
      <c r="B12" s="143"/>
      <c r="C12" s="143"/>
      <c r="D12" s="143"/>
      <c r="E12" s="143"/>
      <c r="F12" s="7"/>
      <c r="G12" s="143"/>
      <c r="H12" s="143"/>
      <c r="I12" s="143"/>
      <c r="J12" s="143"/>
      <c r="K12" s="143"/>
      <c r="L12" s="143"/>
      <c r="M12" s="143"/>
    </row>
    <row r="13" spans="1:15" ht="24" customHeight="1" x14ac:dyDescent="0.2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">
      <c r="A14" s="154" t="str">
        <f>+Инвойс!A14</f>
        <v>ООО «VISTOTRADE»</v>
      </c>
      <c r="B14" s="154"/>
      <c r="C14" s="154"/>
      <c r="D14" s="154"/>
      <c r="E14" s="154"/>
      <c r="F14" s="6"/>
      <c r="G14" s="147" t="str">
        <f>+Инвойс!G14</f>
        <v>ООО «ГРИН ВОРЛД»</v>
      </c>
      <c r="H14" s="147"/>
      <c r="I14" s="147"/>
      <c r="J14" s="147"/>
      <c r="K14" s="147"/>
      <c r="L14" s="147"/>
      <c r="M14" s="147"/>
    </row>
    <row r="15" spans="1:15" ht="13.9" customHeight="1" x14ac:dyDescent="0.25">
      <c r="A15" s="142" t="str">
        <f>+Инвойс!A15</f>
        <v xml:space="preserve">Республика Узбекистан. Кашкадарьинская область, </v>
      </c>
      <c r="B15" s="142"/>
      <c r="C15" s="142"/>
      <c r="D15" s="142"/>
      <c r="E15" s="142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5" x14ac:dyDescent="0.25">
      <c r="A16" s="142" t="str">
        <f>+Инвойс!A16</f>
        <v>Г. Гулам, МФУ, улица Гузара, дом 14</v>
      </c>
      <c r="B16" s="142"/>
      <c r="C16" s="142"/>
      <c r="D16" s="142"/>
      <c r="E16" s="142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42" t="str">
        <f>+Инвойс!A17</f>
        <v>в АКБ «KAPITAL BANK» МФО: 01158</v>
      </c>
      <c r="B17" s="142"/>
      <c r="C17" s="142"/>
      <c r="D17" s="142"/>
      <c r="E17" s="142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5" x14ac:dyDescent="0.25">
      <c r="A18" s="142" t="str">
        <f>+Инвойс!A18</f>
        <v>р/с: 20208840407263267001 (доллар США)</v>
      </c>
      <c r="B18" s="142"/>
      <c r="C18" s="142"/>
      <c r="D18" s="142"/>
      <c r="E18" s="142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5" x14ac:dyDescent="0.25">
      <c r="A19" s="142" t="str">
        <f>+Инвойс!A19</f>
        <v>SWIFT: KACHUZ22</v>
      </c>
      <c r="B19" s="142"/>
      <c r="C19" s="142"/>
      <c r="D19" s="142"/>
      <c r="E19" s="142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5" x14ac:dyDescent="0.25">
      <c r="A20" s="142" t="str">
        <f>+Инвойс!A20</f>
        <v>ИНН: 312236782</v>
      </c>
      <c r="B20" s="142"/>
      <c r="C20" s="142"/>
      <c r="D20" s="142"/>
      <c r="E20" s="142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5" x14ac:dyDescent="0.25">
      <c r="A21" s="142"/>
      <c r="B21" s="142"/>
      <c r="C21" s="142"/>
      <c r="D21" s="142"/>
      <c r="E21" s="142"/>
      <c r="G21" s="7"/>
      <c r="H21" s="23"/>
      <c r="I21" s="23"/>
      <c r="J21" s="23"/>
    </row>
    <row r="22" spans="1:17" ht="43.5" customHeight="1" x14ac:dyDescent="0.25">
      <c r="A22" s="1" t="s">
        <v>124</v>
      </c>
      <c r="C22" s="65"/>
      <c r="F22" s="1"/>
    </row>
    <row r="23" spans="1:17" ht="26.25" hidden="1" customHeight="1" x14ac:dyDescent="0.2">
      <c r="A23" s="69" t="s">
        <v>87</v>
      </c>
      <c r="B23" s="68"/>
      <c r="C23" s="173" t="s">
        <v>115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75" x14ac:dyDescent="0.25">
      <c r="A24" s="20" t="s">
        <v>22</v>
      </c>
      <c r="C24" s="18" t="str">
        <f>+Инвойс!C24</f>
        <v>DAP - с Амандык,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8" t="str">
        <f>+Инвойс!E26</f>
        <v>90852CBA/905637BA</v>
      </c>
      <c r="F26" s="139"/>
      <c r="G26" s="139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">
      <c r="A28" s="133" t="s">
        <v>1</v>
      </c>
      <c r="B28" s="133" t="s">
        <v>2</v>
      </c>
      <c r="C28" s="133" t="s">
        <v>3</v>
      </c>
      <c r="D28" s="133" t="s">
        <v>4</v>
      </c>
      <c r="E28" s="133" t="s">
        <v>5</v>
      </c>
      <c r="F28" s="133" t="s">
        <v>6</v>
      </c>
      <c r="G28" s="135" t="s">
        <v>7</v>
      </c>
      <c r="H28" s="136"/>
      <c r="I28" s="133" t="s">
        <v>8</v>
      </c>
      <c r="J28" s="110" t="s">
        <v>9</v>
      </c>
      <c r="K28" s="135" t="s">
        <v>10</v>
      </c>
      <c r="L28" s="136"/>
      <c r="M28" s="133" t="s">
        <v>11</v>
      </c>
    </row>
    <row r="29" spans="1:17" ht="32.25" x14ac:dyDescent="0.2">
      <c r="A29" s="134"/>
      <c r="B29" s="134"/>
      <c r="C29" s="134"/>
      <c r="D29" s="134"/>
      <c r="E29" s="134"/>
      <c r="F29" s="134"/>
      <c r="G29" s="110" t="s">
        <v>12</v>
      </c>
      <c r="H29" s="110" t="s">
        <v>13</v>
      </c>
      <c r="I29" s="134"/>
      <c r="J29" s="111" t="s">
        <v>14</v>
      </c>
      <c r="K29" s="10" t="s">
        <v>15</v>
      </c>
      <c r="L29" s="10" t="s">
        <v>16</v>
      </c>
      <c r="M29" s="134"/>
    </row>
    <row r="30" spans="1:17" ht="25.5" x14ac:dyDescent="0.2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900</v>
      </c>
      <c r="F30" s="115" t="str">
        <f>+Инвойс!F30</f>
        <v>кг</v>
      </c>
      <c r="G30" s="106">
        <f>+Инвойс!G30</f>
        <v>23000</v>
      </c>
      <c r="H30" s="106">
        <f>+Инвойс!H30</f>
        <v>21380</v>
      </c>
      <c r="I30" s="108">
        <f>+Инвойс!I30</f>
        <v>0.25</v>
      </c>
      <c r="J30" s="13">
        <f>+Инвойс!J30</f>
        <v>5345</v>
      </c>
      <c r="K30" s="12">
        <v>0</v>
      </c>
      <c r="L30" s="12">
        <v>0</v>
      </c>
      <c r="M30" s="13">
        <f>+Инвойс!M30</f>
        <v>5345</v>
      </c>
      <c r="O30" s="100"/>
      <c r="Q30" s="100"/>
    </row>
    <row r="31" spans="1:17" ht="14.25" x14ac:dyDescent="0.2">
      <c r="A31" s="150" t="s">
        <v>0</v>
      </c>
      <c r="B31" s="151"/>
      <c r="C31" s="14"/>
      <c r="D31" s="15"/>
      <c r="E31" s="64">
        <f>SUM(E30:E30)</f>
        <v>900</v>
      </c>
      <c r="F31" s="15"/>
      <c r="G31" s="64">
        <f>SUM(G30:G30)</f>
        <v>23000</v>
      </c>
      <c r="H31" s="64">
        <f>SUM(H30:H30)</f>
        <v>21380</v>
      </c>
      <c r="I31" s="102"/>
      <c r="J31" s="17">
        <f>SUM(J30:J30)</f>
        <v>5345</v>
      </c>
      <c r="K31" s="16"/>
      <c r="L31" s="16"/>
      <c r="M31" s="17">
        <f>SUM(M30:M30)</f>
        <v>5345</v>
      </c>
      <c r="P31" s="66"/>
    </row>
    <row r="32" spans="1:17" ht="13.5" x14ac:dyDescent="0.25">
      <c r="A32" s="2" t="s">
        <v>17</v>
      </c>
      <c r="B32" s="3"/>
      <c r="C32" s="11"/>
      <c r="D32" s="11"/>
      <c r="E32" s="148" t="str">
        <f>Лист1!B3</f>
        <v>Пять тысяч триста сорок пять долларов США, 00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75" x14ac:dyDescent="0.25">
      <c r="A36" s="130" t="s">
        <v>147</v>
      </c>
      <c r="B36" s="130"/>
      <c r="D36" s="18" t="str">
        <f>+Инвойс!D36</f>
        <v>Авазов К.Ф</v>
      </c>
      <c r="E36" s="131"/>
      <c r="G36" s="128" t="s">
        <v>130</v>
      </c>
      <c r="H36" s="18" t="str">
        <f>Инвойс!G5</f>
        <v>ООО «ГРИН ВОРЛД»</v>
      </c>
      <c r="K36" s="132" t="s">
        <v>158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5" t="s">
        <v>116</v>
      </c>
    </row>
    <row r="3" spans="1:10" ht="51" x14ac:dyDescent="0.2">
      <c r="A3" s="129" t="s">
        <v>128</v>
      </c>
    </row>
    <row r="5" spans="1:10" ht="38.25" x14ac:dyDescent="0.2">
      <c r="A5" s="125" t="s">
        <v>117</v>
      </c>
    </row>
    <row r="6" spans="1:10" x14ac:dyDescent="0.2">
      <c r="E6" s="18" t="s">
        <v>129</v>
      </c>
      <c r="J6" s="25" t="s">
        <v>132</v>
      </c>
    </row>
    <row r="7" spans="1:10" ht="51" x14ac:dyDescent="0.2">
      <c r="A7" s="125" t="s">
        <v>118</v>
      </c>
    </row>
    <row r="8" spans="1:10" x14ac:dyDescent="0.2">
      <c r="E8" s="18" t="s">
        <v>138</v>
      </c>
      <c r="J8" s="25" t="s">
        <v>133</v>
      </c>
    </row>
    <row r="9" spans="1:10" ht="51" x14ac:dyDescent="0.2">
      <c r="A9" s="125" t="s">
        <v>119</v>
      </c>
    </row>
    <row r="10" spans="1:10" x14ac:dyDescent="0.2">
      <c r="A10" s="125"/>
      <c r="E10" s="18" t="s">
        <v>134</v>
      </c>
      <c r="J10" s="25" t="s">
        <v>135</v>
      </c>
    </row>
    <row r="11" spans="1:10" ht="51" x14ac:dyDescent="0.2">
      <c r="A11" s="125" t="s">
        <v>159</v>
      </c>
    </row>
    <row r="12" spans="1:10" x14ac:dyDescent="0.2">
      <c r="E12" s="18" t="s">
        <v>136</v>
      </c>
      <c r="J12" s="25" t="s">
        <v>137</v>
      </c>
    </row>
    <row r="13" spans="1:10" ht="51" x14ac:dyDescent="0.2">
      <c r="A13" s="125" t="s">
        <v>120</v>
      </c>
    </row>
    <row r="15" spans="1:10" ht="38.25" x14ac:dyDescent="0.2">
      <c r="A15" s="125" t="s">
        <v>121</v>
      </c>
    </row>
    <row r="17" spans="1:1" ht="38.25" x14ac:dyDescent="0.2">
      <c r="A17" s="125" t="s">
        <v>122</v>
      </c>
    </row>
    <row r="19" spans="1:1" ht="38.25" x14ac:dyDescent="0.2">
      <c r="A19" s="127" t="s">
        <v>123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75" x14ac:dyDescent="0.25">
      <c r="E2" s="27">
        <f>Инвойс!M31</f>
        <v>5345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Пять тысяч триста сорок пять долларов США, 00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45894</v>
      </c>
      <c r="O3" s="177"/>
      <c r="P3">
        <f ca="1">DAY(N3)</f>
        <v>25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Пять тысяч триста сорок пять долларов США, 00 центов. (в т.ч. НДС - 357,79)</v>
      </c>
      <c r="H4" s="32"/>
      <c r="I4" s="32"/>
      <c r="J4" s="32"/>
      <c r="K4" s="178" t="str">
        <f ca="1">CONCATENATE(" «  ",P3,"  »  ",Q3,"  ",R3," г.")</f>
        <v xml:space="preserve"> «  25  »  августа  2025 г.</v>
      </c>
      <c r="L4" s="178"/>
      <c r="M4" s="178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пять тысяч триста сорок пять долларов США, 00 центов.</v>
      </c>
    </row>
    <row r="6" spans="1:19" s="36" customFormat="1" x14ac:dyDescent="0.2">
      <c r="A6" s="38" t="s">
        <v>37</v>
      </c>
      <c r="B6" s="36" t="str">
        <f>CONCATENATE(A8,A9,A10,A11,A12,B8,B9,C9)</f>
        <v>пять тысяч триста сорок пять долларов США, 00 центов. (в т.ч. НДС - 357,79)</v>
      </c>
      <c r="C6"/>
      <c r="D6"/>
      <c r="E6"/>
      <c r="H6" s="39"/>
    </row>
    <row r="7" spans="1:19" x14ac:dyDescent="0.2">
      <c r="D7" s="33"/>
      <c r="H7" s="179" t="s">
        <v>38</v>
      </c>
      <c r="I7" s="179"/>
      <c r="J7" s="179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триста сорок пять долларов США, </v>
      </c>
      <c r="D11" s="47"/>
      <c r="E11" s="48"/>
      <c r="H11" s="179"/>
      <c r="I11" s="179"/>
      <c r="J11" s="179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45894</v>
      </c>
    </row>
    <row r="13" spans="1:19" s="43" customFormat="1" x14ac:dyDescent="0.2">
      <c r="A13" s="49"/>
      <c r="D13" s="51"/>
      <c r="E13" s="52">
        <f>TRUNC(E2)</f>
        <v>5345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53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">
      <c r="A28" s="54">
        <f>TRUNC(A29/10)</f>
        <v>534</v>
      </c>
      <c r="B28" s="58">
        <f>TRUNC(RIGHT(A28))</f>
        <v>4</v>
      </c>
      <c r="C28" s="51">
        <f>IF(B28=1,"",B28)</f>
        <v>4</v>
      </c>
      <c r="E28" s="56" t="str">
        <f>IF(OR(C28=0,B28=1),"",IF(C28=2,E35,IF(C28=3,E36,IF(C28=4,E37,IF(C28=5,E38,IF(C28=6,E39,IF(C28=7,E40,IF(C28=8,E41,E42))))))))</f>
        <v xml:space="preserve">сорок </v>
      </c>
      <c r="G28" s="47"/>
    </row>
    <row r="29" spans="1:9" s="43" customFormat="1" x14ac:dyDescent="0.2">
      <c r="A29" s="54">
        <f>E13</f>
        <v>5345</v>
      </c>
      <c r="B29" s="47">
        <f>TRUNC(RIGHT(A29))</f>
        <v>5</v>
      </c>
      <c r="C29" s="51">
        <f>IF(B28=1,B29+10,IF(B29=0,0,B29))</f>
        <v>5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пять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345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5" t="s">
        <v>85</v>
      </c>
      <c r="B100" s="175"/>
      <c r="C100" s="175"/>
      <c r="D100" s="175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2025-08-25T10:48:25Z</cp:lastPrinted>
  <dcterms:created xsi:type="dcterms:W3CDTF">1996-10-14T23:33:28Z</dcterms:created>
  <dcterms:modified xsi:type="dcterms:W3CDTF">2025-08-25T10:48:27Z</dcterms:modified>
</cp:coreProperties>
</file>