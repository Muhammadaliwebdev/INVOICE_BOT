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90E064-A56E-45F8-A880-673C37C06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37" i="7" l="1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<sst xmlns="http://schemas.openxmlformats.org/spreadsheetml/2006/main" count="208" uniqueCount="170">
  <si>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</si>
  <si>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</si>
  <si>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</si>
  <si>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</si>
  <si>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</si>
  <si>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</si>
  <si>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</si>
  <si>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</si>
  <si>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</si>
  <si>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</si>
  <si>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</si>
  <si>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</si>
  <si>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</si>
  <si>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</si>
  <si>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</si>
  <si>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</si>
  <si>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</si>
  <si>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</si>
  <si>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</si>
  <si>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</si>
  <si>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</si>
  <si>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</si>
  <si>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</si>
  <si>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</si>
  <si>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</si>
  <si>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</si>
  <si>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</si>
  <si>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</si>
  <si>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</si>
  <si>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</si>
  <si>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</si>
  <si>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</si>
  <si>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</si>
  <si>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</si>
  <si>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</si>
  <si>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</si>
  <si>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</si>
  <si>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</si>
  <si>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</si>
  <si>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</si>
  <si>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</si>
  <si>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</si>
  <si>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</si>
  <si>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</si>
  <si>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</si>
  <si>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</si>
  <si>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</si>
  <si>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</si>
  <si>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</si>
  <si>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</si>
  <si>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</si>
  <si>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</si>
  <si>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</si>
  <si>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</si>
  <si>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</si>
  <si>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</si>
  <si>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</si>
  <si>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</si>
  <si>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</si>
  <si>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</si>
  <si>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</si>
  <si>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</si>
  <si>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</si>
  <si>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</si>
  <si>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</si>
  <si>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</si>
  <si>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</si>
  <si>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</si>
  <si>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</si>
  <si>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</si>
  <si>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</si>
  <si>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</si>
  <si>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</si>
  <si>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</si>
  <si>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</si>
  <si>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</si>
  <si>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</si>
  <si>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</si>
  <si>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</si>
  <si>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</si>
  <si>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</si>
  <si>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</si>
  <si>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</si>
  <si>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</si>
  <si>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</si>
  <si>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</si>
  <si>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</si>
  <si>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</si>
  <si>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</si>
  <si>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</si>
  <si>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</si>
  <si>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</si>
  <si>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</si>
  <si>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</si>
  <si>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</si>
  <si>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</si>
  <si>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</si>
  <si>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</si>
  <si>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</si>
  <si>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</si>
  <si>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</si>
  <si>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</si>
  <si>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</si>
  <si>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</si>
  <si>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</si>
  <si>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</si>
  <si>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</si>
  <si>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</si>
  <si>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</si>
  <si>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</si>
  <si>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</si>
  <si>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</si>
  <si>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</si>
  <si>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</si>
  <si>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</si>
  <si>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</si>
  <si>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</si>
  <si>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</si>
  <si>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</si>
  <si>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</si>
  <si>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</si>
  <si>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</si>
  <si>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</si>
  <si>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</si>
  <si>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</si>
  <si>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</si>
  <si>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</si>
  <si>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</si>
  <si>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</si>
  <si>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</si>
  <si>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</si>
  <si>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</si>
  <si>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</si>
  <si>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</si>
  <si>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</si>
  <si>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</si>
  <si>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</si>
  <si>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</si>
  <si>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</si>
  <si>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</si>
  <si>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</si>
  <si>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</si>
  <si>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</si>
  <si>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</si>
  <si>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</si>
  <si>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</si>
  <si>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</si>
  <si>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</si>
  <si>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</si>
  <si>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</si>
  <si>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</si>
  <si>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</si>
  <si>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</si>
  <si>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</si>
  <si>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По поручению</t>
  </si>
  <si>
    <t xml:space="preserve">Директор:  </t>
  </si>
  <si>
    <t>Трунтаев Д.В.</t>
  </si>
  <si>
    <t>к контракту № EX2708 от 27.08.2025 года</t>
  </si>
  <si>
    <t>ООО “MAROQAND MEVA-SABZAVOT”</t>
  </si>
  <si>
    <t>Республика Узбекистан, Самаркандская область,</t>
  </si>
  <si>
    <t>Джамбайский район, село Хитойбола.</t>
  </si>
  <si>
    <t>ИНН: 304970319</t>
  </si>
  <si>
    <t>р/с: 2020 8840 0007 8502 3005 (доллар США)</t>
  </si>
  <si>
    <t>в АО «KDB Bank Uzbekistan»</t>
  </si>
  <si>
    <t>МФО 00842 СВИФТ: KODBUZ22</t>
  </si>
  <si>
    <t>Турсунов И.Ж</t>
  </si>
  <si>
    <t xml:space="preserve">ИНВОЙС № MVS-N-3 от </t>
  </si>
  <si>
    <t xml:space="preserve"> 01.09.2025г.</t>
  </si>
  <si>
    <t>30V331MA/304307AA</t>
  </si>
  <si>
    <t xml:space="preserve">СПЕЦИФИКАЦИЯ № MVS-N-3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</si>
</sst>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1156814</xdr:colOff>
      <xdr:row>37</xdr:row>
      <xdr:rowOff>147081</xdr:rowOff>
    </xdr:from>
    <xdr:to>
      <xdr:col>3</xdr:col>
      <xdr:colOff>696879</xdr:colOff>
      <xdr:row>52</xdr:row>
      <xdr:rowOff>122716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D988D2-E408-4880-BF46-C3700AA8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199571">
          <a:off x="1460102" y="20541057"/>
          <a:ext cx="2463341" cy="2352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37</xdr:row>
      <xdr:rowOff>112060</xdr:rowOff>
    </xdr:from>
    <xdr:to>
      <xdr:col>12</xdr:col>
      <xdr:colOff>243163</xdr:colOff>
      <xdr:row>51</xdr:row>
      <xdr:rowOff>112059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691212</xdr:colOff>
      <xdr:row>38</xdr:row>
      <xdr:rowOff>53133</xdr:rowOff>
    </xdr:from>
    <xdr:to>
      <xdr:col>3</xdr:col>
      <xdr:colOff>163009</xdr:colOff>
      <xdr:row>52</xdr:row>
      <xdr:rowOff>156658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EBC637-0AA9-4271-8307-1BA1DC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941991">
          <a:off x="974063" y="19609496"/>
          <a:ext cx="2471168" cy="230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7" t="s">
        <v>166</v>
      </c>
      <c r="D1" s="137"/>
      <c r="E1" s="137"/>
      <c r="F1" s="136" t="s">
        <v>167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3" t="s">
        <v>157</v>
      </c>
      <c r="D2" s="143"/>
      <c r="E2" s="143"/>
      <c r="F2" s="143"/>
      <c r="G2" s="143"/>
      <c r="H2" s="143"/>
      <c r="I2" s="14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9" t="s">
        <v>19</v>
      </c>
      <c r="B4" s="139"/>
      <c r="C4" s="139"/>
      <c r="D4" s="139"/>
      <c r="E4" s="139"/>
      <c r="G4" s="139" t="s">
        <v>20</v>
      </c>
      <c r="H4" s="139"/>
      <c r="I4" s="139"/>
      <c r="J4" s="139"/>
      <c r="K4" s="139"/>
      <c r="L4" s="139"/>
      <c r="M4" s="139"/>
    </row>
    <row r="5" spans="1:15" ht="14.25" customHeight="1" x14ac:dyDescent="0.25">
      <c r="A5" s="138" t="s">
        <v>158</v>
      </c>
      <c r="B5" s="138"/>
      <c r="C5" s="138"/>
      <c r="D5" s="138"/>
      <c r="E5" s="138"/>
      <c r="F5" s="6"/>
      <c r="G5" s="140" t="s">
        <v>139</v>
      </c>
      <c r="H5" s="140"/>
      <c r="I5" s="140"/>
      <c r="J5" s="140"/>
      <c r="K5" s="140"/>
      <c r="L5" s="140"/>
      <c r="M5" s="140"/>
    </row>
    <row r="6" spans="1:15" ht="13.8" x14ac:dyDescent="0.25">
      <c r="A6" s="144" t="s">
        <v>159</v>
      </c>
      <c r="B6" s="145"/>
      <c r="C6" s="145"/>
      <c r="D6" s="145"/>
      <c r="E6" s="145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45" t="s">
        <v>160</v>
      </c>
      <c r="B7" s="145"/>
      <c r="C7" s="145"/>
      <c r="D7" s="145"/>
      <c r="E7" s="145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163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164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1"/>
      <c r="H12" s="141"/>
      <c r="I12" s="141"/>
      <c r="J12" s="141"/>
      <c r="K12" s="141"/>
      <c r="L12" s="141"/>
      <c r="M12" s="141"/>
    </row>
    <row r="13" spans="1:15" ht="24" customHeight="1" x14ac:dyDescent="0.35">
      <c r="A13" s="139" t="s">
        <v>31</v>
      </c>
      <c r="B13" s="139"/>
      <c r="C13" s="139"/>
      <c r="D13" s="139"/>
      <c r="E13" s="139"/>
      <c r="G13" s="139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38" t="s">
        <v>158</v>
      </c>
      <c r="B14" s="138"/>
      <c r="C14" s="138"/>
      <c r="D14" s="138"/>
      <c r="E14" s="138"/>
      <c r="F14" s="6"/>
      <c r="G14" s="140" t="s">
        <v>146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44" t="s">
        <v>159</v>
      </c>
      <c r="B15" s="145"/>
      <c r="C15" s="145"/>
      <c r="D15" s="145"/>
      <c r="E15" s="145"/>
      <c r="F15" s="7"/>
      <c r="G15" s="142" t="s">
        <v>147</v>
      </c>
      <c r="H15" s="145"/>
      <c r="I15" s="145"/>
      <c r="J15" s="145"/>
      <c r="K15" s="145"/>
      <c r="L15" s="145"/>
      <c r="M15" s="145"/>
    </row>
    <row r="16" spans="1:15" ht="13.8" x14ac:dyDescent="0.25">
      <c r="A16" s="145" t="s">
        <v>160</v>
      </c>
      <c r="B16" s="145"/>
      <c r="C16" s="145"/>
      <c r="D16" s="145"/>
      <c r="E16" s="145"/>
      <c r="F16" s="63"/>
      <c r="G16" s="142" t="s">
        <v>148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149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162</v>
      </c>
      <c r="B18" s="8"/>
      <c r="C18" s="8"/>
      <c r="D18" s="8"/>
      <c r="E18" s="8"/>
      <c r="F18" s="7"/>
      <c r="G18" s="8" t="s">
        <v>150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163</v>
      </c>
      <c r="B19" s="125"/>
      <c r="C19" s="125"/>
      <c r="D19" s="125"/>
      <c r="E19" s="125"/>
      <c r="F19" s="7"/>
      <c r="G19" s="7" t="s">
        <v>151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164</v>
      </c>
      <c r="B20" s="8"/>
      <c r="C20" s="8"/>
      <c r="D20" s="8"/>
      <c r="E20" s="8"/>
      <c r="F20" s="7"/>
      <c r="G20" s="7" t="s">
        <v>152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141"/>
      <c r="H21" s="141"/>
      <c r="I21" s="141"/>
      <c r="J21" s="141"/>
      <c r="K21" s="141"/>
      <c r="L21" s="141"/>
      <c r="M21" s="141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6" t="s">
        <v>128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">
        <v>168</v>
      </c>
      <c r="F26" s="158"/>
      <c r="G26" s="15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1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1" t="s">
        <v>12</v>
      </c>
      <c r="H29" s="111" t="s">
        <v>13</v>
      </c>
      <c r="I29" s="151"/>
      <c r="J29" s="112" t="s">
        <v>14</v>
      </c>
      <c r="K29" s="10" t="s">
        <v>15</v>
      </c>
      <c r="L29" s="10" t="s">
        <v>16</v>
      </c>
      <c r="M29" s="151"/>
    </row>
    <row r="30" spans="1:17" ht="27.6" x14ac:dyDescent="0.25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2380</v>
      </c>
      <c r="F30" s="110" t="s">
        <v>27</v>
      </c>
      <c r="G30" s="106">
        <v>22650</v>
      </c>
      <c r="H30" s="106">
        <v>20984</v>
      </c>
      <c r="I30" s="108">
        <v>1</v>
      </c>
      <c r="J30" s="13">
        <f t="shared" ref="J30" si="0">H30*I30</f>
        <v>20984</v>
      </c>
      <c r="K30" s="12">
        <v>0</v>
      </c>
      <c r="L30" s="12">
        <v>0</v>
      </c>
      <c r="M30" s="13">
        <f t="shared" ref="M30" si="1">J30</f>
        <v>20984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2380</v>
      </c>
      <c r="F31" s="15"/>
      <c r="G31" s="64">
        <f>SUM(G30:G30)</f>
        <v>22650</v>
      </c>
      <c r="H31" s="64">
        <f>SUM(H30:H30)</f>
        <v>20984</v>
      </c>
      <c r="I31" s="102"/>
      <c r="J31" s="17">
        <f>SUM(J30:J30)</f>
        <v>20984</v>
      </c>
      <c r="K31" s="16"/>
      <c r="L31" s="16"/>
      <c r="M31" s="17">
        <f>SUM(M30:M30)</f>
        <v>20984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Двадцать тысяч девятьсот восемьдесят четыре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 t="s">
        <v>109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ht="13.8" x14ac:dyDescent="0.25">
      <c r="A36" s="7" t="s">
        <v>28</v>
      </c>
      <c r="B36" s="7"/>
      <c r="D36" s="25" t="s">
        <v>165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J31" sqref="J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“MAROQAND MEVA-SABZAVOT”</v>
      </c>
    </row>
    <row r="3" spans="1:11" ht="11.25" customHeight="1" x14ac:dyDescent="0.2">
      <c r="B3" s="70" t="str">
        <f>+Инвойс!A6</f>
        <v>Республика Узбекистан, Самаркандская область,</v>
      </c>
    </row>
    <row r="4" spans="1:11" ht="11.25" customHeight="1" x14ac:dyDescent="0.2">
      <c r="B4" s="70" t="str">
        <f>+Инвойс!A7</f>
        <v>Джамбайский район, село Хитойбола.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134" t="s">
        <v>154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9" t="str">
        <f>+CONCATENATE(Инвойс!C1,Инвойс!F1)</f>
        <v>ИНВОЙС № MVS-N-3 от  01.09.2025г.</v>
      </c>
      <c r="C24" s="159"/>
      <c r="D24" s="159"/>
      <c r="E24" s="73"/>
      <c r="F24" s="73"/>
      <c r="G24" s="73"/>
      <c r="H24" s="73"/>
      <c r="I24" s="73"/>
    </row>
    <row r="25" spans="1:9" x14ac:dyDescent="0.2">
      <c r="B25" s="160" t="s">
        <v>106</v>
      </c>
      <c r="C25" s="160"/>
      <c r="D25" s="16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2380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1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1"/>
      <c r="D45" s="161"/>
    </row>
    <row r="46" spans="1:9" ht="11.25" customHeight="1" x14ac:dyDescent="0.2">
      <c r="B46" s="161"/>
      <c r="C46" s="161"/>
      <c r="D46" s="16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2" t="str">
        <f>+C22</f>
        <v xml:space="preserve"> 01.09.2025г.</v>
      </c>
      <c r="E49" s="162"/>
      <c r="F49" s="16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30V331MA/304307AA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E43" sqref="E4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30V331MA/304307AA</v>
      </c>
      <c r="C14" s="166"/>
      <c r="D14" s="166"/>
      <c r="E14" s="166"/>
      <c r="F14" s="166"/>
      <c r="G14" s="166"/>
      <c r="H14" s="167" t="s">
        <v>107</v>
      </c>
      <c r="I14" s="167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MVS-N-3 от  01.09.2025г.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2380</v>
      </c>
      <c r="G18" s="169" t="str">
        <f>+CMR!F30</f>
        <v>Виноград свежий столовых сортов</v>
      </c>
      <c r="H18" s="169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3" t="str">
        <f>+Инвойс!C30</f>
        <v>0806101001</v>
      </c>
      <c r="H19" s="164"/>
      <c r="I19" s="122" t="s">
        <v>103</v>
      </c>
      <c r="J19" s="120">
        <f>+Инвойс!G30</f>
        <v>22650</v>
      </c>
    </row>
    <row r="20" spans="2:10" ht="13.5" customHeight="1" x14ac:dyDescent="0.3">
      <c r="B20" s="83"/>
      <c r="E20" s="123"/>
      <c r="F20" s="118"/>
      <c r="G20" s="169"/>
      <c r="H20" s="169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3"/>
      <c r="H21" s="164"/>
      <c r="I21" s="122"/>
      <c r="J21" s="120"/>
    </row>
    <row r="22" spans="2:10" ht="12.75" customHeight="1" x14ac:dyDescent="0.3">
      <c r="B22" s="83"/>
      <c r="E22" s="123"/>
      <c r="F22" s="118"/>
      <c r="G22" s="169"/>
      <c r="H22" s="169"/>
      <c r="I22" s="119"/>
      <c r="J22" s="120"/>
    </row>
    <row r="23" spans="2:10" ht="14.25" customHeight="1" x14ac:dyDescent="0.3">
      <c r="B23" s="83"/>
      <c r="E23" s="123"/>
      <c r="F23" s="121"/>
      <c r="G23" s="163"/>
      <c r="H23" s="164"/>
      <c r="I23" s="122"/>
      <c r="J23" s="120"/>
    </row>
    <row r="24" spans="2:10" ht="12.75" customHeight="1" x14ac:dyDescent="0.3">
      <c r="B24" s="87"/>
      <c r="E24" s="123"/>
      <c r="F24" s="118"/>
      <c r="G24" s="169"/>
      <c r="H24" s="169"/>
      <c r="I24" s="119"/>
      <c r="J24" s="120"/>
    </row>
    <row r="25" spans="2:10" ht="12.75" customHeight="1" x14ac:dyDescent="0.3">
      <c r="B25" s="87"/>
      <c r="E25" s="123"/>
      <c r="F25" s="121"/>
      <c r="G25" s="163"/>
      <c r="H25" s="164"/>
      <c r="I25" s="122"/>
      <c r="J25" s="120"/>
    </row>
    <row r="26" spans="2:10" ht="12" customHeight="1" x14ac:dyDescent="0.3">
      <c r="B26" s="87"/>
      <c r="E26" s="123"/>
      <c r="F26" s="118"/>
      <c r="G26" s="169"/>
      <c r="H26" s="169"/>
      <c r="I26" s="119"/>
      <c r="J26" s="120"/>
    </row>
    <row r="27" spans="2:10" ht="14.25" customHeight="1" x14ac:dyDescent="0.3">
      <c r="B27" s="87"/>
      <c r="E27" s="123"/>
      <c r="F27" s="121"/>
      <c r="G27" s="163"/>
      <c r="H27" s="164"/>
      <c r="I27" s="122"/>
      <c r="J27" s="120"/>
    </row>
    <row r="28" spans="2:10" ht="12.75" customHeight="1" x14ac:dyDescent="0.3">
      <c r="B28" s="87"/>
      <c r="E28" s="123"/>
      <c r="F28" s="118"/>
      <c r="G28" s="169"/>
      <c r="H28" s="169"/>
      <c r="I28" s="119"/>
      <c r="J28" s="120"/>
    </row>
    <row r="29" spans="2:10" ht="12.75" customHeight="1" x14ac:dyDescent="0.3">
      <c r="B29" s="87"/>
      <c r="E29" s="123"/>
      <c r="F29" s="121"/>
      <c r="G29" s="163"/>
      <c r="H29" s="164"/>
      <c r="I29" s="122"/>
      <c r="J29" s="120"/>
    </row>
    <row r="30" spans="2:10" ht="12.75" customHeight="1" x14ac:dyDescent="0.3">
      <c r="B30" s="87"/>
      <c r="E30" s="123"/>
      <c r="F30" s="118"/>
      <c r="G30" s="169"/>
      <c r="H30" s="169"/>
      <c r="I30" s="119"/>
      <c r="J30" s="120"/>
    </row>
    <row r="31" spans="2:10" ht="13.5" customHeight="1" x14ac:dyDescent="0.3">
      <c r="B31" s="87"/>
      <c r="E31" s="123"/>
      <c r="F31" s="121"/>
      <c r="G31" s="163"/>
      <c r="H31" s="164"/>
      <c r="I31" s="122"/>
      <c r="J31" s="120"/>
    </row>
    <row r="32" spans="2:10" ht="13.5" customHeight="1" x14ac:dyDescent="0.3">
      <c r="B32" s="87"/>
      <c r="E32" s="123"/>
      <c r="F32" s="118"/>
      <c r="G32" s="169"/>
      <c r="H32" s="169"/>
      <c r="I32" s="119"/>
      <c r="J32" s="120"/>
    </row>
    <row r="33" spans="2:10" ht="13.5" customHeight="1" x14ac:dyDescent="0.3">
      <c r="B33" s="87"/>
      <c r="E33" s="123"/>
      <c r="F33" s="121"/>
      <c r="G33" s="163"/>
      <c r="H33" s="164"/>
      <c r="I33" s="122"/>
      <c r="J33" s="120"/>
    </row>
    <row r="34" spans="2:10" ht="13.5" customHeight="1" x14ac:dyDescent="0.3">
      <c r="B34" s="87"/>
      <c r="E34" s="123"/>
      <c r="F34" s="118"/>
      <c r="G34" s="169"/>
      <c r="H34" s="169"/>
      <c r="I34" s="119"/>
      <c r="J34" s="120"/>
    </row>
    <row r="35" spans="2:10" ht="12.75" customHeight="1" x14ac:dyDescent="0.3">
      <c r="B35" s="87"/>
      <c r="E35" s="123"/>
      <c r="F35" s="121"/>
      <c r="G35" s="163"/>
      <c r="H35" s="164"/>
      <c r="I35" s="122"/>
      <c r="J35" s="120"/>
    </row>
    <row r="36" spans="2:10" x14ac:dyDescent="0.3">
      <c r="B36" s="87"/>
      <c r="E36" s="123"/>
      <c r="F36" s="118"/>
      <c r="G36" s="169"/>
      <c r="H36" s="169"/>
      <c r="I36" s="119"/>
      <c r="J36" s="120"/>
    </row>
    <row r="37" spans="2:10" ht="13.5" customHeight="1" x14ac:dyDescent="0.3">
      <c r="B37" s="87"/>
      <c r="E37" s="123"/>
      <c r="F37" s="121"/>
      <c r="G37" s="163"/>
      <c r="H37" s="164"/>
      <c r="I37" s="122"/>
      <c r="J37" s="120"/>
    </row>
    <row r="38" spans="2:10" x14ac:dyDescent="0.3">
      <c r="B38" s="87"/>
      <c r="E38" s="123"/>
      <c r="F38" s="118"/>
      <c r="G38" s="169"/>
      <c r="H38" s="169"/>
      <c r="I38" s="119"/>
      <c r="J38" s="120"/>
    </row>
    <row r="39" spans="2:10" ht="13.5" customHeight="1" x14ac:dyDescent="0.3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3">
      <c r="B40" s="87"/>
      <c r="E40" s="123"/>
      <c r="F40" s="118"/>
      <c r="G40" s="169"/>
      <c r="H40" s="169"/>
      <c r="I40" s="119"/>
      <c r="J40" s="120"/>
    </row>
    <row r="41" spans="2:10" ht="14.25" hidden="1" customHeight="1" x14ac:dyDescent="0.3">
      <c r="B41" s="87"/>
      <c r="E41" s="123"/>
      <c r="F41" s="121"/>
      <c r="G41" s="163"/>
      <c r="H41" s="164"/>
      <c r="I41" s="122"/>
      <c r="J41" s="120"/>
    </row>
    <row r="42" spans="2:10" hidden="1" x14ac:dyDescent="0.3">
      <c r="B42" s="87"/>
      <c r="E42" s="123"/>
      <c r="F42" s="118"/>
      <c r="G42" s="169"/>
      <c r="H42" s="169"/>
      <c r="I42" s="119"/>
      <c r="J42" s="120"/>
    </row>
    <row r="43" spans="2:10" x14ac:dyDescent="0.3">
      <c r="B43" s="87"/>
      <c r="E43" s="123"/>
      <c r="F43" s="121"/>
      <c r="G43" s="163"/>
      <c r="H43" s="164"/>
      <c r="I43" s="122"/>
      <c r="J43" s="120"/>
    </row>
    <row r="44" spans="2:10" ht="9" customHeight="1" x14ac:dyDescent="0.3">
      <c r="B44" s="87"/>
      <c r="E44" s="95"/>
      <c r="F44" s="92"/>
      <c r="G44" s="171"/>
      <c r="H44" s="171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2">
        <f>+F18+F20+F22+F24+F26+F28+F30+F32+F34+F36+F38+F40+F42</f>
        <v>2380</v>
      </c>
      <c r="E47" s="173"/>
    </row>
    <row r="48" spans="2:10" ht="17.25" customHeight="1" x14ac:dyDescent="0.3">
      <c r="B48" s="170" t="s">
        <v>105</v>
      </c>
      <c r="C48" s="170"/>
      <c r="D48" s="170"/>
      <c r="E48" s="170"/>
    </row>
    <row r="49" spans="2:5" ht="21.75" customHeight="1" x14ac:dyDescent="0.3">
      <c r="B49" s="170"/>
      <c r="C49" s="170"/>
      <c r="D49" s="170"/>
      <c r="E49" s="170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70" zoomScaleNormal="70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6" t="s">
        <v>169</v>
      </c>
      <c r="C1" s="176"/>
      <c r="D1" s="176"/>
      <c r="E1" s="176"/>
      <c r="F1" s="136" t="str">
        <f>+Инвойс!F1</f>
        <v xml:space="preserve"> 01.09.2025г.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3" t="str">
        <f>+Инвойс!C2</f>
        <v>к контракту № EX2708 от 27.08.2025 года</v>
      </c>
      <c r="D2" s="143"/>
      <c r="E2" s="143"/>
      <c r="F2" s="143"/>
      <c r="G2" s="143"/>
      <c r="H2" s="143"/>
      <c r="I2" s="14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9" t="s">
        <v>19</v>
      </c>
      <c r="B4" s="139"/>
      <c r="C4" s="139"/>
      <c r="D4" s="139"/>
      <c r="E4" s="139"/>
      <c r="G4" s="139" t="s">
        <v>20</v>
      </c>
      <c r="H4" s="139"/>
      <c r="I4" s="139"/>
      <c r="J4" s="139"/>
      <c r="K4" s="139"/>
      <c r="L4" s="139"/>
      <c r="M4" s="139"/>
    </row>
    <row r="5" spans="1:15" ht="14.25" customHeight="1" x14ac:dyDescent="0.25">
      <c r="A5" s="138" t="str">
        <f>+Инвойс!A5</f>
        <v>ООО “MAROQAND MEVA-SABZAVOT”</v>
      </c>
      <c r="B5" s="138"/>
      <c r="C5" s="138"/>
      <c r="D5" s="138"/>
      <c r="E5" s="138"/>
      <c r="F5" s="6"/>
      <c r="G5" s="140" t="str">
        <f>+Инвойс!G5</f>
        <v>ООО «Аспект»</v>
      </c>
      <c r="H5" s="140"/>
      <c r="I5" s="140"/>
      <c r="J5" s="140"/>
      <c r="K5" s="140"/>
      <c r="L5" s="140"/>
      <c r="M5" s="140"/>
    </row>
    <row r="6" spans="1:15" ht="13.8" x14ac:dyDescent="0.25">
      <c r="A6" s="144" t="str">
        <f>+Инвойс!A6</f>
        <v>Республика Узбекистан, Самаркандская область,</v>
      </c>
      <c r="B6" s="144"/>
      <c r="C6" s="144"/>
      <c r="D6" s="144"/>
      <c r="E6" s="144"/>
      <c r="F6" s="7"/>
      <c r="G6" s="174" t="str">
        <f>+Инвойс!G6</f>
        <v xml:space="preserve">107497, Россия, г. Москва, вн.тер.г. муниципальный </v>
      </c>
      <c r="H6" s="174"/>
      <c r="I6" s="174"/>
      <c r="J6" s="174"/>
      <c r="K6" s="174"/>
      <c r="L6" s="174"/>
      <c r="M6" s="174"/>
      <c r="N6" s="4"/>
    </row>
    <row r="7" spans="1:15" ht="13.8" x14ac:dyDescent="0.25">
      <c r="A7" s="144" t="str">
        <f>+Инвойс!A7</f>
        <v>Джамбайский район, село Хитойбола.</v>
      </c>
      <c r="B7" s="144"/>
      <c r="C7" s="144"/>
      <c r="D7" s="144"/>
      <c r="E7" s="144"/>
      <c r="F7" s="63"/>
      <c r="G7" s="174" t="str">
        <f>+Инвойс!G7</f>
        <v xml:space="preserve">округ Гольяново, 2-й Иртышский пр-в, д. 4Б, стр. 3 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44" t="str">
        <f>+Инвойс!A8</f>
        <v>ИНН: 304970319</v>
      </c>
      <c r="B8" s="144"/>
      <c r="C8" s="144"/>
      <c r="D8" s="144"/>
      <c r="E8" s="144"/>
      <c r="F8" s="63"/>
      <c r="G8" s="174" t="str">
        <f>+Инвойс!G8</f>
        <v>ИНН/ КПП 9718239835  / 771801001</v>
      </c>
      <c r="H8" s="174"/>
      <c r="I8" s="174"/>
      <c r="J8" s="174"/>
      <c r="K8" s="174"/>
      <c r="L8" s="174"/>
      <c r="M8" s="174"/>
    </row>
    <row r="9" spans="1:15" ht="13.8" x14ac:dyDescent="0.25">
      <c r="A9" s="144" t="str">
        <f>+Инвойс!A9</f>
        <v>р/с: 2020 8840 0007 8502 3005 (доллар США)</v>
      </c>
      <c r="B9" s="144"/>
      <c r="C9" s="144"/>
      <c r="D9" s="144"/>
      <c r="E9" s="144"/>
      <c r="F9" s="7"/>
      <c r="G9" s="174" t="str">
        <f>+Инвойс!G9</f>
        <v xml:space="preserve">Валютный счет доллары  40702840100000005715 </v>
      </c>
      <c r="H9" s="174"/>
      <c r="I9" s="174"/>
      <c r="J9" s="174"/>
      <c r="K9" s="174"/>
      <c r="L9" s="174"/>
      <c r="M9" s="174"/>
      <c r="O9" s="7"/>
    </row>
    <row r="10" spans="1:15" ht="13.8" x14ac:dyDescent="0.25">
      <c r="A10" s="144" t="str">
        <f>+Инвойс!A10</f>
        <v>в АО «KDB Bank Uzbekistan»</v>
      </c>
      <c r="B10" s="144"/>
      <c r="C10" s="144"/>
      <c r="D10" s="144"/>
      <c r="E10" s="144"/>
      <c r="F10" s="7"/>
      <c r="G10" s="174" t="str">
        <f>+Инвойс!G10</f>
        <v>КБ "Максима"(ООО), г. Москва РФ</v>
      </c>
      <c r="H10" s="174"/>
      <c r="I10" s="174"/>
      <c r="J10" s="174"/>
      <c r="K10" s="174"/>
      <c r="L10" s="174"/>
      <c r="M10" s="174"/>
    </row>
    <row r="11" spans="1:15" ht="13.8" x14ac:dyDescent="0.25">
      <c r="A11" s="144" t="str">
        <f>+Инвойс!A11</f>
        <v>МФО 00842 СВИФТ: KODBUZ22</v>
      </c>
      <c r="B11" s="144"/>
      <c r="C11" s="144"/>
      <c r="D11" s="144"/>
      <c r="E11" s="144"/>
      <c r="F11" s="7"/>
      <c r="G11" s="174" t="str">
        <f>+Инвойс!G11</f>
        <v>(SWIFT code: MAXMRUM1XXX)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1"/>
      <c r="B12" s="141"/>
      <c r="C12" s="141"/>
      <c r="D12" s="141"/>
      <c r="E12" s="141"/>
      <c r="F12" s="7"/>
      <c r="G12" s="141"/>
      <c r="H12" s="141"/>
      <c r="I12" s="141"/>
      <c r="J12" s="141"/>
      <c r="K12" s="141"/>
      <c r="L12" s="141"/>
      <c r="M12" s="141"/>
    </row>
    <row r="13" spans="1:15" ht="24" customHeight="1" x14ac:dyDescent="0.35">
      <c r="A13" s="139" t="s">
        <v>31</v>
      </c>
      <c r="B13" s="139"/>
      <c r="C13" s="139"/>
      <c r="D13" s="139"/>
      <c r="E13" s="139"/>
      <c r="G13" s="139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38" t="str">
        <f>+Инвойс!A14</f>
        <v>ООО “MAROQAND MEVA-SABZAVOT”</v>
      </c>
      <c r="B14" s="138"/>
      <c r="C14" s="138"/>
      <c r="D14" s="138"/>
      <c r="E14" s="138"/>
      <c r="F14" s="6"/>
      <c r="G14" s="140" t="str">
        <f>+Инвойс!G14</f>
        <v>OOO «Западные ворота»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44" t="str">
        <f>+Инвойс!A15</f>
        <v>Республика Узбекистан, Самаркандская область,</v>
      </c>
      <c r="B15" s="144"/>
      <c r="C15" s="144"/>
      <c r="D15" s="144"/>
      <c r="E15" s="144"/>
      <c r="F15" s="7"/>
      <c r="G15" s="174" t="str">
        <f>+Инвойс!G15</f>
        <v>108811, г. Москва, вн.тер.г. муниципальный округ</v>
      </c>
      <c r="H15" s="174"/>
      <c r="I15" s="174"/>
      <c r="J15" s="174"/>
      <c r="K15" s="174"/>
      <c r="L15" s="174"/>
      <c r="M15" s="174"/>
    </row>
    <row r="16" spans="1:15" ht="13.8" x14ac:dyDescent="0.25">
      <c r="A16" s="144" t="str">
        <f>+Инвойс!A16</f>
        <v>Джамбайский район, село Хитойбола.</v>
      </c>
      <c r="B16" s="144"/>
      <c r="C16" s="144"/>
      <c r="D16" s="144"/>
      <c r="E16" s="144"/>
      <c r="F16" s="63"/>
      <c r="G16" s="174" t="str">
        <f>+Инвойс!G16</f>
        <v>Солнцево, Киевское шоссе, 23-й км, д.8, стр.1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44" t="str">
        <f>+Инвойс!A17</f>
        <v>ИНН: 304970319</v>
      </c>
      <c r="B17" s="144"/>
      <c r="C17" s="144"/>
      <c r="D17" s="144"/>
      <c r="E17" s="144"/>
      <c r="F17" s="63"/>
      <c r="G17" s="174" t="str">
        <f>+Инвойс!G17</f>
        <v xml:space="preserve">р/с USD 40702810501400013450 </v>
      </c>
      <c r="H17" s="174"/>
      <c r="I17" s="174"/>
      <c r="J17" s="174"/>
      <c r="K17" s="174"/>
      <c r="L17" s="174"/>
      <c r="M17" s="174"/>
    </row>
    <row r="18" spans="1:17" ht="13.8" x14ac:dyDescent="0.25">
      <c r="A18" s="144" t="str">
        <f>+Инвойс!A18</f>
        <v>р/с: 2020 8840 0007 8502 3005 (доллар США)</v>
      </c>
      <c r="B18" s="144"/>
      <c r="C18" s="144"/>
      <c r="D18" s="144"/>
      <c r="E18" s="144"/>
      <c r="F18" s="7"/>
      <c r="G18" s="174" t="str">
        <f>+Инвойс!G18</f>
        <v>Банк: Филиал АО «АЛЬФА-БАНК»</v>
      </c>
      <c r="H18" s="174"/>
      <c r="I18" s="174"/>
      <c r="J18" s="174"/>
      <c r="K18" s="174"/>
      <c r="L18" s="174"/>
      <c r="M18" s="174"/>
    </row>
    <row r="19" spans="1:17" ht="13.8" x14ac:dyDescent="0.25">
      <c r="A19" s="144" t="str">
        <f>+Инвойс!A19</f>
        <v>в АО «KDB Bank Uzbekistan»</v>
      </c>
      <c r="B19" s="144"/>
      <c r="C19" s="144"/>
      <c r="D19" s="144"/>
      <c r="E19" s="144"/>
      <c r="F19" s="7"/>
      <c r="G19" s="174" t="str">
        <f>+Инвойс!G19</f>
        <v>к/с:  30101810200000000593</v>
      </c>
      <c r="H19" s="174"/>
      <c r="I19" s="174"/>
      <c r="J19" s="174"/>
      <c r="K19" s="174"/>
      <c r="L19" s="174"/>
      <c r="M19" s="174"/>
    </row>
    <row r="20" spans="1:17" ht="13.8" x14ac:dyDescent="0.25">
      <c r="A20" s="144" t="str">
        <f>+Инвойс!A20</f>
        <v>МФО 00842 СВИФТ: KODBUZ22</v>
      </c>
      <c r="B20" s="144"/>
      <c r="C20" s="144"/>
      <c r="D20" s="144"/>
      <c r="E20" s="144"/>
      <c r="F20" s="7"/>
      <c r="G20" s="174" t="str">
        <f>+Инвойс!G20</f>
        <v>ИНН/КПП 5004025693/775101001 ОГРН 1135004001802</v>
      </c>
      <c r="H20" s="174"/>
      <c r="I20" s="174"/>
      <c r="J20" s="174"/>
      <c r="K20" s="174"/>
      <c r="L20" s="174"/>
      <c r="M20" s="174"/>
    </row>
    <row r="21" spans="1:17" ht="13.8" x14ac:dyDescent="0.25">
      <c r="A21" s="144"/>
      <c r="B21" s="144"/>
      <c r="C21" s="144"/>
      <c r="D21" s="144"/>
      <c r="E21" s="144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115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tr">
        <f>+Инвойс!E26</f>
        <v>30V331MA/304307AA</v>
      </c>
      <c r="F26" s="158"/>
      <c r="G26" s="158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1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1" t="s">
        <v>12</v>
      </c>
      <c r="H29" s="111" t="s">
        <v>13</v>
      </c>
      <c r="I29" s="151"/>
      <c r="J29" s="112" t="s">
        <v>14</v>
      </c>
      <c r="K29" s="10" t="s">
        <v>15</v>
      </c>
      <c r="L29" s="10" t="s">
        <v>16</v>
      </c>
      <c r="M29" s="151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2380</v>
      </c>
      <c r="F30" s="116" t="str">
        <f>+Инвойс!F30</f>
        <v>кг</v>
      </c>
      <c r="G30" s="106">
        <f>+Инвойс!G30</f>
        <v>22650</v>
      </c>
      <c r="H30" s="106">
        <f>+Инвойс!H30</f>
        <v>20984</v>
      </c>
      <c r="I30" s="108">
        <f>+Инвойс!I30</f>
        <v>1</v>
      </c>
      <c r="J30" s="13">
        <f>+Инвойс!J30</f>
        <v>20984</v>
      </c>
      <c r="K30" s="12">
        <v>0</v>
      </c>
      <c r="L30" s="12">
        <v>0</v>
      </c>
      <c r="M30" s="13">
        <f>+Инвойс!M30</f>
        <v>20984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2380</v>
      </c>
      <c r="F31" s="15"/>
      <c r="G31" s="64">
        <f>SUM(G30:G30)</f>
        <v>22650</v>
      </c>
      <c r="H31" s="64">
        <f>SUM(H30:H30)</f>
        <v>20984</v>
      </c>
      <c r="I31" s="102"/>
      <c r="J31" s="17">
        <f>SUM(J30:J30)</f>
        <v>20984</v>
      </c>
      <c r="K31" s="16"/>
      <c r="L31" s="16"/>
      <c r="M31" s="17">
        <f>SUM(M30:M30)</f>
        <v>20984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Двадцать тысяч девятьсот восемьдесят четыре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s="18" customFormat="1" ht="15.6" x14ac:dyDescent="0.3">
      <c r="A36" s="131" t="s">
        <v>155</v>
      </c>
      <c r="B36" s="131"/>
      <c r="D36" s="18" t="str">
        <f>+Инвойс!D36</f>
        <v>Турсунов И.Ж</v>
      </c>
      <c r="E36" s="132"/>
      <c r="G36" s="129" t="s">
        <v>130</v>
      </c>
      <c r="H36" s="18" t="str">
        <f>Инвойс!G5</f>
        <v>ООО «Аспект»</v>
      </c>
      <c r="K36" s="133" t="s">
        <v>156</v>
      </c>
    </row>
    <row r="37" spans="1:14" s="18" customFormat="1" ht="13.8" x14ac:dyDescent="0.25">
      <c r="A37" s="131" t="str">
        <f>+Инвойс!A5</f>
        <v>ООО “MAROQAND MEVA-SABZAVOT”</v>
      </c>
      <c r="B37" s="135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153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Инвойс!M31</f>
        <v>20984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восемьдесят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45901</v>
      </c>
      <c r="O3" s="180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восемьдесят четыре доллара США,00 центов. (в т.ч. НДС - 357,79)</v>
      </c>
      <c r="H4" s="32"/>
      <c r="I4" s="32"/>
      <c r="J4" s="32"/>
      <c r="K4" s="181" t="str">
        <f ca="1">CONCATENATE(" «  ",P3,"  »  ",Q3,"  ",R3," г.")</f>
        <v xml:space="preserve"> «  1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восемьдесят четыре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восемьдесят четыре доллара США,00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девятьсот восемьдесят четыре доллара США,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20984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20984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2025-09-01T13:03:17Z</cp:lastPrinted>
  <dcterms:created xsi:type="dcterms:W3CDTF">1996-10-14T23:33:28Z</dcterms:created>
  <dcterms:modified xsi:type="dcterms:W3CDTF">2025-09-01T13:03:22Z</dcterms:modified>
</cp:coreProperties>
</file>