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671D0E7-0ACF-47F5-A7A1-7CC0DD476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<sst xmlns="http://schemas.openxmlformats.org/spreadsheetml/2006/main" count="201" uniqueCount="163">
  <si>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</si>
  <si>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</si>
  <si>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</si>
  <si>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</si>
  <si>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</si>
  <si>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</si>
  <si>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</si>
  <si>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</si>
  <si>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</si>
  <si>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</si>
  <si>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</si>
  <si>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</si>
  <si>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</si>
  <si>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</si>
  <si>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</si>
  <si>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</si>
  <si>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</si>
  <si>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</si>
  <si>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</si>
  <si>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</si>
  <si>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</si>
  <si>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</si>
  <si>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</si>
  <si>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</si>
  <si>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</si>
  <si>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</si>
  <si>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</si>
  <si>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</si>
  <si>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</si>
  <si>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</si>
  <si>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</si>
  <si>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</si>
  <si>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</si>
  <si>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</si>
  <si>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</si>
  <si>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</si>
  <si>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</si>
  <si>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</si>
  <si>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</si>
  <si>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</si>
  <si>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</si>
  <si>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</si>
  <si>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</si>
  <si>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</si>
  <si>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</si>
  <si>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</si>
  <si>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</si>
  <si>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</si>
  <si>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</si>
  <si>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</si>
  <si>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</si>
  <si>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</si>
  <si>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</si>
  <si>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</si>
  <si>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</si>
  <si>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</si>
  <si>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</si>
  <si>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</si>
  <si>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</si>
  <si>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</si>
  <si>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</si>
  <si>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</si>
  <si>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</si>
  <si>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</si>
  <si>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</si>
  <si>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</si>
  <si>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</si>
  <si>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</si>
  <si>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</si>
  <si>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</si>
  <si>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</si>
  <si>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</si>
  <si>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</si>
  <si>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</si>
  <si>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</si>
  <si>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</si>
  <si>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</si>
  <si>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</si>
  <si>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</si>
  <si>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</si>
  <si>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</si>
  <si>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</si>
  <si>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</si>
  <si>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</si>
  <si>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</si>
  <si>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</si>
  <si>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</si>
  <si>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</si>
  <si>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</si>
  <si>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</si>
  <si>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</si>
  <si>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</si>
  <si>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</si>
  <si>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</si>
  <si>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</si>
  <si>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</si>
  <si>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</si>
  <si>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</si>
  <si>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</si>
  <si>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</si>
  <si>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</si>
  <si>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</si>
  <si>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</si>
  <si>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</si>
  <si>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</si>
  <si>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</si>
  <si>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</si>
  <si>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</si>
  <si>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</si>
  <si>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</si>
  <si>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</si>
  <si>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</si>
  <si>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</si>
  <si>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</si>
  <si>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</si>
  <si>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</si>
  <si>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</si>
  <si>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</si>
  <si>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</si>
  <si>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</si>
  <si>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</si>
  <si>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</si>
  <si>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</si>
  <si>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</si>
  <si>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</si>
  <si>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</si>
  <si>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</si>
  <si>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</si>
  <si>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</si>
  <si>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</si>
  <si>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</si>
  <si>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</si>
  <si>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</si>
  <si>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</si>
  <si>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</si>
  <si>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</si>
  <si>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</si>
  <si>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</si>
  <si>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</si>
  <si>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</si>
  <si>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</si>
  <si>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</si>
  <si>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</si>
  <si>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</si>
  <si>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</si>
  <si>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</si>
  <si>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</si>
  <si>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</si>
  <si>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</si>
  <si>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</si>
  <si>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</si>
  <si>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</si>
  <si>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</si>
  <si>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</si>
  <si>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</si>
  <si>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</si>
  <si>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</si>
  <si>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BEZ-A-99 от </t>
  </si>
  <si>
    <t xml:space="preserve"> 14.08.2025г.</t>
  </si>
  <si>
    <t>DAP - с Амандык , Республика Казахстан</t>
  </si>
  <si>
    <t>30V055QA/303554AA</t>
  </si>
  <si>
    <t>/г. Владивосток/ г.Чебоксары / г. Пенза / г. Краснодар / г.Пятигорск / г.Воронеж / /г.Нижневартовск/г.Нижний Новгород/г.Киров</t>
  </si>
  <si>
    <t xml:space="preserve">СПЕЦИФИКАЦИЯ № BEZ-A-99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</si>
</sst>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157</v>
      </c>
      <c r="D1" s="133"/>
      <c r="E1" s="133"/>
      <c r="F1" s="132" t="s">
        <v>158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147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148</v>
      </c>
      <c r="B5" s="134"/>
      <c r="C5" s="134"/>
      <c r="D5" s="134"/>
      <c r="E5" s="134"/>
      <c r="F5" s="6"/>
      <c r="G5" s="136" t="s">
        <v>137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149</v>
      </c>
      <c r="B6" s="125"/>
      <c r="C6" s="125"/>
      <c r="D6" s="125"/>
      <c r="E6" s="125"/>
      <c r="F6" s="7"/>
      <c r="G6" s="138" t="s">
        <v>138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150</v>
      </c>
      <c r="B7" s="125"/>
      <c r="C7" s="125"/>
      <c r="D7" s="125"/>
      <c r="E7" s="125"/>
      <c r="F7" s="63"/>
      <c r="G7" s="138" t="s">
        <v>139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148</v>
      </c>
      <c r="B14" s="134"/>
      <c r="C14" s="134"/>
      <c r="D14" s="134"/>
      <c r="E14" s="134"/>
      <c r="F14" s="6"/>
      <c r="G14" s="136" t="s">
        <v>124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149</v>
      </c>
      <c r="B15" s="125"/>
      <c r="C15" s="125"/>
      <c r="D15" s="125"/>
      <c r="E15" s="125"/>
      <c r="F15" s="7"/>
      <c r="G15" s="138" t="s">
        <v>125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150</v>
      </c>
      <c r="B16" s="125"/>
      <c r="C16" s="125"/>
      <c r="D16" s="125"/>
      <c r="E16" s="125"/>
      <c r="F16" s="63"/>
      <c r="G16" s="138" t="s">
        <v>126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118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134</v>
      </c>
      <c r="C30" s="107" t="s">
        <v>135</v>
      </c>
      <c r="D30" s="109" t="s">
        <v>112</v>
      </c>
      <c r="E30" s="101">
        <v>950</v>
      </c>
      <c r="F30" s="110" t="s">
        <v>27</v>
      </c>
      <c r="G30" s="106">
        <v>22500</v>
      </c>
      <c r="H30" s="106">
        <v>20790</v>
      </c>
      <c r="I30" s="108">
        <v>0.2</v>
      </c>
      <c r="J30" s="13">
        <f t="shared" ref="J30" si="0">H30*I30</f>
        <v>4158</v>
      </c>
      <c r="K30" s="12">
        <v>0</v>
      </c>
      <c r="L30" s="12">
        <v>0</v>
      </c>
      <c r="M30" s="13">
        <f t="shared" ref="M30" si="1">J30</f>
        <v>4158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22500</v>
      </c>
      <c r="H31" s="64">
        <f>SUM(H30:H30)</f>
        <v>20790</v>
      </c>
      <c r="I31" s="102"/>
      <c r="J31" s="17">
        <f>SUM(J30:J30)</f>
        <v>4158</v>
      </c>
      <c r="K31" s="16"/>
      <c r="L31" s="16"/>
      <c r="M31" s="17">
        <f>SUM(M30:M30)</f>
        <v>4158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пятьдесят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109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4" zoomScale="115" zoomScaleNormal="115" workbookViewId="0">
      <selection activeCell="F6" sqref="F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161</v>
      </c>
    </row>
    <row r="15" spans="1:11" ht="7.5" hidden="1" customHeight="1" x14ac:dyDescent="0.2"/>
    <row r="16" spans="1:11" ht="12" customHeight="1" x14ac:dyDescent="0.2">
      <c r="B16" s="70" t="s">
        <v>146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BEZ-A-99 от  14.08.2025г.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7" t="str">
        <f>+C22</f>
        <v xml:space="preserve"> 14.08.2025г.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30V055QA/303554AA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I32" sqref="I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30V055QA/303554AA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BEZ-A-99 от  14.08.2025г.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950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U27" sqref="U2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132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30V055QA/303554AA</v>
      </c>
      <c r="F26" s="153"/>
      <c r="G26" s="153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5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22500</v>
      </c>
      <c r="H30" s="106">
        <f>+Инвойс!H30</f>
        <v>20790</v>
      </c>
      <c r="I30" s="108">
        <f>+Инвойс!I30</f>
        <v>0.2</v>
      </c>
      <c r="J30" s="13">
        <f>+Инвойс!J30</f>
        <v>4158</v>
      </c>
      <c r="K30" s="12">
        <v>0</v>
      </c>
      <c r="L30" s="12">
        <v>0</v>
      </c>
      <c r="M30" s="13">
        <f>+Инвойс!M30</f>
        <v>4158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22500</v>
      </c>
      <c r="H31" s="64">
        <f>SUM(H30:H30)</f>
        <v>20790</v>
      </c>
      <c r="I31" s="102"/>
      <c r="J31" s="17">
        <f>SUM(J30:J30)</f>
        <v>4158</v>
      </c>
      <c r="K31" s="16"/>
      <c r="L31" s="16"/>
      <c r="M31" s="17">
        <f>SUM(M30:M30)</f>
        <v>4158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пятьдесят восемь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">
        <v>155</v>
      </c>
      <c r="E36" s="24"/>
      <c r="G36" s="129" t="s">
        <v>144</v>
      </c>
      <c r="H36" t="str">
        <f>Инвойс!G5</f>
        <v>ООО ТД «РЕСУРС»</v>
      </c>
      <c r="K36" s="130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116</v>
      </c>
    </row>
    <row r="3" spans="1:1" ht="52.8" x14ac:dyDescent="0.25">
      <c r="A3" s="131" t="s">
        <v>136</v>
      </c>
    </row>
    <row r="5" spans="1:1" ht="39.6" x14ac:dyDescent="0.25">
      <c r="A5" s="126" t="s">
        <v>117</v>
      </c>
    </row>
    <row r="7" spans="1:1" ht="52.8" x14ac:dyDescent="0.25">
      <c r="A7" s="126" t="s">
        <v>118</v>
      </c>
    </row>
    <row r="9" spans="1:1" ht="52.8" x14ac:dyDescent="0.25">
      <c r="A9" s="126" t="s">
        <v>119</v>
      </c>
    </row>
    <row r="10" spans="1:1" x14ac:dyDescent="0.25">
      <c r="A10" s="126"/>
    </row>
    <row r="11" spans="1:1" ht="52.8" x14ac:dyDescent="0.25">
      <c r="A11" s="126" t="s">
        <v>120</v>
      </c>
    </row>
    <row r="13" spans="1:1" ht="52.8" x14ac:dyDescent="0.25">
      <c r="A13" s="126" t="s">
        <v>121</v>
      </c>
    </row>
    <row r="15" spans="1:1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131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4158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пятьдесят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пятьдесят восемь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пятьдесят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пятьдесят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пятьдесят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4158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4158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2025-08-14T14:01:42Z</cp:lastPrinted>
  <dcterms:created xsi:type="dcterms:W3CDTF">1996-10-14T23:33:28Z</dcterms:created>
  <dcterms:modified xsi:type="dcterms:W3CDTF">2025-08-14T14:02:14Z</dcterms:modified>
</cp:coreProperties>
</file>