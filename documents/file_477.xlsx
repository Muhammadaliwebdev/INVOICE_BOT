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6" i="7" l="1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<sst xmlns="http://schemas.openxmlformats.org/spreadsheetml/2006/main" count="201" uniqueCount="163">
  <si>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</si>
  <si>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</si>
  <si>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</si>
  <si>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</si>
  <si>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</si>
  <si>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</si>
  <si>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</si>
  <si>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</si>
  <si>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</si>
  <si>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</si>
  <si>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</si>
  <si>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</si>
  <si>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</si>
  <si>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</si>
  <si>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</si>
  <si>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</si>
  <si>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</si>
  <si>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</si>
  <si>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</si>
  <si>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</si>
  <si>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</si>
  <si>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</si>
  <si>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</si>
  <si>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</si>
  <si>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</si>
  <si>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</si>
  <si>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</si>
  <si>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</si>
  <si>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</si>
  <si>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</si>
  <si>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</si>
  <si>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</si>
  <si>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</si>
  <si>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</si>
  <si>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</si>
  <si>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</si>
  <si>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</si>
  <si>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</si>
  <si>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</si>
  <si>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</si>
  <si>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</si>
  <si>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</si>
  <si>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</si>
  <si>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</si>
  <si>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</si>
  <si>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</si>
  <si>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</si>
  <si>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</si>
  <si>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</si>
  <si>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</si>
  <si>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</si>
  <si>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</si>
  <si>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</si>
  <si>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</si>
  <si>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</si>
  <si>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</si>
  <si>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</si>
  <si>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</si>
  <si>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</si>
  <si>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</si>
  <si>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</si>
  <si>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</si>
  <si>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</si>
  <si>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</si>
  <si>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</si>
  <si>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</si>
  <si>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</si>
  <si>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</si>
  <si>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</si>
  <si>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</si>
  <si>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</si>
  <si>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</si>
  <si>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</si>
  <si>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</si>
  <si>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</si>
  <si>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</si>
  <si>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</si>
  <si>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</si>
  <si>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</si>
  <si>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</si>
  <si>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</si>
  <si>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</si>
  <si>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</si>
  <si>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</si>
  <si>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</si>
  <si>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</si>
  <si>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</si>
  <si>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</si>
  <si>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</si>
  <si>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</si>
  <si>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</si>
  <si>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</si>
  <si>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</si>
  <si>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</si>
  <si>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</si>
  <si>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</si>
  <si>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</si>
  <si>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</si>
  <si>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</si>
  <si>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</si>
  <si>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</si>
  <si>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</si>
  <si>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</si>
  <si>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</si>
  <si>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</si>
  <si>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</si>
  <si>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</si>
  <si>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</si>
  <si>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</si>
  <si>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</si>
  <si>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</si>
  <si>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</si>
  <si>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</si>
  <si>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</si>
  <si>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</si>
  <si>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</si>
  <si>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</si>
  <si>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</si>
  <si>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</si>
  <si>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</si>
  <si>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</si>
  <si>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</si>
  <si>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</si>
  <si>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</si>
  <si>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</si>
  <si>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</si>
  <si>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</si>
  <si>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</si>
  <si>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</si>
  <si>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</si>
  <si>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</si>
  <si>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</si>
  <si>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</si>
  <si>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</si>
  <si>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</si>
  <si>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</si>
  <si>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</si>
  <si>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</si>
  <si>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</si>
  <si>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</si>
  <si>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</si>
  <si>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</si>
  <si>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</si>
  <si>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</si>
  <si>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</si>
  <si>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</si>
  <si>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</si>
  <si>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</si>
  <si>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</si>
  <si>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</si>
  <si>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</si>
  <si>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</si>
  <si>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</si>
  <si>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</si>
  <si>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</si>
  <si>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</si>
  <si>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</si>
  <si>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</si>
  <si>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</si>
  <si>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 07.09.2025г.</t>
  </si>
  <si>
    <t xml:space="preserve">ИНВОЙС № EXZ-A-3 от </t>
  </si>
  <si>
    <t>20596QAA/202585AA</t>
  </si>
  <si>
    <t xml:space="preserve">СПЕЦИФИКАЦИЯ № EXZ-A-3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</si>
</sst>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5" t="s">
        <v>160</v>
      </c>
      <c r="D1" s="135"/>
      <c r="E1" s="135"/>
      <c r="F1" s="134" t="s">
        <v>159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">
        <v>140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">
        <v>129</v>
      </c>
      <c r="B5" s="136"/>
      <c r="C5" s="136"/>
      <c r="D5" s="136"/>
      <c r="E5" s="136"/>
      <c r="F5" s="6"/>
      <c r="G5" s="138" t="s">
        <v>141</v>
      </c>
      <c r="H5" s="138"/>
      <c r="I5" s="138"/>
      <c r="J5" s="138"/>
      <c r="K5" s="138"/>
      <c r="L5" s="138"/>
      <c r="M5" s="138"/>
    </row>
    <row r="6" spans="1:15" ht="15" customHeight="1">
      <c r="A6" s="142" t="s">
        <v>130</v>
      </c>
      <c r="B6" s="143"/>
      <c r="C6" s="143"/>
      <c r="D6" s="143"/>
      <c r="E6" s="143"/>
      <c r="F6" s="7"/>
      <c r="G6" s="140" t="s">
        <v>142</v>
      </c>
      <c r="H6" s="140"/>
      <c r="I6" s="140"/>
      <c r="J6" s="140"/>
      <c r="K6" s="140"/>
      <c r="L6" s="140"/>
      <c r="M6" s="140"/>
      <c r="N6" s="4"/>
    </row>
    <row r="7" spans="1:15" ht="15">
      <c r="A7" s="143" t="s">
        <v>131</v>
      </c>
      <c r="B7" s="143"/>
      <c r="C7" s="143"/>
      <c r="D7" s="143"/>
      <c r="E7" s="143"/>
      <c r="F7" s="63"/>
      <c r="G7" s="140" t="s">
        <v>143</v>
      </c>
      <c r="H7" s="140"/>
      <c r="I7" s="140"/>
      <c r="J7" s="140"/>
      <c r="K7" s="140"/>
      <c r="L7" s="140"/>
      <c r="M7" s="140"/>
    </row>
    <row r="8" spans="1:15" ht="15" customHeight="1">
      <c r="A8" s="8" t="s">
        <v>132</v>
      </c>
      <c r="B8" s="8"/>
      <c r="C8" s="8"/>
      <c r="D8" s="8"/>
      <c r="E8" s="8"/>
      <c r="F8" s="63"/>
      <c r="G8" s="7" t="s">
        <v>144</v>
      </c>
      <c r="H8" s="23"/>
      <c r="I8" s="23"/>
      <c r="J8" s="23"/>
      <c r="K8" s="23"/>
      <c r="L8" s="23"/>
      <c r="M8" s="23"/>
    </row>
    <row r="9" spans="1:15" ht="15">
      <c r="A9" s="8" t="s">
        <v>133</v>
      </c>
      <c r="B9" s="8"/>
      <c r="C9" s="8"/>
      <c r="D9" s="8"/>
      <c r="E9" s="8"/>
      <c r="F9" s="7"/>
      <c r="G9" s="7" t="s">
        <v>145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134</v>
      </c>
      <c r="B10" s="125"/>
      <c r="C10" s="125"/>
      <c r="D10" s="125"/>
      <c r="E10" s="125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5">
      <c r="A11" s="8" t="s">
        <v>135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136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">
        <v>129</v>
      </c>
      <c r="B14" s="136"/>
      <c r="C14" s="136"/>
      <c r="D14" s="136"/>
      <c r="E14" s="136"/>
      <c r="F14" s="6"/>
      <c r="G14" s="138" t="s">
        <v>148</v>
      </c>
      <c r="H14" s="138"/>
      <c r="I14" s="138"/>
      <c r="J14" s="138"/>
      <c r="K14" s="138"/>
      <c r="L14" s="138"/>
      <c r="M14" s="138"/>
    </row>
    <row r="15" spans="1:15" ht="13.9" customHeight="1">
      <c r="A15" s="142" t="s">
        <v>130</v>
      </c>
      <c r="B15" s="143"/>
      <c r="C15" s="143"/>
      <c r="D15" s="143"/>
      <c r="E15" s="143"/>
      <c r="F15" s="7"/>
      <c r="G15" s="140" t="s">
        <v>149</v>
      </c>
      <c r="H15" s="143"/>
      <c r="I15" s="143"/>
      <c r="J15" s="143"/>
      <c r="K15" s="143"/>
      <c r="L15" s="143"/>
      <c r="M15" s="143"/>
    </row>
    <row r="16" spans="1:15" ht="15">
      <c r="A16" s="143" t="s">
        <v>131</v>
      </c>
      <c r="B16" s="143"/>
      <c r="C16" s="143"/>
      <c r="D16" s="143"/>
      <c r="E16" s="143"/>
      <c r="F16" s="63"/>
      <c r="G16" s="140" t="s">
        <v>150</v>
      </c>
      <c r="H16" s="140"/>
      <c r="I16" s="140"/>
      <c r="J16" s="140"/>
      <c r="K16" s="140"/>
      <c r="L16" s="140"/>
      <c r="M16" s="140"/>
    </row>
    <row r="17" spans="1:17" ht="15" customHeight="1">
      <c r="A17" s="8" t="s">
        <v>132</v>
      </c>
      <c r="B17" s="8"/>
      <c r="C17" s="8"/>
      <c r="D17" s="8"/>
      <c r="E17" s="8"/>
      <c r="F17" s="63"/>
      <c r="G17" s="7" t="s">
        <v>151</v>
      </c>
      <c r="H17" s="23"/>
      <c r="I17" s="23"/>
      <c r="J17" s="23"/>
      <c r="K17" s="23"/>
      <c r="L17" s="23"/>
      <c r="M17" s="23"/>
    </row>
    <row r="18" spans="1:17" ht="15">
      <c r="A18" s="8" t="s">
        <v>133</v>
      </c>
      <c r="B18" s="8"/>
      <c r="C18" s="8"/>
      <c r="D18" s="8"/>
      <c r="E18" s="8"/>
      <c r="F18" s="7"/>
      <c r="G18" s="8" t="s">
        <v>152</v>
      </c>
      <c r="H18" s="8"/>
      <c r="I18" s="8"/>
      <c r="J18" s="8"/>
      <c r="K18" s="8"/>
      <c r="L18" s="8"/>
      <c r="M18" s="8"/>
    </row>
    <row r="19" spans="1:17" ht="15">
      <c r="A19" s="125" t="s">
        <v>134</v>
      </c>
      <c r="B19" s="125"/>
      <c r="C19" s="125"/>
      <c r="D19" s="125"/>
      <c r="E19" s="125"/>
      <c r="F19" s="7"/>
      <c r="G19" s="7" t="s">
        <v>153</v>
      </c>
      <c r="H19" s="23"/>
      <c r="I19" s="23"/>
      <c r="J19" s="23"/>
      <c r="K19" s="23"/>
      <c r="L19" s="23"/>
      <c r="M19" s="23"/>
    </row>
    <row r="20" spans="1:17" ht="15">
      <c r="A20" s="8" t="s">
        <v>135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</row>
    <row r="21" spans="1:17" ht="15">
      <c r="A21" s="99" t="s">
        <v>136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4" t="s">
        <v>126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>
      <c r="A24" s="20" t="s">
        <v>22</v>
      </c>
      <c r="C24" s="18" t="s">
        <v>158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">
        <v>161</v>
      </c>
      <c r="F26" s="156"/>
      <c r="G26" s="156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970</v>
      </c>
      <c r="F30" s="110" t="s">
        <v>27</v>
      </c>
      <c r="G30" s="106">
        <v>22900</v>
      </c>
      <c r="H30" s="106">
        <v>21154</v>
      </c>
      <c r="I30" s="108">
        <v>0.2</v>
      </c>
      <c r="J30" s="13">
        <f t="shared" ref="J30" si="0">H30*I30</f>
        <v>4230.8</v>
      </c>
      <c r="K30" s="12">
        <v>0</v>
      </c>
      <c r="L30" s="12">
        <v>0</v>
      </c>
      <c r="M30" s="13">
        <f t="shared" ref="M30" si="1">J30</f>
        <v>4230.8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22900</v>
      </c>
      <c r="H31" s="64">
        <f>SUM(H30:H30)</f>
        <v>21154</v>
      </c>
      <c r="I31" s="102"/>
      <c r="J31" s="17">
        <f>SUM(J30:J30)</f>
        <v>4230.8</v>
      </c>
      <c r="K31" s="16"/>
      <c r="L31" s="16"/>
      <c r="M31" s="17">
        <f>SUM(M30:M30)</f>
        <v>4230.8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четыре тысячи двести тридцать долларов США, 80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137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13" zoomScale="115" zoomScaleNormal="115" workbookViewId="0">
      <selection activeCell="F50" sqref="F50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155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EXZ-A-3 от  07.09.2025г.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07.09.2025г.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20596QAA/202585AA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11" zoomScaleNormal="100" workbookViewId="0">
      <selection activeCell="G44" sqref="G44:H44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3" t="s">
        <v>96</v>
      </c>
      <c r="C2" s="163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4" t="str">
        <f>+Инвойс!E26</f>
        <v>20596QAA/202585AA</v>
      </c>
      <c r="C14" s="164"/>
      <c r="D14" s="164"/>
      <c r="E14" s="164"/>
      <c r="F14" s="164"/>
      <c r="G14" s="164"/>
      <c r="H14" s="165" t="s">
        <v>106</v>
      </c>
      <c r="I14" s="165"/>
      <c r="J14" s="88" t="str">
        <f>+Инвойс!F1</f>
        <v xml:space="preserve"> 07.09.2025г.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EXZ-A-3 от  07.09.2025г.</v>
      </c>
      <c r="I15" s="166"/>
      <c r="J15" s="166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970</v>
      </c>
      <c r="G18" s="167" t="str">
        <f>+CMR!F30</f>
        <v>Дыни свежие</v>
      </c>
      <c r="H18" s="167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22900</v>
      </c>
    </row>
    <row r="20" spans="2:10" ht="13.5" customHeight="1">
      <c r="B20" s="83"/>
      <c r="E20" s="123"/>
      <c r="F20" s="118"/>
      <c r="G20" s="167"/>
      <c r="H20" s="167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7"/>
      <c r="H22" s="167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7"/>
      <c r="H24" s="167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7"/>
      <c r="H26" s="167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7"/>
      <c r="H28" s="167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7"/>
      <c r="H30" s="167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7"/>
      <c r="H32" s="167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7"/>
      <c r="H34" s="167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7"/>
      <c r="H36" s="167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7"/>
      <c r="H38" s="167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7"/>
      <c r="H40" s="167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7"/>
      <c r="H42" s="167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9"/>
      <c r="H44" s="169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70">
        <f>+F18+F20+F22+F24+F26+F28+F30+F32+F34+F36+F38+F40+F42</f>
        <v>970</v>
      </c>
      <c r="E47" s="171"/>
    </row>
    <row r="48" spans="2:10" ht="17.25" customHeight="1">
      <c r="B48" s="168" t="s">
        <v>104</v>
      </c>
      <c r="C48" s="168"/>
      <c r="D48" s="168"/>
      <c r="E48" s="168"/>
    </row>
    <row r="49" spans="2:5" ht="21.75" customHeight="1">
      <c r="B49" s="168"/>
      <c r="C49" s="168"/>
      <c r="D49" s="168"/>
      <c r="E49" s="168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M24" sqref="M24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4" t="s">
        <v>162</v>
      </c>
      <c r="C1" s="174"/>
      <c r="D1" s="174"/>
      <c r="E1" s="174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tr">
        <f>+Инвойс!E26</f>
        <v>20596QAA/202585AA</v>
      </c>
      <c r="F26" s="156"/>
      <c r="G26" s="156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22900</v>
      </c>
      <c r="H30" s="106">
        <f>+Инвойс!H30</f>
        <v>21154</v>
      </c>
      <c r="I30" s="108">
        <f>+Инвойс!I30</f>
        <v>0.2</v>
      </c>
      <c r="J30" s="13">
        <f>+Инвойс!J30</f>
        <v>4230.8</v>
      </c>
      <c r="K30" s="12">
        <v>0</v>
      </c>
      <c r="L30" s="12">
        <v>0</v>
      </c>
      <c r="M30" s="13">
        <f>+Инвойс!M30</f>
        <v>4230.8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22900</v>
      </c>
      <c r="H31" s="64">
        <f>SUM(H30:H30)</f>
        <v>21154</v>
      </c>
      <c r="I31" s="102"/>
      <c r="J31" s="17">
        <f>SUM(J30:J30)</f>
        <v>4230.8</v>
      </c>
      <c r="K31" s="16"/>
      <c r="L31" s="16"/>
      <c r="M31" s="17">
        <f>SUM(M30:M30)</f>
        <v>4230.8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четыре тысячи двести тридцать долларов США, 80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1" t="s">
        <v>138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«Аспект»</v>
      </c>
      <c r="K36" s="133" t="s">
        <v>156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139</v>
      </c>
    </row>
    <row r="6" spans="1:10">
      <c r="E6" s="18"/>
      <c r="J6" s="25"/>
    </row>
    <row r="7" spans="1:10" ht="51">
      <c r="A7" s="126" t="s">
        <v>116</v>
      </c>
    </row>
    <row r="8" spans="1:10">
      <c r="E8" s="18"/>
      <c r="J8" s="25"/>
    </row>
    <row r="9" spans="1:10" ht="51">
      <c r="A9" s="126" t="s">
        <v>117</v>
      </c>
    </row>
    <row r="10" spans="1:10">
      <c r="A10" s="126"/>
      <c r="E10" s="18"/>
      <c r="J10" s="25"/>
    </row>
    <row r="11" spans="1:10" ht="51">
      <c r="A11" s="126" t="s">
        <v>157</v>
      </c>
    </row>
    <row r="12" spans="1:10">
      <c r="E12" s="18"/>
      <c r="J12" s="25"/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4230.8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четыре тысячи двести тридцать долларов США, 80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четыре тысячи двести тридцать долларов США, 80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четыре тысячи двести тридцать долларов США, 80 центов.</v>
      </c>
    </row>
    <row r="6" spans="1:19" s="36" customFormat="1">
      <c r="A6" s="38" t="s">
        <v>37</v>
      </c>
      <c r="B6" s="36" t="str">
        <f>CONCATENATE(A8,A9,A10,A11,A12,B8,B9,C9)</f>
        <v>четыре тысячи двести тридцать долларов США, 80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124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|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|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 xml:space="preserve">двести тридцать долларов США, 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80 центов.</v>
      </c>
      <c r="D12" s="47"/>
      <c r="E12" s="48"/>
      <c r="M12" s="50">
        <f ca="1">TODAY()</f>
        <v>45907</v>
      </c>
    </row>
    <row r="13" spans="1:19" s="43" customFormat="1">
      <c r="A13" s="49"/>
      <c r="D13" s="51"/>
      <c r="E13" s="52">
        <f>TRUNC(E2)</f>
        <v>4230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>
      <c r="A28" s="54">
        <f>TRUNC(A29/10)</f>
        <v>423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>
      <c r="A29" s="54">
        <f>E13</f>
        <v>4230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230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2025-09-07T16:24:11Z</cp:lastPrinted>
  <dcterms:created xsi:type="dcterms:W3CDTF">1996-10-14T23:33:28Z</dcterms:created>
  <dcterms:modified xsi:type="dcterms:W3CDTF">2025-09-07T16:24:14Z</dcterms:modified>
</cp:coreProperties>
</file>