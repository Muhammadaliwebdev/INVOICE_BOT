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D37" i="7"/>
  <c r="H37" l="1"/>
  <c r="I31" i="4" l="1"/>
  <c r="G31"/>
  <c r="F31"/>
  <c r="B31"/>
  <c r="C31"/>
  <c r="D31"/>
  <c r="G20" i="7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14"/>
  <c r="A6"/>
  <c r="A7"/>
  <c r="A8"/>
  <c r="A9"/>
  <c r="A10"/>
  <c r="A5"/>
  <c r="C2"/>
  <c r="C31" l="1"/>
  <c r="C30"/>
  <c r="A31"/>
  <c r="B31"/>
  <c r="D31"/>
  <c r="E31"/>
  <c r="F31"/>
  <c r="G31"/>
  <c r="H31"/>
  <c r="I31"/>
  <c r="I30"/>
  <c r="H30"/>
  <c r="F30"/>
  <c r="G30"/>
  <c r="E30"/>
  <c r="D30"/>
  <c r="B30"/>
  <c r="A30"/>
  <c r="E26"/>
  <c r="C24"/>
  <c r="F1"/>
  <c r="G32" l="1"/>
  <c r="E32"/>
  <c r="H32" l="1"/>
  <c r="E32" i="2" l="1"/>
  <c r="G32" l="1"/>
  <c r="H32"/>
  <c r="G21" i="5"/>
  <c r="G19"/>
  <c r="J21"/>
  <c r="F21"/>
  <c r="F20"/>
  <c r="F19"/>
  <c r="F18"/>
  <c r="J19"/>
  <c r="G30" i="4"/>
  <c r="G20" i="5"/>
  <c r="I30" i="4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1" i="2"/>
  <c r="J30"/>
  <c r="M30" l="1"/>
  <c r="M30" i="7" s="1"/>
  <c r="J30"/>
  <c r="M31" i="2"/>
  <c r="M31" i="7" s="1"/>
  <c r="J31"/>
  <c r="J32" i="2"/>
  <c r="S3" i="3"/>
  <c r="S4"/>
  <c r="P3"/>
  <c r="R3"/>
  <c r="Q3" l="1"/>
  <c r="K4" s="1"/>
  <c r="J32" i="7"/>
  <c r="M32"/>
  <c r="M32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<sst xmlns="http://schemas.openxmlformats.org/spreadsheetml/2006/main" count="212" uniqueCount="162">
  <si>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</si>
  <si>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</si>
  <si>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</si>
  <si>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</si>
  <si>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</si>
  <si>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</si>
  <si>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</si>
  <si>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</si>
  <si>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</si>
  <si>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</si>
  <si>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</si>
  <si>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</si>
  <si>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</si>
  <si>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</si>
  <si>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</si>
  <si>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</si>
  <si>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</si>
  <si>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</si>
  <si>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</si>
  <si>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</si>
  <si>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</si>
  <si>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</si>
  <si>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</si>
  <si>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</si>
  <si>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</si>
  <si>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</si>
  <si>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</si>
  <si>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</si>
  <si>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</si>
  <si>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</si>
  <si>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</si>
  <si>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</si>
  <si>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</si>
  <si>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</si>
  <si>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</si>
  <si>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</si>
  <si>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</si>
  <si>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</si>
  <si>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</si>
  <si>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</si>
  <si>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</si>
  <si>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</si>
  <si>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</si>
  <si>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</si>
  <si>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</si>
  <si>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</si>
  <si>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</si>
  <si>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</si>
  <si>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</si>
  <si>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</si>
  <si>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</si>
  <si>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</si>
  <si>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</si>
  <si>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</si>
  <si>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</si>
  <si>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</si>
  <si>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</si>
  <si>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</si>
  <si>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</si>
  <si>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</si>
  <si>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</si>
  <si>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</si>
  <si>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</si>
  <si>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</si>
  <si>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</si>
  <si>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</si>
  <si>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</si>
  <si>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</si>
  <si>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</si>
  <si>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</si>
  <si>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</si>
  <si>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</si>
  <si>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</si>
  <si>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</si>
  <si>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</si>
  <si>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</si>
  <si>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</si>
  <si>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</si>
  <si>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</si>
  <si>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</si>
  <si>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</si>
  <si>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</si>
  <si>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</si>
  <si>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</si>
  <si>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</si>
  <si>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</si>
  <si>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</si>
  <si>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</si>
  <si>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</si>
  <si>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</si>
  <si>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</si>
  <si>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</si>
  <si>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</si>
  <si>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</si>
  <si>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</si>
  <si>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</si>
  <si>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</si>
  <si>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</si>
  <si>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</si>
  <si>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</si>
  <si>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</si>
  <si>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</si>
  <si>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</si>
  <si>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</si>
  <si>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</si>
  <si>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</si>
  <si>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</si>
  <si>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</si>
  <si>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</si>
  <si>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</si>
  <si>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</si>
  <si>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</si>
  <si>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</si>
  <si>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</si>
  <si>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</si>
  <si>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</si>
  <si>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</si>
  <si>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</si>
  <si>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</si>
  <si>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</si>
  <si>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</si>
  <si>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</si>
  <si>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</si>
  <si>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</si>
  <si>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</si>
  <si>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</si>
  <si>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</si>
  <si>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</si>
  <si>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</si>
  <si>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</si>
  <si>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</si>
  <si>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</si>
  <si>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</si>
  <si>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</si>
  <si>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</si>
  <si>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Хурма свежая</t>
  </si>
  <si>
    <t>0810700009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</si>
  <si>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</si>
  <si>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</si>
  <si>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</si>
  <si>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</si>
  <si>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</si>
  <si>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</si>
  <si>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</si>
  <si>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</si>
  <si>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</si>
  <si>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</si>
  <si>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</si>
  <si>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</si>
  <si>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</si>
  <si>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ILICH</t>
  </si>
  <si>
    <t>YALLAMA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</si>
  <si>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</si>
  <si>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</si>
  <si>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</si>
  <si>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</si>
  <si>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</si>
  <si>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</si>
  <si>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MEG-F-33 от </t>
  </si>
  <si>
    <t xml:space="preserve"> 06.09.2025г.</t>
  </si>
  <si>
    <t>40085JCA/400546CA</t>
  </si>
  <si>
    <t xml:space="preserve">СПЕЦИФИКАЦИЯ № MEG-F-33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</si>
</sst>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38</xdr:row>
      <xdr:rowOff>33618</xdr:rowOff>
    </xdr:from>
    <xdr:to>
      <xdr:col>3</xdr:col>
      <xdr:colOff>224118</xdr:colOff>
      <xdr:row>50</xdr:row>
      <xdr:rowOff>22094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38</xdr:row>
      <xdr:rowOff>100855</xdr:rowOff>
    </xdr:from>
    <xdr:to>
      <xdr:col>4</xdr:col>
      <xdr:colOff>389833</xdr:colOff>
      <xdr:row>40</xdr:row>
      <xdr:rowOff>151841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38</xdr:row>
      <xdr:rowOff>22412</xdr:rowOff>
    </xdr:from>
    <xdr:to>
      <xdr:col>2</xdr:col>
      <xdr:colOff>392207</xdr:colOff>
      <xdr:row>50</xdr:row>
      <xdr:rowOff>10888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38</xdr:row>
      <xdr:rowOff>89649</xdr:rowOff>
    </xdr:from>
    <xdr:to>
      <xdr:col>3</xdr:col>
      <xdr:colOff>546715</xdr:colOff>
      <xdr:row>40</xdr:row>
      <xdr:rowOff>140635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358588</xdr:colOff>
      <xdr:row>37</xdr:row>
      <xdr:rowOff>67235</xdr:rowOff>
    </xdr:from>
    <xdr:to>
      <xdr:col>9</xdr:col>
      <xdr:colOff>545166</xdr:colOff>
      <xdr:row>48</xdr:row>
      <xdr:rowOff>151371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418C2705-2704-4D5B-A320-AF56A2A8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3147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3" t="s">
        <v>158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5" t="s">
        <v>137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>
      <c r="A5" s="154" t="s">
        <v>127</v>
      </c>
      <c r="B5" s="154"/>
      <c r="C5" s="154"/>
      <c r="D5" s="154"/>
      <c r="E5" s="154"/>
      <c r="F5" s="6"/>
      <c r="G5" s="147" t="s">
        <v>138</v>
      </c>
      <c r="H5" s="147"/>
      <c r="I5" s="147"/>
      <c r="J5" s="147"/>
      <c r="K5" s="147"/>
      <c r="L5" s="147"/>
      <c r="M5" s="147"/>
    </row>
    <row r="6" spans="1:15" ht="15">
      <c r="A6" s="126" t="s">
        <v>128</v>
      </c>
      <c r="B6" s="125"/>
      <c r="C6" s="125"/>
      <c r="D6" s="125"/>
      <c r="E6" s="125"/>
      <c r="F6" s="7"/>
      <c r="G6" s="142" t="s">
        <v>139</v>
      </c>
      <c r="H6" s="142"/>
      <c r="I6" s="142"/>
      <c r="J6" s="142"/>
      <c r="K6" s="142"/>
      <c r="L6" s="142"/>
      <c r="M6" s="142"/>
      <c r="N6" s="4"/>
    </row>
    <row r="7" spans="1:15" ht="15">
      <c r="A7" s="126" t="s">
        <v>133</v>
      </c>
      <c r="B7" s="125"/>
      <c r="C7" s="125"/>
      <c r="D7" s="125"/>
      <c r="E7" s="125"/>
      <c r="F7" s="63"/>
      <c r="G7" s="142" t="s">
        <v>140</v>
      </c>
      <c r="H7" s="142"/>
      <c r="I7" s="142"/>
      <c r="J7" s="142"/>
      <c r="K7" s="142"/>
      <c r="L7" s="142"/>
      <c r="M7" s="142"/>
    </row>
    <row r="8" spans="1:15" ht="15" customHeight="1">
      <c r="A8" s="8" t="s">
        <v>130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>
      <c r="A9" s="8" t="s">
        <v>129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131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>
      <c r="A11" s="8"/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>
      <c r="A12" s="99"/>
      <c r="B12" s="8"/>
      <c r="C12" s="8"/>
      <c r="D12" s="8"/>
      <c r="E12" s="8"/>
      <c r="F12" s="7"/>
      <c r="G12" s="143" t="s">
        <v>145</v>
      </c>
      <c r="H12" s="143"/>
      <c r="I12" s="143"/>
      <c r="J12" s="143"/>
      <c r="K12" s="143"/>
      <c r="L12" s="143"/>
      <c r="M12" s="143"/>
    </row>
    <row r="13" spans="1:15" ht="24" customHeight="1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>
      <c r="A14" s="154" t="s">
        <v>127</v>
      </c>
      <c r="B14" s="154"/>
      <c r="C14" s="154"/>
      <c r="D14" s="154"/>
      <c r="E14" s="154"/>
      <c r="F14" s="6"/>
      <c r="G14" s="147" t="s">
        <v>138</v>
      </c>
      <c r="H14" s="147"/>
      <c r="I14" s="147"/>
      <c r="J14" s="147"/>
      <c r="K14" s="147"/>
      <c r="L14" s="147"/>
      <c r="M14" s="147"/>
    </row>
    <row r="15" spans="1:15" ht="13.9" customHeight="1">
      <c r="A15" s="126" t="s">
        <v>128</v>
      </c>
      <c r="B15" s="125"/>
      <c r="C15" s="125"/>
      <c r="D15" s="125"/>
      <c r="E15" s="125"/>
      <c r="F15" s="7"/>
      <c r="G15" s="142" t="s">
        <v>139</v>
      </c>
      <c r="H15" s="142"/>
      <c r="I15" s="142"/>
      <c r="J15" s="142"/>
      <c r="K15" s="142"/>
      <c r="L15" s="142"/>
      <c r="M15" s="142"/>
    </row>
    <row r="16" spans="1:15" ht="15">
      <c r="A16" s="126" t="s">
        <v>133</v>
      </c>
      <c r="B16" s="125"/>
      <c r="C16" s="125"/>
      <c r="D16" s="125"/>
      <c r="E16" s="125"/>
      <c r="F16" s="63"/>
      <c r="G16" s="142" t="s">
        <v>140</v>
      </c>
      <c r="H16" s="142"/>
      <c r="I16" s="142"/>
      <c r="J16" s="142"/>
      <c r="K16" s="142"/>
      <c r="L16" s="142"/>
      <c r="M16" s="142"/>
    </row>
    <row r="17" spans="1:17" ht="15" customHeight="1">
      <c r="A17" s="8" t="s">
        <v>130</v>
      </c>
      <c r="B17" s="8"/>
      <c r="C17" s="8"/>
      <c r="D17" s="8"/>
      <c r="E17" s="8"/>
      <c r="F17" s="63"/>
      <c r="G17" s="7" t="s">
        <v>141</v>
      </c>
      <c r="H17" s="23"/>
      <c r="I17" s="23"/>
      <c r="J17" s="23"/>
      <c r="K17" s="23"/>
      <c r="L17" s="23"/>
      <c r="M17" s="23"/>
    </row>
    <row r="18" spans="1:17" ht="15">
      <c r="A18" s="8" t="s">
        <v>129</v>
      </c>
      <c r="B18" s="8"/>
      <c r="C18" s="8"/>
      <c r="D18" s="8"/>
      <c r="E18" s="8"/>
      <c r="F18" s="7"/>
      <c r="G18" s="7" t="s">
        <v>142</v>
      </c>
      <c r="H18" s="23"/>
      <c r="I18" s="23"/>
      <c r="J18" s="23"/>
      <c r="K18" s="23"/>
      <c r="L18" s="23"/>
      <c r="M18" s="23"/>
    </row>
    <row r="19" spans="1:17" ht="15">
      <c r="A19" s="125" t="s">
        <v>131</v>
      </c>
      <c r="B19" s="125"/>
      <c r="C19" s="125"/>
      <c r="D19" s="125"/>
      <c r="E19" s="125"/>
      <c r="F19" s="7"/>
      <c r="G19" s="7" t="s">
        <v>143</v>
      </c>
      <c r="H19" s="23"/>
      <c r="I19" s="23"/>
      <c r="J19" s="23"/>
      <c r="K19" s="23"/>
      <c r="L19" s="23"/>
      <c r="M19" s="23"/>
    </row>
    <row r="20" spans="1:17" ht="15">
      <c r="A20" s="8"/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5">
      <c r="A21" s="99"/>
      <c r="B21" s="8"/>
      <c r="C21" s="8"/>
      <c r="D21" s="8"/>
      <c r="E21" s="8"/>
      <c r="G21" s="143" t="s">
        <v>145</v>
      </c>
      <c r="H21" s="143"/>
      <c r="I21" s="143"/>
      <c r="J21" s="143"/>
      <c r="K21" s="143"/>
      <c r="L21" s="143"/>
      <c r="M21" s="143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9" t="s">
        <v>124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75">
      <c r="A24" s="20" t="s">
        <v>22</v>
      </c>
      <c r="C24" s="18" t="s">
        <v>156</v>
      </c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>
      <c r="A27" s="67" t="s">
        <v>110</v>
      </c>
      <c r="C27" s="18"/>
      <c r="E27" s="22"/>
      <c r="F27" s="22"/>
      <c r="G27" s="22"/>
      <c r="J27" s="21"/>
    </row>
    <row r="28" spans="1:17" ht="24" customHeight="1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2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15">
      <c r="A30" s="128">
        <v>1</v>
      </c>
      <c r="B30" s="101" t="s">
        <v>135</v>
      </c>
      <c r="C30" s="107" t="s">
        <v>136</v>
      </c>
      <c r="D30" s="109" t="s">
        <v>113</v>
      </c>
      <c r="E30" s="101">
        <v>2363</v>
      </c>
      <c r="F30" s="110" t="s">
        <v>27</v>
      </c>
      <c r="G30" s="106">
        <v>21740</v>
      </c>
      <c r="H30" s="106">
        <v>18432</v>
      </c>
      <c r="I30" s="108">
        <v>3.05</v>
      </c>
      <c r="J30" s="13">
        <f t="shared" ref="J30:J31" si="0">H30*I30</f>
        <v>56217.599999999999</v>
      </c>
      <c r="K30" s="12">
        <v>0</v>
      </c>
      <c r="L30" s="12">
        <v>0</v>
      </c>
      <c r="M30" s="13">
        <f t="shared" ref="M30:M31" si="1">J30</f>
        <v>56217.599999999999</v>
      </c>
      <c r="O30" s="100"/>
      <c r="Q30" s="100"/>
    </row>
    <row r="31" spans="1:17" ht="30">
      <c r="A31" s="128">
        <v>2</v>
      </c>
      <c r="B31" s="101" t="s">
        <v>135</v>
      </c>
      <c r="C31" s="107" t="s">
        <v>136</v>
      </c>
      <c r="D31" s="109" t="s">
        <v>111</v>
      </c>
      <c r="E31" s="101">
        <v>104</v>
      </c>
      <c r="F31" s="116" t="s">
        <v>27</v>
      </c>
      <c r="G31" s="106">
        <v>1040</v>
      </c>
      <c r="H31" s="106">
        <v>967</v>
      </c>
      <c r="I31" s="108">
        <v>3.05</v>
      </c>
      <c r="J31" s="13">
        <f t="shared" si="0"/>
        <v>2949.35</v>
      </c>
      <c r="K31" s="12">
        <v>0</v>
      </c>
      <c r="L31" s="12">
        <v>0</v>
      </c>
      <c r="M31" s="13">
        <f t="shared" si="1"/>
        <v>2949.35</v>
      </c>
      <c r="O31" s="100"/>
      <c r="Q31" s="100"/>
    </row>
    <row r="32" spans="1:17" ht="14.25">
      <c r="A32" s="150" t="s">
        <v>0</v>
      </c>
      <c r="B32" s="151"/>
      <c r="C32" s="14"/>
      <c r="D32" s="15"/>
      <c r="E32" s="64">
        <f>SUM(E30:E31)</f>
        <v>2467</v>
      </c>
      <c r="F32" s="15"/>
      <c r="G32" s="64">
        <f>SUM(G30:G31)</f>
        <v>22780</v>
      </c>
      <c r="H32" s="64">
        <f>SUM(H30:H31)</f>
        <v>19399</v>
      </c>
      <c r="I32" s="102"/>
      <c r="J32" s="17">
        <f>SUM(J30:J31)</f>
        <v>59166.95</v>
      </c>
      <c r="K32" s="16"/>
      <c r="L32" s="16"/>
      <c r="M32" s="17">
        <f>SUM(M30:M31)</f>
        <v>59166.95</v>
      </c>
      <c r="P32" s="66"/>
    </row>
    <row r="33" spans="1:14" ht="13.5">
      <c r="A33" s="2" t="s">
        <v>17</v>
      </c>
      <c r="B33" s="3"/>
      <c r="C33" s="11"/>
      <c r="D33" s="11"/>
      <c r="E33" s="148" t="str">
        <f>Лист1!B3</f>
        <v>пятьдесят девять тысяч сто шестьдесят шесть долларов США, 95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5">
      <c r="A37" s="7" t="s">
        <v>28</v>
      </c>
      <c r="B37" s="7"/>
      <c r="D37" s="25" t="s">
        <v>132</v>
      </c>
      <c r="E37" s="24"/>
    </row>
    <row r="38" spans="1:14" ht="15">
      <c r="A38" s="7"/>
      <c r="B38" s="9"/>
    </row>
    <row r="39" spans="1:14" ht="15">
      <c r="A39" s="7" t="s">
        <v>18</v>
      </c>
      <c r="B39" s="9"/>
    </row>
    <row r="40" spans="1:14" ht="15">
      <c r="A40" s="7"/>
      <c r="B40" s="9"/>
    </row>
    <row r="41" spans="1:14" ht="15">
      <c r="A41" s="7" t="s">
        <v>29</v>
      </c>
      <c r="B41" s="9"/>
    </row>
    <row r="42" spans="1:14" ht="15">
      <c r="A42" s="8"/>
      <c r="B42" s="9"/>
    </row>
    <row r="43" spans="1:14">
      <c r="A43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5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0" zoomScale="115" zoomScaleNormal="115" workbookViewId="0">
      <selection activeCell="A32" sqref="A32:XFD39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ООО «MEGA EXIMPORT»</v>
      </c>
    </row>
    <row r="3" spans="1:11" ht="11.25" customHeight="1">
      <c r="B3" s="70" t="str">
        <f>+Инвойс!A6</f>
        <v xml:space="preserve">Республика Узбекистан, Ферганская область, </v>
      </c>
    </row>
    <row r="4" spans="1:11" ht="11.25" customHeight="1">
      <c r="B4" s="70" t="str">
        <f>+Инвойс!A7</f>
        <v>Кува Район, Гулобод МФЙ, Сарбоз улитца</v>
      </c>
    </row>
    <row r="5" spans="1:11" ht="12.75" customHeight="1"/>
    <row r="6" spans="1:11" ht="26.25" customHeight="1"/>
    <row r="7" spans="1:11" ht="12" customHeight="1">
      <c r="B7" s="70" t="str">
        <f>+Инвойс!G14</f>
        <v>ООО «ГРИН ВОРЛД»</v>
      </c>
    </row>
    <row r="8" spans="1:11">
      <c r="B8" s="70" t="str">
        <f>+Инвойс!G15</f>
        <v xml:space="preserve">454106, ЧЕЛЯБИНСКАЯ ОБЛАСТЬ, Г ЧЕЛЯБИНСК, </v>
      </c>
    </row>
    <row r="9" spans="1:11" ht="12.75" customHeight="1">
      <c r="B9" s="70" t="str">
        <f>+Инвойс!G16</f>
        <v>УЛ ОСТРОВСКОГО, Д. 36, КВ. 176</v>
      </c>
    </row>
    <row r="10" spans="1:11" ht="13.5" customHeight="1"/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108</v>
      </c>
    </row>
    <row r="15" spans="1:11" ht="7.5" hidden="1" customHeight="1"/>
    <row r="16" spans="1:11" ht="12" customHeight="1">
      <c r="B16" s="70" t="s">
        <v>126</v>
      </c>
    </row>
    <row r="17" spans="1:9" ht="25.5" customHeight="1"/>
    <row r="18" spans="1:9" ht="13.5" customHeight="1">
      <c r="A18" s="70" t="s">
        <v>92</v>
      </c>
      <c r="B18" s="70" t="s">
        <v>147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6" t="str">
        <f>+CONCATENATE(Инвойс!C1,Инвойс!F1)</f>
        <v>ИНВОЙС № MEG-F-33 от  06.09.2025г.</v>
      </c>
      <c r="C24" s="156"/>
      <c r="D24" s="156"/>
      <c r="E24" s="73"/>
      <c r="F24" s="73"/>
      <c r="G24" s="73"/>
      <c r="H24" s="73"/>
      <c r="I24" s="73"/>
    </row>
    <row r="25" spans="1:9">
      <c r="B25" s="157" t="s">
        <v>106</v>
      </c>
      <c r="C25" s="157"/>
      <c r="D25" s="157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2363</v>
      </c>
      <c r="D30" s="103" t="str">
        <f>+Инвойс!D30</f>
        <v>Дер. ящик</v>
      </c>
      <c r="E30" s="103"/>
      <c r="F30" s="103" t="str">
        <f>+Инвойс!B30</f>
        <v>Хурма свежая</v>
      </c>
      <c r="G30" s="104" t="str">
        <f>+Инвойс!C30</f>
        <v>0810700009</v>
      </c>
      <c r="H30" s="103"/>
      <c r="I30" s="105">
        <f>+Инвойс!G30</f>
        <v>21740</v>
      </c>
    </row>
    <row r="31" spans="1:9" ht="9" customHeight="1">
      <c r="A31" s="74"/>
      <c r="B31" s="103">
        <f>+Инвойс!A31</f>
        <v>2</v>
      </c>
      <c r="C31" s="103">
        <f>+Инвойс!E31</f>
        <v>104</v>
      </c>
      <c r="D31" s="103" t="str">
        <f>+Инвойс!D31</f>
        <v>Пласт. ящик</v>
      </c>
      <c r="E31" s="103"/>
      <c r="F31" s="103" t="str">
        <f>+Инвойс!B31</f>
        <v>Хурма свежая</v>
      </c>
      <c r="G31" s="104" t="str">
        <f>+Инвойс!C31</f>
        <v>0810700009</v>
      </c>
      <c r="H31" s="103"/>
      <c r="I31" s="105">
        <f>+Инвойс!G31</f>
        <v>1040</v>
      </c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>
      <c r="B46" s="158"/>
      <c r="C46" s="158"/>
      <c r="D46" s="158"/>
    </row>
    <row r="47" spans="1:9" ht="21" customHeight="1"/>
    <row r="48" spans="1:9" ht="17.25" customHeight="1"/>
    <row r="49" spans="1:6" ht="27" customHeight="1">
      <c r="B49" s="70" t="s">
        <v>148</v>
      </c>
      <c r="D49" s="159" t="str">
        <f>+C22</f>
        <v xml:space="preserve"> 06.09.2025г.</v>
      </c>
      <c r="E49" s="159"/>
      <c r="F49" s="159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40085JCA/400546CA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4" zoomScaleNormal="100" workbookViewId="0">
      <selection activeCell="A22" sqref="A22:XFD37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7" t="s">
        <v>96</v>
      </c>
      <c r="C2" s="167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8" t="str">
        <f>+Инвойс!E26</f>
        <v>40085JCA/400546CA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06.09.2025г.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MEG-F-33 от  06.09.2025г.</v>
      </c>
      <c r="I15" s="170"/>
      <c r="J15" s="170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2363</v>
      </c>
      <c r="G18" s="162" t="str">
        <f>+CMR!F30</f>
        <v>Хурма свежая</v>
      </c>
      <c r="H18" s="162"/>
      <c r="I18" s="119"/>
      <c r="J18" s="120"/>
    </row>
    <row r="19" spans="2:10" ht="11.25" customHeight="1">
      <c r="B19" s="91"/>
      <c r="E19" s="117"/>
      <c r="F19" s="121" t="str">
        <f>+Инвойс!D30</f>
        <v>Дер. ящик</v>
      </c>
      <c r="G19" s="160" t="str">
        <f>+Инвойс!C30</f>
        <v>0810700009</v>
      </c>
      <c r="H19" s="161"/>
      <c r="I19" s="122" t="s">
        <v>103</v>
      </c>
      <c r="J19" s="120">
        <f>+Инвойс!G30</f>
        <v>21740</v>
      </c>
    </row>
    <row r="20" spans="2:10" ht="13.5" customHeight="1">
      <c r="B20" s="83"/>
      <c r="E20" s="123"/>
      <c r="F20" s="118">
        <f>+Инвойс!E31</f>
        <v>104</v>
      </c>
      <c r="G20" s="162" t="str">
        <f>+CMR!F31</f>
        <v>Хурма свежая</v>
      </c>
      <c r="H20" s="162"/>
      <c r="I20" s="119"/>
      <c r="J20" s="120"/>
    </row>
    <row r="21" spans="2:10" ht="13.5" customHeight="1">
      <c r="B21" s="83" t="s">
        <v>104</v>
      </c>
      <c r="E21" s="123"/>
      <c r="F21" s="121" t="str">
        <f>+Инвойс!D31</f>
        <v>Пласт. ящик</v>
      </c>
      <c r="G21" s="160" t="str">
        <f>+Инвойс!C31</f>
        <v>0810700009</v>
      </c>
      <c r="H21" s="161"/>
      <c r="I21" s="122" t="s">
        <v>103</v>
      </c>
      <c r="J21" s="120">
        <f>+Инвойс!G31</f>
        <v>1040</v>
      </c>
    </row>
    <row r="22" spans="2:10" ht="12.75" customHeight="1">
      <c r="B22" s="83"/>
      <c r="E22" s="123"/>
      <c r="F22" s="118"/>
      <c r="G22" s="162"/>
      <c r="H22" s="162"/>
      <c r="I22" s="119"/>
      <c r="J22" s="120"/>
    </row>
    <row r="23" spans="2:10" ht="14.25" customHeight="1">
      <c r="B23" s="83"/>
      <c r="E23" s="123"/>
      <c r="F23" s="121"/>
      <c r="G23" s="160"/>
      <c r="H23" s="161"/>
      <c r="I23" s="122"/>
      <c r="J23" s="120"/>
    </row>
    <row r="24" spans="2:10" ht="12.75" customHeight="1">
      <c r="B24" s="87"/>
      <c r="E24" s="123"/>
      <c r="F24" s="118"/>
      <c r="G24" s="162"/>
      <c r="H24" s="162"/>
      <c r="I24" s="119"/>
      <c r="J24" s="120"/>
    </row>
    <row r="25" spans="2:10" ht="12.75" customHeight="1">
      <c r="B25" s="87"/>
      <c r="E25" s="123"/>
      <c r="F25" s="121"/>
      <c r="G25" s="160"/>
      <c r="H25" s="161"/>
      <c r="I25" s="122"/>
      <c r="J25" s="120"/>
    </row>
    <row r="26" spans="2:10" ht="12" customHeight="1">
      <c r="B26" s="87"/>
      <c r="E26" s="123"/>
      <c r="F26" s="118"/>
      <c r="G26" s="162"/>
      <c r="H26" s="162"/>
      <c r="I26" s="119"/>
      <c r="J26" s="120"/>
    </row>
    <row r="27" spans="2:10" ht="14.25" customHeight="1">
      <c r="B27" s="87"/>
      <c r="E27" s="123"/>
      <c r="F27" s="121"/>
      <c r="G27" s="160"/>
      <c r="H27" s="161"/>
      <c r="I27" s="122"/>
      <c r="J27" s="120"/>
    </row>
    <row r="28" spans="2:10" ht="12.75" customHeight="1">
      <c r="B28" s="87"/>
      <c r="E28" s="123"/>
      <c r="F28" s="118"/>
      <c r="G28" s="162"/>
      <c r="H28" s="162"/>
      <c r="I28" s="119"/>
      <c r="J28" s="120"/>
    </row>
    <row r="29" spans="2:10" ht="12.75" customHeight="1">
      <c r="B29" s="87"/>
      <c r="E29" s="123"/>
      <c r="F29" s="121"/>
      <c r="G29" s="160"/>
      <c r="H29" s="161"/>
      <c r="I29" s="122"/>
      <c r="J29" s="120"/>
    </row>
    <row r="30" spans="2:10" ht="12.75" customHeight="1">
      <c r="B30" s="87"/>
      <c r="E30" s="123"/>
      <c r="F30" s="118"/>
      <c r="G30" s="162"/>
      <c r="H30" s="162"/>
      <c r="I30" s="119"/>
      <c r="J30" s="120"/>
    </row>
    <row r="31" spans="2:10" ht="13.5" customHeight="1">
      <c r="B31" s="87"/>
      <c r="E31" s="123"/>
      <c r="F31" s="121"/>
      <c r="G31" s="160"/>
      <c r="H31" s="161"/>
      <c r="I31" s="122"/>
      <c r="J31" s="120"/>
    </row>
    <row r="32" spans="2:10" ht="13.5" customHeight="1">
      <c r="B32" s="87"/>
      <c r="E32" s="123"/>
      <c r="F32" s="118"/>
      <c r="G32" s="162"/>
      <c r="H32" s="162"/>
      <c r="I32" s="119"/>
      <c r="J32" s="120"/>
    </row>
    <row r="33" spans="2:10" ht="13.5" customHeight="1">
      <c r="B33" s="87"/>
      <c r="E33" s="123"/>
      <c r="F33" s="121"/>
      <c r="G33" s="160"/>
      <c r="H33" s="161"/>
      <c r="I33" s="122"/>
      <c r="J33" s="120"/>
    </row>
    <row r="34" spans="2:10" ht="13.5" customHeight="1">
      <c r="B34" s="87"/>
      <c r="E34" s="123"/>
      <c r="F34" s="118"/>
      <c r="G34" s="162"/>
      <c r="H34" s="162"/>
      <c r="I34" s="119"/>
      <c r="J34" s="120"/>
    </row>
    <row r="35" spans="2:10" ht="12.75" customHeight="1">
      <c r="B35" s="87"/>
      <c r="E35" s="123"/>
      <c r="F35" s="121"/>
      <c r="G35" s="160"/>
      <c r="H35" s="161"/>
      <c r="I35" s="122"/>
      <c r="J35" s="120"/>
    </row>
    <row r="36" spans="2:10">
      <c r="B36" s="87"/>
      <c r="E36" s="123"/>
      <c r="F36" s="118"/>
      <c r="G36" s="162"/>
      <c r="H36" s="162"/>
      <c r="I36" s="119"/>
      <c r="J36" s="120"/>
    </row>
    <row r="37" spans="2:10" ht="13.5" customHeight="1">
      <c r="B37" s="87"/>
      <c r="E37" s="123"/>
      <c r="F37" s="121"/>
      <c r="G37" s="160"/>
      <c r="H37" s="161"/>
      <c r="I37" s="122"/>
      <c r="J37" s="120"/>
    </row>
    <row r="38" spans="2:10">
      <c r="B38" s="87"/>
      <c r="E38" s="123"/>
      <c r="F38" s="118"/>
      <c r="G38" s="162"/>
      <c r="H38" s="162"/>
      <c r="I38" s="119"/>
      <c r="J38" s="120"/>
    </row>
    <row r="39" spans="2:10" ht="13.5" customHeight="1">
      <c r="B39" s="87"/>
      <c r="E39" s="123"/>
      <c r="F39" s="121"/>
      <c r="G39" s="160"/>
      <c r="H39" s="161"/>
      <c r="I39" s="122"/>
      <c r="J39" s="120"/>
    </row>
    <row r="40" spans="2:10" ht="14.25" hidden="1" customHeight="1">
      <c r="B40" s="87"/>
      <c r="E40" s="123"/>
      <c r="F40" s="118"/>
      <c r="G40" s="162"/>
      <c r="H40" s="162"/>
      <c r="I40" s="119"/>
      <c r="J40" s="120"/>
    </row>
    <row r="41" spans="2:10" ht="14.25" hidden="1" customHeight="1">
      <c r="B41" s="87"/>
      <c r="E41" s="123"/>
      <c r="F41" s="121"/>
      <c r="G41" s="160"/>
      <c r="H41" s="161"/>
      <c r="I41" s="122"/>
      <c r="J41" s="120"/>
    </row>
    <row r="42" spans="2:10" hidden="1">
      <c r="B42" s="87"/>
      <c r="E42" s="123"/>
      <c r="F42" s="118"/>
      <c r="G42" s="162"/>
      <c r="H42" s="162"/>
      <c r="I42" s="119"/>
      <c r="J42" s="120"/>
    </row>
    <row r="43" spans="2:10">
      <c r="B43" s="87"/>
      <c r="E43" s="123"/>
      <c r="F43" s="121"/>
      <c r="G43" s="160"/>
      <c r="H43" s="161"/>
      <c r="I43" s="122"/>
      <c r="J43" s="120"/>
    </row>
    <row r="44" spans="2:10" ht="9" customHeight="1">
      <c r="B44" s="87"/>
      <c r="E44" s="95"/>
      <c r="F44" s="92"/>
      <c r="G44" s="164"/>
      <c r="H44" s="164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5">
        <f>+F18+F20+F22+F24+F26+F28+F30+F32+F34+F36+F38+F40+F42</f>
        <v>2467</v>
      </c>
      <c r="E47" s="166"/>
    </row>
    <row r="48" spans="2:10" ht="17.25" customHeight="1">
      <c r="B48" s="163" t="s">
        <v>105</v>
      </c>
      <c r="C48" s="163"/>
      <c r="D48" s="163"/>
      <c r="E48" s="163"/>
    </row>
    <row r="49" spans="2:5" ht="21.75" customHeight="1">
      <c r="B49" s="163"/>
      <c r="C49" s="163"/>
      <c r="D49" s="163"/>
      <c r="E49" s="163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3"/>
  <sheetViews>
    <sheetView zoomScale="85" zoomScaleNormal="85" workbookViewId="0">
      <selection activeCell="P26" sqref="P26:P27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1" t="s">
        <v>161</v>
      </c>
      <c r="C1" s="171"/>
      <c r="D1" s="171"/>
      <c r="E1" s="171"/>
      <c r="F1" s="152" t="str">
        <f>+Инвойс!F1</f>
        <v xml:space="preserve"> 06.09.2025г.</v>
      </c>
      <c r="G1" s="152"/>
      <c r="H1" s="152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5" t="str">
        <f>+Инвойс!C2</f>
        <v>к контракту № GR-MG-01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>
      <c r="A5" s="154" t="str">
        <f>+Инвойс!A5</f>
        <v>ООО «MEGA EXIMPORT»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>
      <c r="A6" s="174" t="str">
        <f>+Инвойс!A6</f>
        <v xml:space="preserve">Республика Узбекистан, Ферганская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>
      <c r="A7" s="174" t="str">
        <f>+Инвойс!A7</f>
        <v>Кува Район, Гулобод МФЙ, Сарбоз улитца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>
      <c r="A8" s="174" t="str">
        <f>+Инвойс!A8</f>
        <v xml:space="preserve">Р/с N 20208840607249418001   (USD)    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>
      <c r="A9" s="174" t="str">
        <f>+Инвойс!A9</f>
        <v xml:space="preserve">в АКБ «KAPITAL BANK» МФО: 01088 Swift: KACHUZ22  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>
      <c r="A10" s="174" t="str">
        <f>+Инвойс!A10</f>
        <v xml:space="preserve"> ИНН: 312169146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>
      <c r="A11" s="174"/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>
      <c r="A14" s="154" t="str">
        <f>+Инвойс!A14</f>
        <v>ООО «MEGA EXIMPORT»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>
      <c r="A15" s="174" t="str">
        <f>+Инвойс!A15</f>
        <v xml:space="preserve">Республика Узбекистан, Ферганская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>
      <c r="A16" s="174" t="str">
        <f>+Инвойс!A16</f>
        <v>Кува Район, Гулобод МФЙ, Сарбоз улитца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>
      <c r="A17" s="174" t="str">
        <f>+Инвойс!A17</f>
        <v xml:space="preserve">Р/с N 20208840607249418001   (USD)    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>
      <c r="A18" s="174" t="str">
        <f>+Инвойс!A18</f>
        <v xml:space="preserve">в АКБ «KAPITAL BANK» МФО: 01088 Swift: KACHUZ22  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>
      <c r="A19" s="174" t="str">
        <f>+Инвойс!A19</f>
        <v xml:space="preserve"> ИНН: 312169146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>
      <c r="A20" s="174"/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40" t="str">
        <f>+Инвойс!E26</f>
        <v>40085JCA/400546CA</v>
      </c>
      <c r="F26" s="141"/>
      <c r="G26" s="141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2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15">
      <c r="A30" s="128">
        <f>+Инвойс!A30</f>
        <v>1</v>
      </c>
      <c r="B30" s="101" t="str">
        <f>+Инвойс!B30</f>
        <v>Хурма свежая</v>
      </c>
      <c r="C30" s="107" t="str">
        <f>+Инвойс!C30</f>
        <v>0810700009</v>
      </c>
      <c r="D30" s="115" t="str">
        <f>+Инвойс!D30</f>
        <v>Дер. ящик</v>
      </c>
      <c r="E30" s="101">
        <f>+Инвойс!E30</f>
        <v>2363</v>
      </c>
      <c r="F30" s="116" t="str">
        <f>+Инвойс!F30</f>
        <v>кг</v>
      </c>
      <c r="G30" s="106">
        <f>+Инвойс!G30</f>
        <v>21740</v>
      </c>
      <c r="H30" s="106">
        <f>+Инвойс!H30</f>
        <v>18432</v>
      </c>
      <c r="I30" s="108">
        <f>+Инвойс!I30</f>
        <v>3.05</v>
      </c>
      <c r="J30" s="13">
        <f>+Инвойс!J30</f>
        <v>56217.599999999999</v>
      </c>
      <c r="K30" s="12">
        <v>0</v>
      </c>
      <c r="L30" s="12">
        <v>0</v>
      </c>
      <c r="M30" s="13">
        <f>+Инвойс!M30</f>
        <v>56217.599999999999</v>
      </c>
      <c r="O30" s="100"/>
      <c r="Q30" s="100"/>
    </row>
    <row r="31" spans="1:17" ht="15">
      <c r="A31" s="128">
        <f>+Инвойс!A31</f>
        <v>2</v>
      </c>
      <c r="B31" s="101" t="str">
        <f>+Инвойс!B31</f>
        <v>Хурма свежая</v>
      </c>
      <c r="C31" s="107" t="str">
        <f>+Инвойс!C31</f>
        <v>0810700009</v>
      </c>
      <c r="D31" s="115" t="str">
        <f>+Инвойс!D31</f>
        <v>Пласт. ящик</v>
      </c>
      <c r="E31" s="101">
        <f>+Инвойс!E31</f>
        <v>104</v>
      </c>
      <c r="F31" s="116" t="str">
        <f>+Инвойс!F31</f>
        <v>кг</v>
      </c>
      <c r="G31" s="106">
        <f>+Инвойс!G31</f>
        <v>1040</v>
      </c>
      <c r="H31" s="106">
        <f>+Инвойс!H31</f>
        <v>967</v>
      </c>
      <c r="I31" s="108">
        <f>+Инвойс!I31</f>
        <v>3.05</v>
      </c>
      <c r="J31" s="13">
        <f>+Инвойс!J31</f>
        <v>2949.35</v>
      </c>
      <c r="K31" s="12">
        <v>0</v>
      </c>
      <c r="L31" s="12">
        <v>0</v>
      </c>
      <c r="M31" s="13">
        <f>+Инвойс!M31</f>
        <v>2949.35</v>
      </c>
      <c r="O31" s="100"/>
      <c r="Q31" s="100"/>
    </row>
    <row r="32" spans="1:17" ht="14.25">
      <c r="A32" s="150" t="s">
        <v>0</v>
      </c>
      <c r="B32" s="151"/>
      <c r="C32" s="14"/>
      <c r="D32" s="15"/>
      <c r="E32" s="64">
        <f>SUM(E30:E31)</f>
        <v>2467</v>
      </c>
      <c r="F32" s="15"/>
      <c r="G32" s="64">
        <f>SUM(G30:G31)</f>
        <v>22780</v>
      </c>
      <c r="H32" s="64">
        <f>SUM(H30:H31)</f>
        <v>19399</v>
      </c>
      <c r="I32" s="102"/>
      <c r="J32" s="17">
        <f>SUM(J30:J31)</f>
        <v>59166.95</v>
      </c>
      <c r="K32" s="16"/>
      <c r="L32" s="16"/>
      <c r="M32" s="17">
        <f>SUM(M30:M31)</f>
        <v>59166.95</v>
      </c>
      <c r="P32" s="66"/>
    </row>
    <row r="33" spans="1:14" ht="13.5">
      <c r="A33" s="2" t="s">
        <v>17</v>
      </c>
      <c r="B33" s="3"/>
      <c r="C33" s="11"/>
      <c r="D33" s="11"/>
      <c r="E33" s="148" t="str">
        <f>Лист1!B3</f>
        <v>пятьдесят девять тысяч сто шестьдесят шесть долларов США, 95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75">
      <c r="A37" s="132" t="s">
        <v>134</v>
      </c>
      <c r="B37" s="132"/>
      <c r="D37" s="18" t="str">
        <f>+Инвойс!D37</f>
        <v>Эргашев О.Р</v>
      </c>
      <c r="E37" s="133"/>
      <c r="G37" s="130" t="s">
        <v>125</v>
      </c>
      <c r="H37" s="18" t="str">
        <f>Инвойс!G5</f>
        <v>ООО «ГРИН ВОРЛД»</v>
      </c>
      <c r="K37" s="134" t="s">
        <v>146</v>
      </c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7"/>
      <c r="B41" s="9"/>
    </row>
    <row r="42" spans="1:14" ht="15">
      <c r="A42" s="8"/>
      <c r="B42" s="9"/>
    </row>
    <row r="43" spans="1:14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>
      <selection activeCell="E8" sqref="E8:H8"/>
    </sheetView>
  </sheetViews>
  <sheetFormatPr defaultRowHeight="12.75"/>
  <cols>
    <col min="1" max="1" width="48.7109375" bestFit="1" customWidth="1"/>
  </cols>
  <sheetData>
    <row r="1" spans="1:10" ht="38.25">
      <c r="A1" s="127" t="s">
        <v>115</v>
      </c>
    </row>
    <row r="3" spans="1:10" ht="51">
      <c r="A3" s="131" t="s">
        <v>124</v>
      </c>
    </row>
    <row r="5" spans="1:10" ht="89.25">
      <c r="A5" s="127" t="s">
        <v>154</v>
      </c>
    </row>
    <row r="6" spans="1:10">
      <c r="E6" s="18" t="s">
        <v>155</v>
      </c>
      <c r="J6" s="25" t="s">
        <v>149</v>
      </c>
    </row>
    <row r="7" spans="1:10" ht="51">
      <c r="A7" s="127" t="s">
        <v>116</v>
      </c>
    </row>
    <row r="8" spans="1:10">
      <c r="E8" s="18" t="s">
        <v>156</v>
      </c>
      <c r="J8" s="25" t="s">
        <v>150</v>
      </c>
    </row>
    <row r="9" spans="1:10" ht="51">
      <c r="A9" s="127" t="s">
        <v>117</v>
      </c>
    </row>
    <row r="10" spans="1:10">
      <c r="A10" s="127"/>
      <c r="E10" s="18" t="s">
        <v>156</v>
      </c>
      <c r="J10" s="25" t="s">
        <v>151</v>
      </c>
    </row>
    <row r="11" spans="1:10" ht="51">
      <c r="A11" s="127" t="s">
        <v>153</v>
      </c>
    </row>
    <row r="12" spans="1:10">
      <c r="E12" s="18" t="s">
        <v>157</v>
      </c>
      <c r="J12" s="25" t="s">
        <v>152</v>
      </c>
    </row>
    <row r="13" spans="1:10" ht="51">
      <c r="A13" s="127" t="s">
        <v>118</v>
      </c>
    </row>
    <row r="15" spans="1:10" ht="38.25">
      <c r="A15" s="127" t="s">
        <v>119</v>
      </c>
    </row>
    <row r="17" spans="1:1" ht="38.25">
      <c r="A17" s="127" t="s">
        <v>120</v>
      </c>
    </row>
    <row r="19" spans="1:1" ht="38.25">
      <c r="A19" s="129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Инвойс!M32</f>
        <v>59166.95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пятьдесят девять тысяч сто шестьдесят шесть долларов США, 95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45906</v>
      </c>
      <c r="O3" s="178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пятьдесят девять тысяч сто шестьдесят шесть долларов США, 95 центов. (в т.ч. НДС - 357,79)</v>
      </c>
      <c r="H4" s="32"/>
      <c r="I4" s="32"/>
      <c r="J4" s="32"/>
      <c r="K4" s="179" t="str">
        <f ca="1">CONCATENATE(" «  ",P3,"  »  ",Q3,"  ",R3," г.")</f>
        <v xml:space="preserve"> «  6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пятьдесят девять тысяч сто шестьдесят шесть долларов США, 95 центов.</v>
      </c>
    </row>
    <row r="6" spans="1:19" s="36" customFormat="1">
      <c r="A6" s="38" t="s">
        <v>37</v>
      </c>
      <c r="B6" s="36" t="str">
        <f>CONCATENATE(A8,A9,A10,A11,A12,B8,B9,C9)</f>
        <v>пятьдесят девять тысяч сто шестьдесят шесть долларов США, 95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11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_x000B_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пятьдесят девять тысяч </v>
      </c>
      <c r="D10" s="47"/>
      <c r="E10" s="48"/>
      <c r="F10" s="41" t="str">
        <f>PROPER(F9)</f>
        <v>_x000B_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сто шестьдесят шесть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95 центов.</v>
      </c>
      <c r="D12" s="47"/>
      <c r="E12" s="48"/>
      <c r="M12" s="50">
        <f ca="1">TODAY()</f>
        <v>45906</v>
      </c>
    </row>
    <row r="13" spans="1:19" s="43" customFormat="1">
      <c r="A13" s="49"/>
      <c r="D13" s="51"/>
      <c r="E13" s="52">
        <f>TRUNC(E2)</f>
        <v>59166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5</v>
      </c>
      <c r="B24" s="47">
        <f>TRUNC(RIGHT(A24))</f>
        <v>5</v>
      </c>
      <c r="C24" s="51">
        <f>IF(B24=1,"",B24)</f>
        <v>5</v>
      </c>
      <c r="E24" s="56" t="str">
        <f>IF(OR(C24=0,B24=1),"",IF(B24=2,E35,IF(B24=3,E36,IF(B24=4,E37,IF(B24=5,E38,IF(B24=6,E39,IF(B24=7,E40,IF(B24=8,E41,E42))))))))</f>
        <v xml:space="preserve">пятьдесят </v>
      </c>
    </row>
    <row r="25" spans="1:9" s="43" customFormat="1">
      <c r="A25" s="54">
        <f>TRUNC(A27/10)</f>
        <v>59</v>
      </c>
      <c r="B25" s="47">
        <f>TRUNC(RIGHT(A25))</f>
        <v>9</v>
      </c>
      <c r="C25" s="51">
        <f>IF(B24=1,B25+10,IF(B25=0,0,B25))</f>
        <v>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59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591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>
      <c r="A28" s="54">
        <f>TRUNC(A29/10)</f>
        <v>5916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>
      <c r="A29" s="54">
        <f>E13</f>
        <v>59166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166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95</v>
      </c>
      <c r="C31" s="59">
        <f>TRUNC(A31/10)</f>
        <v>9</v>
      </c>
      <c r="E31" s="56" t="str">
        <f>IF(OR(C31=1,C31=0),"",IF(C31=2,E35,IF(C31=3,E36,IF(C31=4,E37,IF(C31=5,E38,IF(C31=6,E39,IF(C31=7,E40,IF(C31=8,E41,E42))))))))</f>
        <v xml:space="preserve">девяносто </v>
      </c>
      <c r="H31" s="47"/>
    </row>
    <row r="32" spans="1:9" s="43" customFormat="1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2025-09-05T20:03:49Z</cp:lastPrinted>
  <dcterms:created xsi:type="dcterms:W3CDTF">1996-10-14T23:33:28Z</dcterms:created>
  <dcterms:modified xsi:type="dcterms:W3CDTF">2025-09-05T20:03:59Z</dcterms:modified>
</cp:coreProperties>
</file>