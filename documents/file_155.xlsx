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<sst xmlns="http://schemas.openxmlformats.org/spreadsheetml/2006/main" count="206" uniqueCount="163">
  <si>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</si>
  <si>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</si>
  <si>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</si>
  <si>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</si>
  <si>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</si>
  <si>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</si>
  <si>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</si>
  <si>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</si>
  <si>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</si>
  <si>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</si>
  <si>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</si>
  <si>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</si>
  <si>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</si>
  <si>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</si>
  <si>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</si>
  <si>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</si>
  <si>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</si>
  <si>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</si>
  <si>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</si>
  <si>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</si>
  <si>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</si>
  <si>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</si>
  <si>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</si>
  <si>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</si>
  <si>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</si>
  <si>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</si>
  <si>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</si>
  <si>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</si>
  <si>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</si>
  <si>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</si>
  <si>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</si>
  <si>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</si>
  <si>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</si>
  <si>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</si>
  <si>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</si>
  <si>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</si>
  <si>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</si>
  <si>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</si>
  <si>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</si>
  <si>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</si>
  <si>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</si>
  <si>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</si>
  <si>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</si>
  <si>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</si>
  <si>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</si>
  <si>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</si>
  <si>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</si>
  <si>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</si>
  <si>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</si>
  <si>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</si>
  <si>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</si>
  <si>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</si>
  <si>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</si>
  <si>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</si>
  <si>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</si>
  <si>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</si>
  <si>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</si>
  <si>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</si>
  <si>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</si>
  <si>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</si>
  <si>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</si>
  <si>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</si>
  <si>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</si>
  <si>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</si>
  <si>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</si>
  <si>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</si>
  <si>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</si>
  <si>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</si>
  <si>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</si>
  <si>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</si>
  <si>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</si>
  <si>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</si>
  <si>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</si>
  <si>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</si>
  <si>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</si>
  <si>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</si>
  <si>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</si>
  <si>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</si>
  <si>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</si>
  <si>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</si>
  <si>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</si>
  <si>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</si>
  <si>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</si>
  <si>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</si>
  <si>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</si>
  <si>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</si>
  <si>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</si>
  <si>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</si>
  <si>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</si>
  <si>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</si>
  <si>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</si>
  <si>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</si>
  <si>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</si>
  <si>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</si>
  <si>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</si>
  <si>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</si>
  <si>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</si>
  <si>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</si>
  <si>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</si>
  <si>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</si>
  <si>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</si>
  <si>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</si>
  <si>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</si>
  <si>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</si>
  <si>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</si>
  <si>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</si>
  <si>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</si>
  <si>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</si>
  <si>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</si>
  <si>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</si>
  <si>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</si>
  <si>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</si>
  <si>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</si>
  <si>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</si>
  <si>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</si>
  <si>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</si>
  <si>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</si>
  <si>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</si>
  <si>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</si>
  <si>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</si>
  <si>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</si>
  <si>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</si>
  <si>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</si>
  <si>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</si>
  <si>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</si>
  <si>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</si>
  <si>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</si>
  <si>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</si>
  <si>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</si>
  <si>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</si>
  <si>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</si>
  <si>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</si>
  <si>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</si>
  <si>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</si>
  <si>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</si>
  <si>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</si>
  <si>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</si>
  <si>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</si>
  <si>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</si>
  <si>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</si>
  <si>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</si>
  <si>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</si>
  <si>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</si>
  <si>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</si>
  <si>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</si>
  <si>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</si>
  <si>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</si>
  <si>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</si>
  <si>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</si>
  <si>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</si>
  <si>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</si>
  <si>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</si>
  <si>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</si>
  <si>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</si>
  <si>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</si>
  <si>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</si>
  <si>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</si>
  <si>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</si>
  <si>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BEZ-F-36 от </t>
  </si>
  <si>
    <t xml:space="preserve"> 10.08.2025г.</t>
  </si>
  <si>
    <t>DAP - с Жибек Жолы , Республика Казахстан</t>
  </si>
  <si>
    <t>30L649VA/306135AA</t>
  </si>
  <si>
    <t xml:space="preserve">СПЕЦИФИКАЦИЯ № BEZ-F-36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</si>
</sst>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38</xdr:row>
      <xdr:rowOff>22411</xdr:rowOff>
    </xdr:from>
    <xdr:to>
      <xdr:col>4</xdr:col>
      <xdr:colOff>159123</xdr:colOff>
      <xdr:row>48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40</xdr:row>
      <xdr:rowOff>20172</xdr:rowOff>
    </xdr:from>
    <xdr:to>
      <xdr:col>12</xdr:col>
      <xdr:colOff>149486</xdr:colOff>
      <xdr:row>43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38</xdr:row>
      <xdr:rowOff>98613</xdr:rowOff>
    </xdr:from>
    <xdr:to>
      <xdr:col>9</xdr:col>
      <xdr:colOff>159123</xdr:colOff>
      <xdr:row>50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38</xdr:row>
      <xdr:rowOff>56030</xdr:rowOff>
    </xdr:from>
    <xdr:to>
      <xdr:col>3</xdr:col>
      <xdr:colOff>268941</xdr:colOff>
      <xdr:row>51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1" t="s">
        <v>121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75" x14ac:dyDescent="0.25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30" x14ac:dyDescent="0.2">
      <c r="A30" s="127">
        <v>1</v>
      </c>
      <c r="B30" s="101" t="s">
        <v>133</v>
      </c>
      <c r="C30" s="107" t="s">
        <v>132</v>
      </c>
      <c r="D30" s="109" t="s">
        <v>112</v>
      </c>
      <c r="E30" s="101">
        <v>1550</v>
      </c>
      <c r="F30" s="110" t="s">
        <v>27</v>
      </c>
      <c r="G30" s="106">
        <v>12300</v>
      </c>
      <c r="H30" s="106">
        <v>11215</v>
      </c>
      <c r="I30" s="108">
        <v>1</v>
      </c>
      <c r="J30" s="13">
        <f t="shared" ref="J30:J31" si="0">H30*I30</f>
        <v>11215</v>
      </c>
      <c r="K30" s="12">
        <v>0</v>
      </c>
      <c r="L30" s="12">
        <v>0</v>
      </c>
      <c r="M30" s="13">
        <f t="shared" ref="M30:M31" si="1">J30</f>
        <v>11215</v>
      </c>
      <c r="O30" s="100"/>
      <c r="Q30" s="100"/>
    </row>
    <row r="31" spans="1:17" ht="30" x14ac:dyDescent="0.2">
      <c r="A31" s="127">
        <v>2</v>
      </c>
      <c r="B31" s="101" t="s">
        <v>133</v>
      </c>
      <c r="C31" s="107" t="s">
        <v>132</v>
      </c>
      <c r="D31" s="109" t="s">
        <v>112</v>
      </c>
      <c r="E31" s="101">
        <v>1600</v>
      </c>
      <c r="F31" s="110" t="s">
        <v>27</v>
      </c>
      <c r="G31" s="106">
        <v>10400</v>
      </c>
      <c r="H31" s="106">
        <v>9280</v>
      </c>
      <c r="I31" s="108">
        <v>1</v>
      </c>
      <c r="J31" s="13">
        <f t="shared" si="0"/>
        <v>9280</v>
      </c>
      <c r="K31" s="12">
        <v>0</v>
      </c>
      <c r="L31" s="12">
        <v>0</v>
      </c>
      <c r="M31" s="13">
        <f t="shared" si="1"/>
        <v>9280</v>
      </c>
      <c r="O31" s="100"/>
      <c r="Q31" s="100"/>
    </row>
    <row r="32" spans="1:17" ht="14.25" x14ac:dyDescent="0.2">
      <c r="A32" s="147" t="s">
        <v>0</v>
      </c>
      <c r="B32" s="148"/>
      <c r="C32" s="14"/>
      <c r="D32" s="15"/>
      <c r="E32" s="64">
        <f>SUM(E30:E31)</f>
        <v>3150</v>
      </c>
      <c r="F32" s="15"/>
      <c r="G32" s="64">
        <f>SUM(G30:G31)</f>
        <v>22700</v>
      </c>
      <c r="H32" s="64">
        <f>SUM(H30:H31)</f>
        <v>20495</v>
      </c>
      <c r="I32" s="102"/>
      <c r="J32" s="17">
        <f>SUM(J30:J31)</f>
        <v>20495</v>
      </c>
      <c r="K32" s="16"/>
      <c r="L32" s="16"/>
      <c r="M32" s="17">
        <f>SUM(M30:M31)</f>
        <v>20495</v>
      </c>
      <c r="P32" s="66"/>
    </row>
    <row r="33" spans="1:14" ht="13.5" x14ac:dyDescent="0.25">
      <c r="A33" s="2" t="s">
        <v>17</v>
      </c>
      <c r="B33" s="3"/>
      <c r="C33" s="11"/>
      <c r="D33" s="11"/>
      <c r="E33" s="143" t="str">
        <f>Лист1!B3</f>
        <v>Двадцать тысяч четыреста девяносто пять долларов США, 00 центов.</v>
      </c>
      <c r="F33" s="144"/>
      <c r="G33" s="144"/>
      <c r="H33" s="144"/>
      <c r="I33" s="144"/>
      <c r="J33" s="144"/>
      <c r="K33" s="144"/>
      <c r="L33" s="144"/>
      <c r="M33" s="144"/>
    </row>
    <row r="34" spans="1:14" ht="20.2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">
      <c r="A35" s="140" t="s">
        <v>110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5" x14ac:dyDescent="0.25">
      <c r="A37" s="7" t="s">
        <v>28</v>
      </c>
      <c r="B37" s="7"/>
      <c r="D37" s="25" t="s">
        <v>156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2">
    <mergeCell ref="I28:I29"/>
    <mergeCell ref="G28:H28"/>
    <mergeCell ref="C23:M23"/>
    <mergeCell ref="E26:G26"/>
    <mergeCell ref="G7:M7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2" sqref="B32:I40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BEZ-F-36 от  10.08.2025г.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1550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12300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1600</v>
      </c>
      <c r="D31" s="103" t="str">
        <f>+Инвойс!D31</f>
        <v>Пласт.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10400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 xml:space="preserve">СВХ ООО "Южно-Уральская Внешнеэкономическая Компания" 10504080 - т/п Челябинский 454108, Челябинская обл., г. Челябинск, ул. Игуменка, д. 7А
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30L649VA/306135AA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2" sqref="F22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0" t="s">
        <v>96</v>
      </c>
      <c r="C2" s="16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1" t="str">
        <f>+Инвойс!E26</f>
        <v>30L649VA/306135AA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BEZ-F-36 от  10.08.2025г.</v>
      </c>
      <c r="I15" s="163"/>
      <c r="J15" s="163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1550</v>
      </c>
      <c r="G18" s="164" t="str">
        <f>+CMR!F30</f>
        <v>Виноград свежий столовых сортов</v>
      </c>
      <c r="H18" s="164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58" t="str">
        <f>+Инвойс!C30</f>
        <v>0806101001</v>
      </c>
      <c r="H19" s="159"/>
      <c r="I19" s="122" t="s">
        <v>103</v>
      </c>
      <c r="J19" s="120">
        <f>+Инвойс!G30</f>
        <v>12300</v>
      </c>
    </row>
    <row r="20" spans="2:10" ht="13.5" customHeight="1" x14ac:dyDescent="0.25">
      <c r="B20" s="83"/>
      <c r="E20" s="123"/>
      <c r="F20" s="118">
        <f>+Инвойс!E31</f>
        <v>1600</v>
      </c>
      <c r="G20" s="164" t="str">
        <f>+CMR!F31</f>
        <v>Виноград свежий столовых сортов</v>
      </c>
      <c r="H20" s="164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Пласт. ящик</v>
      </c>
      <c r="G21" s="158" t="str">
        <f>+Инвойс!C31</f>
        <v>0806101001</v>
      </c>
      <c r="H21" s="159"/>
      <c r="I21" s="122" t="s">
        <v>103</v>
      </c>
      <c r="J21" s="120">
        <f>+Инвойс!G31</f>
        <v>10400</v>
      </c>
    </row>
    <row r="22" spans="2:10" ht="12.75" customHeight="1" x14ac:dyDescent="0.25">
      <c r="B22" s="83"/>
      <c r="E22" s="123"/>
      <c r="F22" s="118"/>
      <c r="G22" s="164"/>
      <c r="H22" s="164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4"/>
      <c r="H24" s="164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4"/>
      <c r="H26" s="164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4"/>
      <c r="H28" s="164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4"/>
      <c r="H30" s="164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4"/>
      <c r="H32" s="164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4"/>
      <c r="H34" s="164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4"/>
      <c r="H36" s="164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4"/>
      <c r="H38" s="164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4"/>
      <c r="H42" s="164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6"/>
      <c r="H44" s="166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7">
        <f>+F18+F20+F22+F24+F26+F28+F30+F32+F34+F36+F38+F40+F42</f>
        <v>3150</v>
      </c>
      <c r="E47" s="168"/>
    </row>
    <row r="48" spans="2:10" ht="17.25" customHeight="1" x14ac:dyDescent="0.25">
      <c r="B48" s="165" t="s">
        <v>105</v>
      </c>
      <c r="C48" s="165"/>
      <c r="D48" s="165"/>
      <c r="E48" s="165"/>
    </row>
    <row r="49" spans="2:5" ht="21.75" customHeight="1" x14ac:dyDescent="0.25">
      <c r="B49" s="165"/>
      <c r="C49" s="165"/>
      <c r="D49" s="165"/>
      <c r="E49" s="165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162</v>
      </c>
      <c r="C1" s="172"/>
      <c r="D1" s="172"/>
      <c r="E1" s="172"/>
      <c r="F1" s="132" t="str">
        <f>+Инвойс!F1</f>
        <v xml:space="preserve"> 10.08.2025г.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5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5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5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5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5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5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5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5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5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5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25">
      <c r="A22" s="1" t="s">
        <v>135</v>
      </c>
      <c r="C22" s="65"/>
      <c r="F22" s="1"/>
    </row>
    <row r="23" spans="1:17" ht="26.25" hidden="1" customHeight="1" x14ac:dyDescent="0.2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75" x14ac:dyDescent="0.25">
      <c r="A24" s="20" t="s">
        <v>22</v>
      </c>
      <c r="C24" s="18" t="str">
        <f>+Инвойс!C24</f>
        <v>DAP - с Жибек Жолы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tr">
        <f>+Инвойс!E26</f>
        <v>30L649VA/306135AA</v>
      </c>
      <c r="F26" s="153"/>
      <c r="G26" s="153"/>
      <c r="J26" s="21"/>
    </row>
    <row r="27" spans="1:17" ht="34.5" customHeight="1" x14ac:dyDescent="0.25">
      <c r="A27" s="67" t="s">
        <v>136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1550</v>
      </c>
      <c r="F30" s="116" t="str">
        <f>+Инвойс!F30</f>
        <v>кг</v>
      </c>
      <c r="G30" s="106">
        <f>+Инвойс!G30</f>
        <v>12300</v>
      </c>
      <c r="H30" s="106">
        <f>+Инвойс!H30</f>
        <v>11215</v>
      </c>
      <c r="I30" s="108">
        <f>+Инвойс!I30</f>
        <v>1</v>
      </c>
      <c r="J30" s="13">
        <f>+Инвойс!J30</f>
        <v>11215</v>
      </c>
      <c r="K30" s="12">
        <v>0</v>
      </c>
      <c r="L30" s="12">
        <v>0</v>
      </c>
      <c r="M30" s="13">
        <f>+Инвойс!M30</f>
        <v>11215</v>
      </c>
      <c r="O30" s="100"/>
      <c r="Q30" s="100"/>
    </row>
    <row r="31" spans="1:17" ht="30" x14ac:dyDescent="0.2">
      <c r="A31" s="127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5" t="str">
        <f>+Инвойс!D31</f>
        <v>Пласт. ящик</v>
      </c>
      <c r="E31" s="101">
        <f>+Инвойс!E31</f>
        <v>1600</v>
      </c>
      <c r="F31" s="116" t="str">
        <f>+Инвойс!F31</f>
        <v>кг</v>
      </c>
      <c r="G31" s="106">
        <f>+Инвойс!G31</f>
        <v>10400</v>
      </c>
      <c r="H31" s="106">
        <f>+Инвойс!H31</f>
        <v>9280</v>
      </c>
      <c r="I31" s="108">
        <f>+Инвойс!I31</f>
        <v>1</v>
      </c>
      <c r="J31" s="13">
        <f>+Инвойс!J31</f>
        <v>9280</v>
      </c>
      <c r="K31" s="12">
        <v>0</v>
      </c>
      <c r="L31" s="12">
        <v>0</v>
      </c>
      <c r="M31" s="13">
        <f>+Инвойс!M31</f>
        <v>9280</v>
      </c>
      <c r="O31" s="100"/>
      <c r="Q31" s="100"/>
    </row>
    <row r="32" spans="1:17" ht="14.25" x14ac:dyDescent="0.2">
      <c r="A32" s="147" t="s">
        <v>0</v>
      </c>
      <c r="B32" s="148"/>
      <c r="C32" s="14"/>
      <c r="D32" s="15"/>
      <c r="E32" s="64">
        <f>SUM(E30:E31)</f>
        <v>3150</v>
      </c>
      <c r="F32" s="15"/>
      <c r="G32" s="64">
        <f>SUM(G30:G31)</f>
        <v>22700</v>
      </c>
      <c r="H32" s="64">
        <f>SUM(H30:H31)</f>
        <v>20495</v>
      </c>
      <c r="I32" s="102"/>
      <c r="J32" s="17">
        <f>SUM(J30:J31)</f>
        <v>20495</v>
      </c>
      <c r="K32" s="16"/>
      <c r="L32" s="16"/>
      <c r="M32" s="17">
        <f>SUM(M30:M31)</f>
        <v>20495</v>
      </c>
      <c r="P32" s="66"/>
    </row>
    <row r="33" spans="1:14" ht="13.5" x14ac:dyDescent="0.25">
      <c r="A33" s="2" t="s">
        <v>17</v>
      </c>
      <c r="B33" s="3"/>
      <c r="C33" s="11"/>
      <c r="D33" s="11"/>
      <c r="E33" s="143" t="str">
        <f>Лист1!B3</f>
        <v>Двадцать тысяч четыреста девяносто пять долларов США, 00 центов.</v>
      </c>
      <c r="F33" s="144"/>
      <c r="G33" s="144"/>
      <c r="H33" s="144"/>
      <c r="I33" s="144"/>
      <c r="J33" s="144"/>
      <c r="K33" s="144"/>
      <c r="L33" s="144"/>
      <c r="M33" s="144"/>
    </row>
    <row r="34" spans="1:14" ht="20.2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5.75" x14ac:dyDescent="0.25">
      <c r="A37" s="7" t="s">
        <v>157</v>
      </c>
      <c r="B37" s="7"/>
      <c r="D37" s="25" t="s">
        <v>156</v>
      </c>
      <c r="E37" s="24"/>
      <c r="G37" s="129" t="s">
        <v>145</v>
      </c>
      <c r="H37" t="str">
        <f>Инвойс!G5</f>
        <v>ООО ТД «РЕСУРС»</v>
      </c>
      <c r="K37" s="130" t="s">
        <v>146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11" sqref="A11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134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Инвойс!M32</f>
        <v>20495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тысяч четыреста девяносто пять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45879</v>
      </c>
      <c r="O3" s="176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тысяч четыреста девяносто пять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10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тысяч четыреста девяносто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тысяч четыреста девяносто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девяносто пять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">
      <c r="A13" s="49"/>
      <c r="D13" s="51"/>
      <c r="E13" s="52">
        <f>TRUNC(E2)</f>
        <v>20495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204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2049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20495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495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2025-08-10T15:50:31Z</cp:lastPrinted>
  <dcterms:created xsi:type="dcterms:W3CDTF">1996-10-14T23:33:28Z</dcterms:created>
  <dcterms:modified xsi:type="dcterms:W3CDTF">2025-08-10T15:50:32Z</dcterms:modified>
</cp:coreProperties>
</file>