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D1CDDDC-95E2-4322-8720-A05EEC32FE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H36" i="7" l="1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0" i="7" l="1"/>
  <c r="I30" i="7"/>
  <c r="H30" i="7"/>
  <c r="F30" i="7"/>
  <c r="G30" i="7"/>
  <c r="E30" i="7"/>
  <c r="D30" i="7"/>
  <c r="B30" i="7"/>
  <c r="A30" i="7"/>
  <c r="E26" i="7"/>
  <c r="C24" i="7"/>
  <c r="F1" i="7"/>
  <c r="G31" i="7" l="1"/>
  <c r="E31" i="7"/>
  <c r="H31" i="7" l="1"/>
  <c r="E31" i="2" l="1"/>
  <c r="G31" i="2" l="1"/>
  <c r="H31" i="2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S3" i="3"/>
  <c r="S4" i="3"/>
  <c r="P3" i="3"/>
  <c r="R3" i="3"/>
  <c r="Q3" i="3" l="1"/>
  <c r="K4" i="3" s="1"/>
  <c r="J31" i="7"/>
  <c r="M31" i="7"/>
  <c r="M31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4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4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4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<sst xmlns="http://schemas.openxmlformats.org/spreadsheetml/2006/main" count="201" uniqueCount="163">
  <si>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</si>
  <si>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</si>
  <si>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</si>
  <si>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</si>
  <si>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</si>
  <si>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</si>
  <si>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</si>
  <si>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</si>
  <si>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</si>
  <si>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</si>
  <si>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</si>
  <si>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</si>
  <si>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</si>
  <si>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</si>
  <si>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</si>
  <si>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</si>
  <si>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</si>
  <si>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</si>
  <si>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</si>
  <si>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</si>
  <si>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</si>
  <si>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</si>
  <si>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</si>
  <si>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</si>
  <si>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</si>
  <si>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</si>
  <si>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</si>
  <si>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</si>
  <si>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</si>
  <si>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</si>
  <si>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</si>
  <si>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</si>
  <si>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</si>
  <si>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</si>
  <si>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</si>
  <si>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</si>
  <si>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</si>
  <si>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</si>
  <si>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</si>
  <si>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</si>
  <si>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</si>
  <si>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</si>
  <si>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</si>
  <si>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</si>
  <si>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</si>
  <si>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</si>
  <si>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</si>
  <si>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</si>
  <si>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</si>
  <si>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</si>
  <si>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</si>
  <si>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</si>
  <si>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</si>
  <si>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</si>
  <si>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</si>
  <si>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</si>
  <si>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</si>
  <si>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</si>
  <si>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</si>
  <si>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</si>
  <si>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</si>
  <si>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</si>
  <si>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</si>
  <si>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</si>
  <si>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</si>
  <si>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</si>
  <si>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</si>
  <si>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</si>
  <si>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</si>
  <si>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</si>
  <si>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</si>
  <si>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</si>
  <si>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</si>
  <si>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</si>
  <si>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</si>
  <si>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</si>
  <si>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</si>
  <si>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</si>
  <si>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</si>
  <si>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</si>
  <si>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</si>
  <si>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</si>
  <si>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</si>
  <si>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</si>
  <si>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</si>
  <si>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</si>
  <si>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</si>
  <si>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</si>
  <si>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</si>
  <si>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</si>
  <si>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</si>
  <si>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</si>
  <si>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</si>
  <si>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</si>
  <si>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</si>
  <si>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</si>
  <si>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</si>
  <si>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</si>
  <si>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</si>
  <si>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</si>
  <si>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</si>
  <si>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</si>
  <si>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</si>
  <si>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</si>
  <si>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</si>
  <si>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</si>
  <si>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 xml:space="preserve">по поручению 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</si>
  <si>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</si>
  <si>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</si>
  <si>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</si>
  <si>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</si>
  <si>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</si>
  <si>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Карт.Коробок</t>
  </si>
  <si>
    <t xml:space="preserve">                    Узбекистан Сыр. обл.</t>
  </si>
  <si>
    <t xml:space="preserve">                 Сыр. обл   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</si>
  <si>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</si>
  <si>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</si>
  <si>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"Легион Сибирь Плюс" 10609030 - т/п Новосибирский западный 630052, Новосибирская обл., г. Новосибирск, ул. Толмачевская, д. 1/1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</si>
  <si>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</si>
  <si>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</si>
  <si>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"Южно-Уральская Внешнеэкономическая Компания" 10504080 - т/п Челябинский 454108, Челябинская обл., г. Челябинск, ул. Игуменка, д. 7А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</si>
  <si>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</si>
  <si>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</si>
  <si>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</si>
  <si>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OOO «Западные ворота»</t>
  </si>
  <si>
    <t>108811, г. Москва, вн.тер.г. муниципальный округ</t>
  </si>
  <si>
    <t>Солнцево, Киевское шоссе, 23-й км, д.8, стр.1</t>
  </si>
  <si>
    <t xml:space="preserve">р/с USD 40702810501400013450 </t>
  </si>
  <si>
    <t>Банк: Филиал АО «АЛЬФА-БАНК»</t>
  </si>
  <si>
    <t>к/с:  30101810200000000593</t>
  </si>
  <si>
    <t>ИНН/КПП 5004025693/775101001 ОГРН 1135004001802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</si>
  <si>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</si>
  <si>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</si>
  <si>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</si>
  <si>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Дыни свежие</t>
  </si>
  <si>
    <t>0807190001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</si>
  <si>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</si>
  <si>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ООО ТД «РЕСУРС»</t>
  </si>
  <si>
    <t xml:space="preserve">125362, Город Москва, вн.тер.г. муниципальный округ </t>
  </si>
  <si>
    <t xml:space="preserve">Южное Тушино, ул Свободы, д. 35, стр. 43, помещ. 92/3 </t>
  </si>
  <si>
    <t>Банк: Азия-Инвест Банк (АО) ИНН: 9705116064 КПП: 770501001</t>
  </si>
  <si>
    <t xml:space="preserve">Р/Счет: 40702840100000019384 ; БИК:  044525234 </t>
  </si>
  <si>
    <t xml:space="preserve">Корр.счет: 30101810445250000234  </t>
  </si>
  <si>
    <t>(SWIFT code: ASIJRUMM)</t>
  </si>
  <si>
    <t>Директор:</t>
  </si>
  <si>
    <t xml:space="preserve">Касимов Д. Д.    </t>
  </si>
  <si>
    <t>г.Уфа / /г. Иркутск /г.Омск /г. Ижевск/ г.Крым Симферополь/ Российская федерация</t>
  </si>
  <si>
    <t>к контракту № EX1607 от 16.07.2025 года</t>
  </si>
  <si>
    <t>OOO “BMB EXIM”</t>
  </si>
  <si>
    <t>Республика Узбекистан, Джизакская область,</t>
  </si>
  <si>
    <t>Шароф Рашидовский район, Токчилик МФЙ, ул Мустакиллик дом 92а</t>
  </si>
  <si>
    <r>
      <t xml:space="preserve">Р/с N </t>
    </r>
    <r>
      <rPr>
        <sz val="11"/>
        <color indexed="8"/>
        <rFont val="Times New Roman"/>
        <family val="1"/>
        <charset val="204"/>
      </rPr>
      <t>20208840905433267001   (USD)</t>
    </r>
  </si>
  <si>
    <t xml:space="preserve">в “Узсаноаткурилиш” Банк операционный </t>
  </si>
  <si>
    <t>МФО 00440</t>
  </si>
  <si>
    <t>ИНН: 308822933</t>
  </si>
  <si>
    <t>Сапаров И. Е</t>
  </si>
  <si>
    <t>Директор:  OOO “BMB EXIM”</t>
  </si>
  <si>
    <t xml:space="preserve">ИНВОЙС № BEZ-A-72 от </t>
  </si>
  <si>
    <t xml:space="preserve"> 11.08.2025г.</t>
  </si>
  <si>
    <t>DAP - с Амандык , Республика Казахстан</t>
  </si>
  <si>
    <t>10K962QA/108769AA</t>
  </si>
  <si>
    <t xml:space="preserve">СПЕЦИФИКАЦИЯ № BEZ-A-72 от </t>
  </si>
  <si>
    <t>/г. Владивосток/ г.Казань / г. Пенза / г. Краснодар / г.Пятигорск / г.Воронеж / /г.Нижневартовск/г.Нижний Новгород/г.Киров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</si>
</sst>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8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0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77" fillId="0" borderId="0" xfId="0" applyFont="1"/>
    <xf numFmtId="0" fontId="23" fillId="0" borderId="0" xfId="0" applyFont="1" applyAlignment="1">
      <alignment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file:///C:\Users\&#1040;&#1083;&#1077;&#1082;&#1089;&#1077;&#1081;\Downloads\photo_2025-02-11_13-46-41.jpg" TargetMode="External"/><Relationship Id="rId1" Type="http://schemas.openxmlformats.org/officeDocument/2006/relationships/image" Target="../media/image2.jpe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1389529</xdr:colOff>
      <xdr:row>37</xdr:row>
      <xdr:rowOff>22411</xdr:rowOff>
    </xdr:from>
    <xdr:to>
      <xdr:col>4</xdr:col>
      <xdr:colOff>159123</xdr:colOff>
      <xdr:row>47</xdr:row>
      <xdr:rowOff>21290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1C1FF0E0-3473-46D1-9059-643773FB6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8117" y="20932587"/>
          <a:ext cx="2310653" cy="17021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414618</xdr:colOff>
      <xdr:row>39</xdr:row>
      <xdr:rowOff>20172</xdr:rowOff>
    </xdr:from>
    <xdr:to>
      <xdr:col>12</xdr:col>
      <xdr:colOff>149486</xdr:colOff>
      <xdr:row>42</xdr:row>
      <xdr:rowOff>113592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2BCF98E-4C24-4359-A468-A728411EE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7794" y="18935701"/>
          <a:ext cx="1043716" cy="622338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286871</xdr:colOff>
      <xdr:row>37</xdr:row>
      <xdr:rowOff>98613</xdr:rowOff>
    </xdr:from>
    <xdr:to>
      <xdr:col>9</xdr:col>
      <xdr:colOff>159123</xdr:colOff>
      <xdr:row>49</xdr:row>
      <xdr:rowOff>93657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D26094D5-7017-4512-A659-5EBB5DA02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9553" y="18655554"/>
          <a:ext cx="2032746" cy="2074856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190500</xdr:colOff>
      <xdr:row>37</xdr:row>
      <xdr:rowOff>56030</xdr:rowOff>
    </xdr:from>
    <xdr:to>
      <xdr:col>3</xdr:col>
      <xdr:colOff>268941</xdr:colOff>
      <xdr:row>50</xdr:row>
      <xdr:rowOff>11870</xdr:rowOff>
    </xdr:to>
    <xdr:pic>
      <xdr:nvPicPr>
        <xdr:cNvPr id="6" name="Рисунок 2">
          <a:extLst>
            <a:ext uri="{FF2B5EF4-FFF2-40B4-BE49-F238E27FC236}">
              <a16:creationId xmlns:a16="http://schemas.microsoft.com/office/drawing/2014/main" id="{CF5E6E20-7100-4B9F-976C-DC96E978E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655118"/>
          <a:ext cx="2891118" cy="21297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2"/>
  <sheetViews>
    <sheetView tabSelected="1" topLeftCell="A16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3" t="s">
        <v>157</v>
      </c>
      <c r="D1" s="133"/>
      <c r="E1" s="133"/>
      <c r="F1" s="132" t="s">
        <v>158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">
        <v>147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">
        <v>148</v>
      </c>
      <c r="B5" s="134"/>
      <c r="C5" s="134"/>
      <c r="D5" s="134"/>
      <c r="E5" s="134"/>
      <c r="F5" s="6"/>
      <c r="G5" s="136" t="s">
        <v>137</v>
      </c>
      <c r="H5" s="136"/>
      <c r="I5" s="136"/>
      <c r="J5" s="136"/>
      <c r="K5" s="136"/>
      <c r="L5" s="136"/>
      <c r="M5" s="136"/>
    </row>
    <row r="6" spans="1:15" ht="13.8" x14ac:dyDescent="0.25">
      <c r="A6" s="125" t="s">
        <v>149</v>
      </c>
      <c r="B6" s="125"/>
      <c r="C6" s="125"/>
      <c r="D6" s="125"/>
      <c r="E6" s="125"/>
      <c r="F6" s="7"/>
      <c r="G6" s="138" t="s">
        <v>138</v>
      </c>
      <c r="H6" s="138"/>
      <c r="I6" s="138"/>
      <c r="J6" s="138"/>
      <c r="K6" s="138"/>
      <c r="L6" s="138"/>
      <c r="M6" s="138"/>
      <c r="N6" s="4"/>
    </row>
    <row r="7" spans="1:15" ht="13.8" x14ac:dyDescent="0.25">
      <c r="A7" s="125" t="s">
        <v>150</v>
      </c>
      <c r="B7" s="125"/>
      <c r="C7" s="125"/>
      <c r="D7" s="125"/>
      <c r="E7" s="125"/>
      <c r="F7" s="63"/>
      <c r="G7" s="138" t="s">
        <v>139</v>
      </c>
      <c r="H7" s="138"/>
      <c r="I7" s="138"/>
      <c r="J7" s="138"/>
      <c r="K7" s="138"/>
      <c r="L7" s="138"/>
      <c r="M7" s="138"/>
    </row>
    <row r="8" spans="1:15" ht="15" customHeight="1" x14ac:dyDescent="0.25">
      <c r="A8" s="8" t="s">
        <v>151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152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5" t="s">
        <v>153</v>
      </c>
      <c r="B10" s="125"/>
      <c r="C10" s="125"/>
      <c r="D10" s="125"/>
      <c r="E10" s="125"/>
      <c r="F10" s="7"/>
      <c r="G10" s="7" t="s">
        <v>142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154</v>
      </c>
      <c r="B11" s="8"/>
      <c r="C11" s="8"/>
      <c r="D11" s="8"/>
      <c r="E11" s="8"/>
      <c r="F11" s="7"/>
      <c r="G11" s="7" t="s">
        <v>143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/>
      <c r="B12" s="8"/>
      <c r="C12" s="8"/>
      <c r="D12" s="8"/>
      <c r="E12" s="8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">
        <v>148</v>
      </c>
      <c r="B14" s="134"/>
      <c r="C14" s="134"/>
      <c r="D14" s="134"/>
      <c r="E14" s="134"/>
      <c r="F14" s="6"/>
      <c r="G14" s="136" t="s">
        <v>124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25" t="s">
        <v>149</v>
      </c>
      <c r="B15" s="125"/>
      <c r="C15" s="125"/>
      <c r="D15" s="125"/>
      <c r="E15" s="125"/>
      <c r="F15" s="7"/>
      <c r="G15" s="138" t="s">
        <v>125</v>
      </c>
      <c r="H15" s="141"/>
      <c r="I15" s="141"/>
      <c r="J15" s="141"/>
      <c r="K15" s="141"/>
      <c r="L15" s="141"/>
      <c r="M15" s="141"/>
    </row>
    <row r="16" spans="1:15" ht="13.8" x14ac:dyDescent="0.25">
      <c r="A16" s="125" t="s">
        <v>150</v>
      </c>
      <c r="B16" s="125"/>
      <c r="C16" s="125"/>
      <c r="D16" s="125"/>
      <c r="E16" s="125"/>
      <c r="F16" s="63"/>
      <c r="G16" s="138" t="s">
        <v>126</v>
      </c>
      <c r="H16" s="138"/>
      <c r="I16" s="138"/>
      <c r="J16" s="138"/>
      <c r="K16" s="138"/>
      <c r="L16" s="138"/>
      <c r="M16" s="138"/>
    </row>
    <row r="17" spans="1:17" ht="15" customHeight="1" x14ac:dyDescent="0.25">
      <c r="A17" s="8" t="s">
        <v>151</v>
      </c>
      <c r="B17" s="8"/>
      <c r="C17" s="8"/>
      <c r="D17" s="8"/>
      <c r="E17" s="8"/>
      <c r="F17" s="63"/>
      <c r="G17" s="7" t="s">
        <v>127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152</v>
      </c>
      <c r="B18" s="8"/>
      <c r="C18" s="8"/>
      <c r="D18" s="8"/>
      <c r="E18" s="8"/>
      <c r="F18" s="7"/>
      <c r="G18" s="8" t="s">
        <v>128</v>
      </c>
      <c r="H18" s="8"/>
      <c r="I18" s="8"/>
      <c r="J18" s="8"/>
      <c r="K18" s="8"/>
      <c r="L18" s="8"/>
      <c r="M18" s="8"/>
    </row>
    <row r="19" spans="1:17" ht="13.8" x14ac:dyDescent="0.25">
      <c r="A19" s="125" t="s">
        <v>153</v>
      </c>
      <c r="B19" s="125"/>
      <c r="C19" s="125"/>
      <c r="D19" s="125"/>
      <c r="E19" s="125"/>
      <c r="F19" s="7"/>
      <c r="G19" s="7" t="s">
        <v>129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154</v>
      </c>
      <c r="B20" s="8"/>
      <c r="C20" s="8"/>
      <c r="D20" s="8"/>
      <c r="E20" s="8"/>
      <c r="F20" s="7"/>
      <c r="G20" s="7" t="s">
        <v>130</v>
      </c>
      <c r="H20" s="23"/>
      <c r="I20" s="23"/>
      <c r="J20" s="23"/>
    </row>
    <row r="21" spans="1:17" ht="13.8" x14ac:dyDescent="0.25">
      <c r="A21" s="99"/>
      <c r="B21" s="8"/>
      <c r="C21" s="8"/>
      <c r="D21" s="8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1" t="s">
        <v>118</v>
      </c>
      <c r="D23" s="151"/>
      <c r="E23" s="151"/>
      <c r="F23" s="151"/>
      <c r="G23" s="151"/>
      <c r="H23" s="151"/>
      <c r="I23" s="151"/>
      <c r="J23" s="151"/>
      <c r="K23" s="151"/>
      <c r="L23" s="151"/>
      <c r="M23" s="151"/>
    </row>
    <row r="24" spans="1:17" ht="15.6" x14ac:dyDescent="0.3">
      <c r="A24" s="20" t="s">
        <v>22</v>
      </c>
      <c r="C24" s="18" t="s">
        <v>159</v>
      </c>
      <c r="D24" s="18"/>
      <c r="E24" s="18"/>
      <c r="F24" s="18"/>
      <c r="G24" s="18"/>
      <c r="H24" s="18"/>
      <c r="I24" s="18"/>
      <c r="J24" s="18"/>
      <c r="K24" s="18"/>
      <c r="L24" s="18"/>
      <c r="M24" s="18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">
        <v>160</v>
      </c>
      <c r="F26" s="153"/>
      <c r="G26" s="153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7.6" x14ac:dyDescent="0.25">
      <c r="A30" s="127">
        <v>1</v>
      </c>
      <c r="B30" s="101" t="s">
        <v>134</v>
      </c>
      <c r="C30" s="107" t="s">
        <v>135</v>
      </c>
      <c r="D30" s="109" t="s">
        <v>112</v>
      </c>
      <c r="E30" s="101">
        <v>880</v>
      </c>
      <c r="F30" s="110" t="s">
        <v>27</v>
      </c>
      <c r="G30" s="106">
        <v>22000</v>
      </c>
      <c r="H30" s="106">
        <v>20416</v>
      </c>
      <c r="I30" s="108">
        <v>0.2</v>
      </c>
      <c r="J30" s="13">
        <f t="shared" ref="J30" si="0">H30*I30</f>
        <v>4083.2000000000003</v>
      </c>
      <c r="K30" s="12">
        <v>0</v>
      </c>
      <c r="L30" s="12">
        <v>0</v>
      </c>
      <c r="M30" s="13">
        <f t="shared" ref="M30" si="1">J30</f>
        <v>4083.2000000000003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880</v>
      </c>
      <c r="F31" s="15"/>
      <c r="G31" s="64">
        <f>SUM(G30:G30)</f>
        <v>22000</v>
      </c>
      <c r="H31" s="64">
        <f>SUM(H30:H30)</f>
        <v>20416</v>
      </c>
      <c r="I31" s="102"/>
      <c r="J31" s="17">
        <f>SUM(J30:J30)</f>
        <v>4083.2000000000003</v>
      </c>
      <c r="K31" s="16"/>
      <c r="L31" s="16"/>
      <c r="M31" s="17">
        <f>SUM(M30:M30)</f>
        <v>4083.2000000000003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восемьдесят три доллара США,20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 t="s">
        <v>109</v>
      </c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3.8" x14ac:dyDescent="0.25">
      <c r="A36" s="7" t="s">
        <v>28</v>
      </c>
      <c r="B36" s="7"/>
      <c r="D36" s="25" t="s">
        <v>155</v>
      </c>
      <c r="E36" s="24"/>
    </row>
    <row r="37" spans="1:14" ht="13.8" x14ac:dyDescent="0.25">
      <c r="A37" s="7"/>
      <c r="B37" s="9"/>
    </row>
    <row r="38" spans="1:14" ht="13.8" x14ac:dyDescent="0.25">
      <c r="A38" s="7" t="s">
        <v>18</v>
      </c>
      <c r="B38" s="9"/>
    </row>
    <row r="39" spans="1:14" ht="13.8" x14ac:dyDescent="0.25">
      <c r="A39" s="7"/>
      <c r="B39" s="9"/>
    </row>
    <row r="40" spans="1:14" ht="13.8" x14ac:dyDescent="0.25">
      <c r="A40" s="7" t="s">
        <v>29</v>
      </c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32">
    <mergeCell ref="I28:I29"/>
    <mergeCell ref="G28:H28"/>
    <mergeCell ref="C23:M23"/>
    <mergeCell ref="E26:G26"/>
    <mergeCell ref="G7:M7"/>
    <mergeCell ref="A34:M34"/>
    <mergeCell ref="G15:M15"/>
    <mergeCell ref="G13:M13"/>
    <mergeCell ref="G14:M14"/>
    <mergeCell ref="E32:M32"/>
    <mergeCell ref="E28:E29"/>
    <mergeCell ref="C28:C29"/>
    <mergeCell ref="D28:D29"/>
    <mergeCell ref="A33:M33"/>
    <mergeCell ref="A31:B31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4" zoomScale="115" zoomScaleNormal="115" workbookViewId="0">
      <selection activeCell="F7" sqref="F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“BMB EXIM”</v>
      </c>
    </row>
    <row r="3" spans="1:11" ht="11.25" customHeight="1" x14ac:dyDescent="0.2">
      <c r="B3" s="70" t="str">
        <f>+Инвойс!A6</f>
        <v>Республика Узбекистан, Джизакская область,</v>
      </c>
    </row>
    <row r="4" spans="1:11" ht="11.25" customHeight="1" x14ac:dyDescent="0.2">
      <c r="B4" s="70" t="str">
        <f>+Инвойс!A7</f>
        <v>Шароф Рашидовский район, Токчилик МФЙ, ул Мустакиллик дом 92а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«Западные ворота»</v>
      </c>
    </row>
    <row r="8" spans="1:11" x14ac:dyDescent="0.2">
      <c r="B8" s="70" t="str">
        <f>+Инвойс!G15</f>
        <v>108811, г. Москва, вн.тер.г. муниципальный округ</v>
      </c>
    </row>
    <row r="9" spans="1:11" ht="12.75" customHeight="1" x14ac:dyDescent="0.2">
      <c r="B9" s="70" t="str">
        <f>+Инвойс!G16</f>
        <v>Солнцево, Киевское шоссе, 23-й км, д.8, стр.1</v>
      </c>
    </row>
    <row r="10" spans="1:11" ht="13.5" customHeight="1" x14ac:dyDescent="0.2">
      <c r="B10" s="70" t="s">
        <v>106</v>
      </c>
      <c r="C10" s="70" t="str">
        <f>+Инвойс!G5</f>
        <v>ООО ТД «РЕСУРС»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3" t="s">
        <v>111</v>
      </c>
      <c r="C13" s="113"/>
      <c r="D13" s="113"/>
      <c r="E13" s="113"/>
      <c r="F13" s="113"/>
      <c r="G13" s="113"/>
      <c r="H13" s="113"/>
      <c r="I13" s="113"/>
      <c r="J13" s="113"/>
      <c r="K13" s="113"/>
    </row>
    <row r="14" spans="1:11" ht="11.25" customHeight="1" x14ac:dyDescent="0.2">
      <c r="A14" s="70" t="s">
        <v>91</v>
      </c>
      <c r="B14" s="70" t="s">
        <v>162</v>
      </c>
    </row>
    <row r="15" spans="1:11" ht="7.5" hidden="1" customHeight="1" x14ac:dyDescent="0.2"/>
    <row r="16" spans="1:11" ht="12" customHeight="1" x14ac:dyDescent="0.2">
      <c r="B16" s="70" t="s">
        <v>146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11.08.2025г.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BEZ-A-72 от  11.08.2025г.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107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880</v>
      </c>
      <c r="D30" s="103" t="str">
        <f>+Инвойс!D30</f>
        <v>Карт.Коробок</v>
      </c>
      <c r="E30" s="103"/>
      <c r="F30" s="103" t="str">
        <f>+Инвойс!B30</f>
        <v>Дыни свежие</v>
      </c>
      <c r="G30" s="104" t="str">
        <f>+Инвойс!C30</f>
        <v>0807190001</v>
      </c>
      <c r="H30" s="103"/>
      <c r="I30" s="105">
        <f>+Инвойс!G30</f>
        <v>22000</v>
      </c>
    </row>
    <row r="31" spans="1:9" ht="9" customHeight="1" x14ac:dyDescent="0.2">
      <c r="A31" s="74"/>
      <c r="B31" s="103"/>
      <c r="C31" s="103"/>
      <c r="D31" s="103"/>
      <c r="E31" s="103"/>
      <c r="F31" s="103"/>
      <c r="G31" s="104"/>
      <c r="H31" s="103"/>
      <c r="I31" s="105"/>
    </row>
    <row r="32" spans="1:9" ht="9" customHeight="1" x14ac:dyDescent="0.2">
      <c r="A32" s="74"/>
      <c r="B32" s="103"/>
      <c r="C32" s="103"/>
      <c r="D32" s="103"/>
      <c r="E32" s="103"/>
      <c r="F32" s="103"/>
      <c r="G32" s="104"/>
      <c r="H32" s="103"/>
      <c r="I32" s="105"/>
    </row>
    <row r="33" spans="1:9" ht="9" customHeight="1" x14ac:dyDescent="0.2">
      <c r="A33" s="74"/>
      <c r="B33" s="103"/>
      <c r="C33" s="103"/>
      <c r="D33" s="103"/>
      <c r="E33" s="103"/>
      <c r="F33" s="103"/>
      <c r="G33" s="104"/>
      <c r="H33" s="103"/>
      <c r="I33" s="105"/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СВХ ООО "Уралкомплект" 10412130 - т/п Оренбургский
460027, Оренбургская обл., г. Оренбург, ул. Донгузская, д. 62А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57" t="str">
        <f>+C22</f>
        <v xml:space="preserve"> 11.08.2025г.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10K962QA/108769AA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N28" sqref="N2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0" t="s">
        <v>96</v>
      </c>
      <c r="C2" s="160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1" t="str">
        <f>+Инвойс!E26</f>
        <v>10K962QA/108769AA</v>
      </c>
      <c r="C14" s="161"/>
      <c r="D14" s="161"/>
      <c r="E14" s="161"/>
      <c r="F14" s="161"/>
      <c r="G14" s="161"/>
      <c r="H14" s="162" t="s">
        <v>108</v>
      </c>
      <c r="I14" s="162"/>
      <c r="J14" s="88" t="str">
        <f>+Инвойс!F1</f>
        <v xml:space="preserve"> 11.08.2025г.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3" t="str">
        <f>+CMR!B24</f>
        <v>ИНВОЙС № BEZ-A-72 от  11.08.2025г.</v>
      </c>
      <c r="I15" s="163"/>
      <c r="J15" s="163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7"/>
      <c r="F18" s="118">
        <f>+Инвойс!E30</f>
        <v>880</v>
      </c>
      <c r="G18" s="164" t="str">
        <f>+CMR!F30</f>
        <v>Дыни свежие</v>
      </c>
      <c r="H18" s="164"/>
      <c r="I18" s="119"/>
      <c r="J18" s="120"/>
    </row>
    <row r="19" spans="2:10" ht="11.25" customHeight="1" x14ac:dyDescent="0.3">
      <c r="B19" s="91"/>
      <c r="E19" s="117"/>
      <c r="F19" s="121" t="str">
        <f>+Инвойс!D30</f>
        <v>Карт.Коробок</v>
      </c>
      <c r="G19" s="158" t="str">
        <f>+Инвойс!C30</f>
        <v>0807190001</v>
      </c>
      <c r="H19" s="159"/>
      <c r="I19" s="122" t="s">
        <v>103</v>
      </c>
      <c r="J19" s="120">
        <f>+Инвойс!G30</f>
        <v>22000</v>
      </c>
    </row>
    <row r="20" spans="2:10" ht="13.5" customHeight="1" x14ac:dyDescent="0.3">
      <c r="B20" s="83"/>
      <c r="E20" s="123"/>
      <c r="F20" s="118"/>
      <c r="G20" s="164"/>
      <c r="H20" s="164"/>
      <c r="I20" s="119"/>
      <c r="J20" s="120"/>
    </row>
    <row r="21" spans="2:10" ht="13.5" customHeight="1" x14ac:dyDescent="0.3">
      <c r="B21" s="83" t="s">
        <v>104</v>
      </c>
      <c r="E21" s="123"/>
      <c r="F21" s="121"/>
      <c r="G21" s="158"/>
      <c r="H21" s="159"/>
      <c r="I21" s="122"/>
      <c r="J21" s="120"/>
    </row>
    <row r="22" spans="2:10" ht="12.75" customHeight="1" x14ac:dyDescent="0.3">
      <c r="B22" s="83"/>
      <c r="E22" s="123"/>
      <c r="F22" s="118"/>
      <c r="G22" s="164"/>
      <c r="H22" s="164"/>
      <c r="I22" s="119"/>
      <c r="J22" s="120"/>
    </row>
    <row r="23" spans="2:10" ht="14.25" customHeight="1" x14ac:dyDescent="0.3">
      <c r="B23" s="83"/>
      <c r="E23" s="123"/>
      <c r="F23" s="121"/>
      <c r="G23" s="158"/>
      <c r="H23" s="159"/>
      <c r="I23" s="122"/>
      <c r="J23" s="120"/>
    </row>
    <row r="24" spans="2:10" ht="12.75" customHeight="1" x14ac:dyDescent="0.3">
      <c r="B24" s="87"/>
      <c r="E24" s="123"/>
      <c r="F24" s="118"/>
      <c r="G24" s="164"/>
      <c r="H24" s="164"/>
      <c r="I24" s="119"/>
      <c r="J24" s="120"/>
    </row>
    <row r="25" spans="2:10" ht="12.75" customHeight="1" x14ac:dyDescent="0.3">
      <c r="B25" s="87"/>
      <c r="E25" s="123"/>
      <c r="F25" s="121"/>
      <c r="G25" s="158"/>
      <c r="H25" s="159"/>
      <c r="I25" s="122"/>
      <c r="J25" s="120"/>
    </row>
    <row r="26" spans="2:10" ht="12" customHeight="1" x14ac:dyDescent="0.3">
      <c r="B26" s="87"/>
      <c r="E26" s="123"/>
      <c r="F26" s="118"/>
      <c r="G26" s="164"/>
      <c r="H26" s="164"/>
      <c r="I26" s="119"/>
      <c r="J26" s="120"/>
    </row>
    <row r="27" spans="2:10" ht="14.25" customHeight="1" x14ac:dyDescent="0.3">
      <c r="B27" s="87"/>
      <c r="E27" s="123"/>
      <c r="F27" s="121"/>
      <c r="G27" s="158"/>
      <c r="H27" s="159"/>
      <c r="I27" s="122"/>
      <c r="J27" s="120"/>
    </row>
    <row r="28" spans="2:10" ht="12.75" customHeight="1" x14ac:dyDescent="0.3">
      <c r="B28" s="87"/>
      <c r="E28" s="123"/>
      <c r="F28" s="118"/>
      <c r="G28" s="164"/>
      <c r="H28" s="164"/>
      <c r="I28" s="119"/>
      <c r="J28" s="120"/>
    </row>
    <row r="29" spans="2:10" ht="12.75" customHeight="1" x14ac:dyDescent="0.3">
      <c r="B29" s="87"/>
      <c r="E29" s="123"/>
      <c r="F29" s="121"/>
      <c r="G29" s="158"/>
      <c r="H29" s="159"/>
      <c r="I29" s="122"/>
      <c r="J29" s="120"/>
    </row>
    <row r="30" spans="2:10" ht="12.75" customHeight="1" x14ac:dyDescent="0.3">
      <c r="B30" s="87"/>
      <c r="E30" s="123"/>
      <c r="F30" s="118"/>
      <c r="G30" s="164"/>
      <c r="H30" s="164"/>
      <c r="I30" s="119"/>
      <c r="J30" s="120"/>
    </row>
    <row r="31" spans="2:10" ht="13.5" customHeight="1" x14ac:dyDescent="0.3">
      <c r="B31" s="87"/>
      <c r="E31" s="123"/>
      <c r="F31" s="121"/>
      <c r="G31" s="158"/>
      <c r="H31" s="159"/>
      <c r="I31" s="122"/>
      <c r="J31" s="120"/>
    </row>
    <row r="32" spans="2:10" ht="13.5" customHeight="1" x14ac:dyDescent="0.3">
      <c r="B32" s="87"/>
      <c r="E32" s="123"/>
      <c r="F32" s="118"/>
      <c r="G32" s="164"/>
      <c r="H32" s="164"/>
      <c r="I32" s="119"/>
      <c r="J32" s="120"/>
    </row>
    <row r="33" spans="2:10" ht="13.5" customHeight="1" x14ac:dyDescent="0.3">
      <c r="B33" s="87"/>
      <c r="E33" s="123"/>
      <c r="F33" s="121"/>
      <c r="G33" s="158"/>
      <c r="H33" s="159"/>
      <c r="I33" s="122"/>
      <c r="J33" s="120"/>
    </row>
    <row r="34" spans="2:10" ht="13.5" customHeight="1" x14ac:dyDescent="0.3">
      <c r="B34" s="87"/>
      <c r="E34" s="123"/>
      <c r="F34" s="118"/>
      <c r="G34" s="164"/>
      <c r="H34" s="164"/>
      <c r="I34" s="119"/>
      <c r="J34" s="120"/>
    </row>
    <row r="35" spans="2:10" ht="12.75" customHeight="1" x14ac:dyDescent="0.3">
      <c r="B35" s="87"/>
      <c r="E35" s="123"/>
      <c r="F35" s="121"/>
      <c r="G35" s="158"/>
      <c r="H35" s="159"/>
      <c r="I35" s="122"/>
      <c r="J35" s="120"/>
    </row>
    <row r="36" spans="2:10" x14ac:dyDescent="0.3">
      <c r="B36" s="87"/>
      <c r="E36" s="123"/>
      <c r="F36" s="118"/>
      <c r="G36" s="164"/>
      <c r="H36" s="164"/>
      <c r="I36" s="119"/>
      <c r="J36" s="120"/>
    </row>
    <row r="37" spans="2:10" ht="13.5" customHeight="1" x14ac:dyDescent="0.3">
      <c r="B37" s="87"/>
      <c r="E37" s="123"/>
      <c r="F37" s="121"/>
      <c r="G37" s="158"/>
      <c r="H37" s="159"/>
      <c r="I37" s="122"/>
      <c r="J37" s="120"/>
    </row>
    <row r="38" spans="2:10" x14ac:dyDescent="0.3">
      <c r="B38" s="87"/>
      <c r="E38" s="123"/>
      <c r="F38" s="118"/>
      <c r="G38" s="164"/>
      <c r="H38" s="164"/>
      <c r="I38" s="119"/>
      <c r="J38" s="120"/>
    </row>
    <row r="39" spans="2:10" ht="13.5" customHeight="1" x14ac:dyDescent="0.3">
      <c r="B39" s="87"/>
      <c r="E39" s="123"/>
      <c r="F39" s="121"/>
      <c r="G39" s="158"/>
      <c r="H39" s="159"/>
      <c r="I39" s="122"/>
      <c r="J39" s="120"/>
    </row>
    <row r="40" spans="2:10" ht="14.25" hidden="1" customHeight="1" x14ac:dyDescent="0.3">
      <c r="B40" s="87"/>
      <c r="E40" s="123"/>
      <c r="F40" s="118"/>
      <c r="G40" s="164"/>
      <c r="H40" s="164"/>
      <c r="I40" s="119"/>
      <c r="J40" s="120"/>
    </row>
    <row r="41" spans="2:10" ht="14.25" hidden="1" customHeight="1" x14ac:dyDescent="0.3">
      <c r="B41" s="87"/>
      <c r="E41" s="123"/>
      <c r="F41" s="121"/>
      <c r="G41" s="158"/>
      <c r="H41" s="159"/>
      <c r="I41" s="122"/>
      <c r="J41" s="120"/>
    </row>
    <row r="42" spans="2:10" hidden="1" x14ac:dyDescent="0.3">
      <c r="B42" s="87"/>
      <c r="E42" s="123"/>
      <c r="F42" s="118"/>
      <c r="G42" s="164"/>
      <c r="H42" s="164"/>
      <c r="I42" s="119"/>
      <c r="J42" s="120"/>
    </row>
    <row r="43" spans="2:10" x14ac:dyDescent="0.3">
      <c r="B43" s="87"/>
      <c r="E43" s="123"/>
      <c r="F43" s="121"/>
      <c r="G43" s="158"/>
      <c r="H43" s="159"/>
      <c r="I43" s="122"/>
      <c r="J43" s="120"/>
    </row>
    <row r="44" spans="2:10" ht="9" customHeight="1" x14ac:dyDescent="0.3">
      <c r="B44" s="87"/>
      <c r="E44" s="95"/>
      <c r="F44" s="92"/>
      <c r="G44" s="166"/>
      <c r="H44" s="166"/>
      <c r="I44" s="94"/>
      <c r="J44" s="124"/>
    </row>
    <row r="45" spans="2:10" ht="15" customHeight="1" x14ac:dyDescent="0.3">
      <c r="B45" s="87"/>
      <c r="E45" s="95"/>
      <c r="F45" s="92"/>
      <c r="G45" s="93"/>
      <c r="H45" s="94"/>
      <c r="I45" s="122"/>
      <c r="J45" s="120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7">
        <f>+F18+F20+F22+F24+F26+F28+F30+F32+F34+F36+F38+F40+F42</f>
        <v>880</v>
      </c>
      <c r="E47" s="168"/>
    </row>
    <row r="48" spans="2:10" ht="17.25" customHeight="1" x14ac:dyDescent="0.3">
      <c r="B48" s="165" t="s">
        <v>105</v>
      </c>
      <c r="C48" s="165"/>
      <c r="D48" s="165"/>
      <c r="E48" s="165"/>
    </row>
    <row r="49" spans="2:5" ht="21.75" customHeight="1" x14ac:dyDescent="0.3">
      <c r="B49" s="165"/>
      <c r="C49" s="165"/>
      <c r="D49" s="165"/>
      <c r="E49" s="165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EACC-D609-4F9A-87C5-D88DE665CFD1}">
  <sheetPr>
    <pageSetUpPr fitToPage="1"/>
  </sheetPr>
  <dimension ref="A1:Q42"/>
  <sheetViews>
    <sheetView topLeftCell="A16" zoomScale="85" zoomScaleNormal="85" workbookViewId="0">
      <selection activeCell="P29" sqref="P29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2" t="s">
        <v>161</v>
      </c>
      <c r="C1" s="172"/>
      <c r="D1" s="172"/>
      <c r="E1" s="172"/>
      <c r="F1" s="132" t="str">
        <f>+Инвойс!F1</f>
        <v xml:space="preserve"> 11.08.2025г.</v>
      </c>
      <c r="G1" s="132"/>
      <c r="H1" s="132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39" t="str">
        <f>+Инвойс!C2</f>
        <v>к контракту № EX1607 от 16.07.2025 года</v>
      </c>
      <c r="D2" s="139"/>
      <c r="E2" s="139"/>
      <c r="F2" s="139"/>
      <c r="G2" s="139"/>
      <c r="H2" s="139"/>
      <c r="I2" s="13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5" t="s">
        <v>19</v>
      </c>
      <c r="B4" s="135"/>
      <c r="C4" s="135"/>
      <c r="D4" s="135"/>
      <c r="E4" s="135"/>
      <c r="G4" s="135" t="s">
        <v>20</v>
      </c>
      <c r="H4" s="135"/>
      <c r="I4" s="135"/>
      <c r="J4" s="135"/>
      <c r="K4" s="135"/>
      <c r="L4" s="135"/>
      <c r="M4" s="135"/>
    </row>
    <row r="5" spans="1:15" ht="14.25" customHeight="1" x14ac:dyDescent="0.25">
      <c r="A5" s="134" t="str">
        <f>+Инвойс!A5</f>
        <v>OOO “BMB EXIM”</v>
      </c>
      <c r="B5" s="134"/>
      <c r="C5" s="134"/>
      <c r="D5" s="134"/>
      <c r="E5" s="134"/>
      <c r="F5" s="6"/>
      <c r="G5" s="136" t="str">
        <f>+Инвойс!G5</f>
        <v>ООО ТД «РЕСУРС»</v>
      </c>
      <c r="H5" s="136"/>
      <c r="I5" s="136"/>
      <c r="J5" s="136"/>
      <c r="K5" s="136"/>
      <c r="L5" s="136"/>
      <c r="M5" s="136"/>
    </row>
    <row r="6" spans="1:15" ht="13.8" x14ac:dyDescent="0.25">
      <c r="A6" s="170" t="str">
        <f>+Инвойс!A6</f>
        <v>Республика Узбекистан, Джизакская область,</v>
      </c>
      <c r="B6" s="170"/>
      <c r="C6" s="170"/>
      <c r="D6" s="170"/>
      <c r="E6" s="170"/>
      <c r="F6" s="7"/>
      <c r="G6" s="169" t="str">
        <f>+Инвойс!G6</f>
        <v xml:space="preserve">125362, Город Москва, вн.тер.г. муниципальный округ 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Шароф Рашидовский район, Токчилик МФЙ, ул Мустакиллик дом 92а</v>
      </c>
      <c r="B7" s="170"/>
      <c r="C7" s="170"/>
      <c r="D7" s="170"/>
      <c r="E7" s="170"/>
      <c r="F7" s="63"/>
      <c r="G7" s="169" t="str">
        <f>+Инвойс!G7</f>
        <v xml:space="preserve">Южное Тушино, ул Свободы, д. 35, стр. 43, помещ. 92/3 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>Р/с N 20208840905433267001   (USD)</v>
      </c>
      <c r="B8" s="170"/>
      <c r="C8" s="170"/>
      <c r="D8" s="170"/>
      <c r="E8" s="170"/>
      <c r="F8" s="63"/>
      <c r="G8" s="169" t="str">
        <f>+Инвойс!G8</f>
        <v>Банк: Азия-Инвест Банк (АО) ИНН: 9705116064 КПП: 770501001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в “Узсаноаткурилиш” Банк операционный </v>
      </c>
      <c r="B9" s="170"/>
      <c r="C9" s="170"/>
      <c r="D9" s="170"/>
      <c r="E9" s="170"/>
      <c r="F9" s="7"/>
      <c r="G9" s="169" t="str">
        <f>+Инвойс!G9</f>
        <v xml:space="preserve">Р/Счет: 40702840100000019384 ; БИК:  044525234 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 00440</v>
      </c>
      <c r="B10" s="170"/>
      <c r="C10" s="170"/>
      <c r="D10" s="170"/>
      <c r="E10" s="170"/>
      <c r="F10" s="7"/>
      <c r="G10" s="169" t="str">
        <f>+Инвойс!G10</f>
        <v xml:space="preserve">Корр.счет: 30101810445250000234 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308822933</v>
      </c>
      <c r="B11" s="170"/>
      <c r="C11" s="170"/>
      <c r="D11" s="170"/>
      <c r="E11" s="170"/>
      <c r="F11" s="7"/>
      <c r="G11" s="169" t="str">
        <f>+Инвойс!G11</f>
        <v>(SWIFT code: ASIJRUMM)</v>
      </c>
      <c r="H11" s="169"/>
      <c r="I11" s="169"/>
      <c r="J11" s="169"/>
      <c r="K11" s="169"/>
      <c r="L11" s="169"/>
      <c r="M11" s="169"/>
    </row>
    <row r="12" spans="1:15" ht="36" customHeight="1" x14ac:dyDescent="0.25">
      <c r="A12" s="137"/>
      <c r="B12" s="137"/>
      <c r="C12" s="137"/>
      <c r="D12" s="137"/>
      <c r="E12" s="137"/>
      <c r="F12" s="7"/>
      <c r="G12" s="137"/>
      <c r="H12" s="137"/>
      <c r="I12" s="137"/>
      <c r="J12" s="137"/>
      <c r="K12" s="137"/>
      <c r="L12" s="137"/>
      <c r="M12" s="137"/>
    </row>
    <row r="13" spans="1:15" ht="24" customHeight="1" x14ac:dyDescent="0.35">
      <c r="A13" s="135" t="s">
        <v>31</v>
      </c>
      <c r="B13" s="135"/>
      <c r="C13" s="135"/>
      <c r="D13" s="135"/>
      <c r="E13" s="135"/>
      <c r="G13" s="135" t="s">
        <v>21</v>
      </c>
      <c r="H13" s="142"/>
      <c r="I13" s="142"/>
      <c r="J13" s="142"/>
      <c r="K13" s="142"/>
      <c r="L13" s="142"/>
      <c r="M13" s="142"/>
    </row>
    <row r="14" spans="1:15" ht="14.25" customHeight="1" x14ac:dyDescent="0.25">
      <c r="A14" s="134" t="str">
        <f>+Инвойс!A14</f>
        <v>OOO “BMB EXIM”</v>
      </c>
      <c r="B14" s="134"/>
      <c r="C14" s="134"/>
      <c r="D14" s="134"/>
      <c r="E14" s="134"/>
      <c r="F14" s="6"/>
      <c r="G14" s="136" t="str">
        <f>+Инвойс!G14</f>
        <v>OOO «Западные ворота»</v>
      </c>
      <c r="H14" s="136"/>
      <c r="I14" s="136"/>
      <c r="J14" s="136"/>
      <c r="K14" s="136"/>
      <c r="L14" s="136"/>
      <c r="M14" s="136"/>
    </row>
    <row r="15" spans="1:15" ht="13.95" customHeight="1" x14ac:dyDescent="0.25">
      <c r="A15" s="170" t="str">
        <f>+Инвойс!A15</f>
        <v>Республика Узбекистан, Джизакская область,</v>
      </c>
      <c r="B15" s="170"/>
      <c r="C15" s="170"/>
      <c r="D15" s="170"/>
      <c r="E15" s="170"/>
      <c r="F15" s="7"/>
      <c r="G15" s="169" t="str">
        <f>+Инвойс!G15</f>
        <v>108811, г. Москва, вн.тер.г. муниципальный округ</v>
      </c>
      <c r="H15" s="169"/>
      <c r="I15" s="169"/>
      <c r="J15" s="169"/>
      <c r="K15" s="169"/>
      <c r="L15" s="169"/>
      <c r="M15" s="169"/>
    </row>
    <row r="16" spans="1:15" ht="13.8" x14ac:dyDescent="0.25">
      <c r="A16" s="170" t="str">
        <f>+Инвойс!A16</f>
        <v>Шароф Рашидовский район, Токчилик МФЙ, ул Мустакиллик дом 92а</v>
      </c>
      <c r="B16" s="170"/>
      <c r="C16" s="170"/>
      <c r="D16" s="170"/>
      <c r="E16" s="170"/>
      <c r="F16" s="63"/>
      <c r="G16" s="169" t="str">
        <f>+Инвойс!G16</f>
        <v>Солнцево, Киевское шоссе, 23-й км, д.8, стр.1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>Р/с N 20208840905433267001   (USD)</v>
      </c>
      <c r="B17" s="170"/>
      <c r="C17" s="170"/>
      <c r="D17" s="170"/>
      <c r="E17" s="170"/>
      <c r="F17" s="63"/>
      <c r="G17" s="169" t="str">
        <f>+Инвойс!G17</f>
        <v xml:space="preserve">р/с USD 40702810501400013450 </v>
      </c>
      <c r="H17" s="169"/>
      <c r="I17" s="169"/>
      <c r="J17" s="169"/>
      <c r="K17" s="169"/>
      <c r="L17" s="169"/>
      <c r="M17" s="169"/>
    </row>
    <row r="18" spans="1:17" ht="13.8" x14ac:dyDescent="0.25">
      <c r="A18" s="170" t="str">
        <f>+Инвойс!A18</f>
        <v xml:space="preserve">в “Узсаноаткурилиш” Банк операционный </v>
      </c>
      <c r="B18" s="170"/>
      <c r="C18" s="170"/>
      <c r="D18" s="170"/>
      <c r="E18" s="170"/>
      <c r="F18" s="7"/>
      <c r="G18" s="169" t="str">
        <f>+Инвойс!G18</f>
        <v>Банк: Филиал АО «АЛЬФА-БАНК»</v>
      </c>
      <c r="H18" s="169"/>
      <c r="I18" s="169"/>
      <c r="J18" s="169"/>
      <c r="K18" s="169"/>
      <c r="L18" s="169"/>
      <c r="M18" s="169"/>
    </row>
    <row r="19" spans="1:17" ht="13.8" x14ac:dyDescent="0.25">
      <c r="A19" s="170" t="str">
        <f>+Инвойс!A19</f>
        <v>МФО 00440</v>
      </c>
      <c r="B19" s="170"/>
      <c r="C19" s="170"/>
      <c r="D19" s="170"/>
      <c r="E19" s="170"/>
      <c r="F19" s="7"/>
      <c r="G19" s="169" t="str">
        <f>+Инвойс!G19</f>
        <v>к/с:  30101810200000000593</v>
      </c>
      <c r="H19" s="169"/>
      <c r="I19" s="169"/>
      <c r="J19" s="169"/>
      <c r="K19" s="169"/>
      <c r="L19" s="169"/>
      <c r="M19" s="169"/>
    </row>
    <row r="20" spans="1:17" ht="13.8" x14ac:dyDescent="0.25">
      <c r="A20" s="170" t="str">
        <f>+Инвойс!A20</f>
        <v>ИНН: 308822933</v>
      </c>
      <c r="B20" s="170"/>
      <c r="C20" s="170"/>
      <c r="D20" s="170"/>
      <c r="E20" s="170"/>
      <c r="F20" s="7"/>
      <c r="G20" s="169" t="str">
        <f>+Инвойс!G20</f>
        <v>ИНН/КПП 5004025693/775101001 ОГРН 1135004001802</v>
      </c>
      <c r="H20" s="169"/>
      <c r="I20" s="169"/>
      <c r="J20" s="169"/>
      <c r="K20" s="169"/>
      <c r="L20" s="169"/>
      <c r="M20" s="169"/>
    </row>
    <row r="21" spans="1:17" ht="13.8" x14ac:dyDescent="0.25">
      <c r="A21" s="170"/>
      <c r="B21" s="170"/>
      <c r="C21" s="170"/>
      <c r="D21" s="170"/>
      <c r="E21" s="170"/>
      <c r="G21" s="7"/>
      <c r="H21" s="23"/>
      <c r="I21" s="23"/>
      <c r="J21" s="23"/>
    </row>
    <row r="22" spans="1:17" ht="43.5" customHeight="1" x14ac:dyDescent="0.3">
      <c r="A22" s="1" t="s">
        <v>132</v>
      </c>
      <c r="C22" s="65"/>
      <c r="F22" s="1"/>
    </row>
    <row r="23" spans="1:17" ht="26.25" hidden="1" customHeight="1" x14ac:dyDescent="0.25">
      <c r="A23" s="69" t="s">
        <v>87</v>
      </c>
      <c r="B23" s="68"/>
      <c r="C23" s="171" t="s">
        <v>115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Амандык , Республика Казахстан</v>
      </c>
      <c r="D24" s="114"/>
      <c r="E24" s="114"/>
      <c r="F24" s="114"/>
      <c r="G24" s="114"/>
      <c r="H24" s="114"/>
      <c r="I24" s="114"/>
      <c r="J24" s="114"/>
      <c r="K24" s="114"/>
      <c r="L24" s="114"/>
      <c r="M24" s="114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2" t="str">
        <f>+Инвойс!E26</f>
        <v>10K962QA/108769AA</v>
      </c>
      <c r="F26" s="153"/>
      <c r="G26" s="153"/>
      <c r="J26" s="21"/>
    </row>
    <row r="27" spans="1:17" ht="34.5" customHeight="1" x14ac:dyDescent="0.25">
      <c r="A27" s="67" t="s">
        <v>133</v>
      </c>
      <c r="C27" s="18"/>
      <c r="E27" s="22"/>
      <c r="F27" s="22"/>
      <c r="G27" s="22"/>
      <c r="J27" s="21"/>
    </row>
    <row r="28" spans="1:17" ht="24" customHeight="1" x14ac:dyDescent="0.25">
      <c r="A28" s="145" t="s">
        <v>1</v>
      </c>
      <c r="B28" s="145" t="s">
        <v>2</v>
      </c>
      <c r="C28" s="145" t="s">
        <v>3</v>
      </c>
      <c r="D28" s="145" t="s">
        <v>4</v>
      </c>
      <c r="E28" s="145" t="s">
        <v>5</v>
      </c>
      <c r="F28" s="145" t="s">
        <v>6</v>
      </c>
      <c r="G28" s="149" t="s">
        <v>7</v>
      </c>
      <c r="H28" s="150"/>
      <c r="I28" s="145" t="s">
        <v>8</v>
      </c>
      <c r="J28" s="111" t="s">
        <v>9</v>
      </c>
      <c r="K28" s="149" t="s">
        <v>10</v>
      </c>
      <c r="L28" s="150"/>
      <c r="M28" s="145" t="s">
        <v>11</v>
      </c>
    </row>
    <row r="29" spans="1:17" ht="31.8" x14ac:dyDescent="0.25">
      <c r="A29" s="146"/>
      <c r="B29" s="146"/>
      <c r="C29" s="146"/>
      <c r="D29" s="146"/>
      <c r="E29" s="146"/>
      <c r="F29" s="146"/>
      <c r="G29" s="111" t="s">
        <v>12</v>
      </c>
      <c r="H29" s="111" t="s">
        <v>13</v>
      </c>
      <c r="I29" s="146"/>
      <c r="J29" s="112" t="s">
        <v>14</v>
      </c>
      <c r="K29" s="10" t="s">
        <v>15</v>
      </c>
      <c r="L29" s="10" t="s">
        <v>16</v>
      </c>
      <c r="M29" s="146"/>
    </row>
    <row r="30" spans="1:17" ht="22.2" customHeight="1" x14ac:dyDescent="0.25">
      <c r="A30" s="127">
        <f>+Инвойс!A30</f>
        <v>1</v>
      </c>
      <c r="B30" s="101" t="str">
        <f>+Инвойс!B30</f>
        <v>Дыни свежие</v>
      </c>
      <c r="C30" s="107" t="str">
        <f>+Инвойс!C30</f>
        <v>0807190001</v>
      </c>
      <c r="D30" s="115" t="str">
        <f>+Инвойс!D30</f>
        <v>Карт.Коробок</v>
      </c>
      <c r="E30" s="101">
        <f>+Инвойс!E30</f>
        <v>880</v>
      </c>
      <c r="F30" s="116" t="str">
        <f>+Инвойс!F30</f>
        <v>кг</v>
      </c>
      <c r="G30" s="106">
        <f>+Инвойс!G30</f>
        <v>22000</v>
      </c>
      <c r="H30" s="106">
        <f>+Инвойс!H30</f>
        <v>20416</v>
      </c>
      <c r="I30" s="108">
        <f>+Инвойс!I30</f>
        <v>0.2</v>
      </c>
      <c r="J30" s="13">
        <f>+Инвойс!J30</f>
        <v>4083.2000000000003</v>
      </c>
      <c r="K30" s="12">
        <v>0</v>
      </c>
      <c r="L30" s="12">
        <v>0</v>
      </c>
      <c r="M30" s="13">
        <f>+Инвойс!M30</f>
        <v>4083.2000000000003</v>
      </c>
      <c r="O30" s="100"/>
      <c r="Q30" s="100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880</v>
      </c>
      <c r="F31" s="15"/>
      <c r="G31" s="64">
        <f>SUM(G30:G30)</f>
        <v>22000</v>
      </c>
      <c r="H31" s="64">
        <f>SUM(H30:H30)</f>
        <v>20416</v>
      </c>
      <c r="I31" s="102"/>
      <c r="J31" s="17">
        <f>SUM(J30:J30)</f>
        <v>4083.2000000000003</v>
      </c>
      <c r="K31" s="16"/>
      <c r="L31" s="16"/>
      <c r="M31" s="17">
        <f>SUM(M30:M30)</f>
        <v>4083.2000000000003</v>
      </c>
      <c r="P31" s="66"/>
    </row>
    <row r="32" spans="1:17" ht="13.8" x14ac:dyDescent="0.3">
      <c r="A32" s="2" t="s">
        <v>17</v>
      </c>
      <c r="B32" s="3"/>
      <c r="C32" s="11"/>
      <c r="D32" s="11"/>
      <c r="E32" s="143" t="str">
        <f>Лист1!B3</f>
        <v>Четыре тысячи восемьдесят три доллара США,20 центов.</v>
      </c>
      <c r="F32" s="144"/>
      <c r="G32" s="144"/>
      <c r="H32" s="144"/>
      <c r="I32" s="144"/>
      <c r="J32" s="144"/>
      <c r="K32" s="144"/>
      <c r="L32" s="144"/>
      <c r="M32" s="144"/>
    </row>
    <row r="33" spans="1:14" ht="20.25" customHeight="1" x14ac:dyDescent="0.25">
      <c r="A33" s="140"/>
      <c r="B33" s="140"/>
      <c r="C33" s="140"/>
      <c r="D33" s="140"/>
      <c r="E33" s="140"/>
      <c r="F33" s="140"/>
      <c r="G33" s="140"/>
      <c r="H33" s="140"/>
      <c r="I33" s="140"/>
      <c r="J33" s="140"/>
      <c r="K33" s="140"/>
      <c r="L33" s="140"/>
      <c r="M33" s="140"/>
    </row>
    <row r="34" spans="1:14" ht="25.5" customHeight="1" x14ac:dyDescent="0.25">
      <c r="A34" s="140"/>
      <c r="B34" s="140"/>
      <c r="C34" s="140"/>
      <c r="D34" s="140"/>
      <c r="E34" s="140"/>
      <c r="F34" s="140"/>
      <c r="G34" s="140"/>
      <c r="H34" s="140"/>
      <c r="I34" s="140"/>
      <c r="J34" s="140"/>
      <c r="K34" s="140"/>
      <c r="L34" s="140"/>
      <c r="M34" s="140"/>
      <c r="N34" s="26"/>
    </row>
    <row r="36" spans="1:14" ht="15.6" x14ac:dyDescent="0.3">
      <c r="A36" s="7" t="s">
        <v>156</v>
      </c>
      <c r="B36" s="7"/>
      <c r="D36" s="25" t="s">
        <v>155</v>
      </c>
      <c r="E36" s="24"/>
      <c r="G36" s="129" t="s">
        <v>144</v>
      </c>
      <c r="H36" t="str">
        <f>Инвойс!G5</f>
        <v>ООО ТД «РЕСУРС»</v>
      </c>
      <c r="K36" s="130" t="s">
        <v>145</v>
      </c>
    </row>
    <row r="37" spans="1:14" ht="13.8" x14ac:dyDescent="0.25">
      <c r="A37" s="7"/>
      <c r="B37" s="9"/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8"/>
      <c r="B41" s="9"/>
    </row>
    <row r="42" spans="1:14" x14ac:dyDescent="0.25">
      <c r="A42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3:M33"/>
    <mergeCell ref="A34:M34"/>
    <mergeCell ref="G28:H28"/>
    <mergeCell ref="I28:I29"/>
    <mergeCell ref="K28:L28"/>
    <mergeCell ref="M28:M29"/>
    <mergeCell ref="A31:B31"/>
    <mergeCell ref="E32:M32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9"/>
  <sheetViews>
    <sheetView zoomScale="85" zoomScaleNormal="85" workbookViewId="0">
      <selection activeCell="A7" sqref="A7"/>
    </sheetView>
  </sheetViews>
  <sheetFormatPr defaultRowHeight="13.2" x14ac:dyDescent="0.25"/>
  <cols>
    <col min="1" max="1" width="48.6640625" bestFit="1" customWidth="1"/>
  </cols>
  <sheetData>
    <row r="1" spans="1:1" ht="39.6" x14ac:dyDescent="0.25">
      <c r="A1" s="126" t="s">
        <v>116</v>
      </c>
    </row>
    <row r="3" spans="1:1" ht="52.8" x14ac:dyDescent="0.25">
      <c r="A3" s="131" t="s">
        <v>136</v>
      </c>
    </row>
    <row r="5" spans="1:1" ht="39.6" x14ac:dyDescent="0.25">
      <c r="A5" s="126" t="s">
        <v>117</v>
      </c>
    </row>
    <row r="7" spans="1:1" ht="52.8" x14ac:dyDescent="0.25">
      <c r="A7" s="126" t="s">
        <v>118</v>
      </c>
    </row>
    <row r="9" spans="1:1" ht="52.8" x14ac:dyDescent="0.25">
      <c r="A9" s="126" t="s">
        <v>119</v>
      </c>
    </row>
    <row r="10" spans="1:1" x14ac:dyDescent="0.25">
      <c r="A10" s="126"/>
    </row>
    <row r="11" spans="1:1" ht="52.8" x14ac:dyDescent="0.25">
      <c r="A11" s="126" t="s">
        <v>120</v>
      </c>
    </row>
    <row r="13" spans="1:1" ht="52.8" x14ac:dyDescent="0.25">
      <c r="A13" s="126" t="s">
        <v>121</v>
      </c>
    </row>
    <row r="15" spans="1:1" ht="39.6" x14ac:dyDescent="0.25">
      <c r="A15" s="126" t="s">
        <v>122</v>
      </c>
    </row>
    <row r="17" spans="1:1" ht="39.6" x14ac:dyDescent="0.25">
      <c r="A17" s="126" t="s">
        <v>123</v>
      </c>
    </row>
    <row r="19" spans="1:1" ht="39.6" x14ac:dyDescent="0.25">
      <c r="A19" s="128" t="s">
        <v>131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5" t="s">
        <v>32</v>
      </c>
      <c r="B1" s="175"/>
      <c r="C1" s="175"/>
      <c r="D1" s="175"/>
      <c r="E1" s="175"/>
      <c r="F1" s="175"/>
      <c r="G1" s="175"/>
      <c r="H1" s="175"/>
      <c r="I1" s="175"/>
      <c r="J1" s="175"/>
      <c r="K1" s="175"/>
      <c r="L1" s="175"/>
      <c r="M1" s="175"/>
      <c r="N1" s="175"/>
    </row>
    <row r="2" spans="1:19" ht="15.6" x14ac:dyDescent="0.3">
      <c r="E2" s="27">
        <f>Инвойс!M31</f>
        <v>4083.2000000000003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Четыре тысячи восемьдесят три доллара США,20 центов.</v>
      </c>
      <c r="E3" s="31"/>
      <c r="H3" s="32"/>
      <c r="J3" s="32"/>
      <c r="K3" s="32"/>
      <c r="L3" s="32"/>
      <c r="M3" s="33" t="s">
        <v>34</v>
      </c>
      <c r="N3" s="176">
        <f ca="1">TODAY()</f>
        <v>45880</v>
      </c>
      <c r="O3" s="176"/>
      <c r="P3">
        <f ca="1">DAY(N3)</f>
        <v>11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Четыре тысячи восемьдесят три доллара США,20 центов. (в т.ч. НДС - 357,79)</v>
      </c>
      <c r="H4" s="32"/>
      <c r="I4" s="32"/>
      <c r="J4" s="32"/>
      <c r="K4" s="177" t="str">
        <f ca="1">CONCATENATE(" «  ",P3,"  »  ",Q3,"  ",R3," г.")</f>
        <v xml:space="preserve"> «  11  »  августа  2025 г.</v>
      </c>
      <c r="L4" s="177"/>
      <c r="M4" s="177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четыре тысячи восемьдесят три доллара США,20 центов.</v>
      </c>
    </row>
    <row r="6" spans="1:19" s="36" customFormat="1" x14ac:dyDescent="0.25">
      <c r="A6" s="38" t="s">
        <v>37</v>
      </c>
      <c r="B6" s="36" t="str">
        <f>CONCATENATE(A8,A9,A10,A11,A12,B8,B9,C9)</f>
        <v>четыре тысячи восемьдесят три доллара США,20 центов. (в т.ч. НДС - 357,79)</v>
      </c>
      <c r="C6"/>
      <c r="D6"/>
      <c r="E6"/>
      <c r="H6" s="39"/>
    </row>
    <row r="7" spans="1:19" x14ac:dyDescent="0.25">
      <c r="D7" s="33"/>
      <c r="H7" s="178" t="s">
        <v>38</v>
      </c>
      <c r="I7" s="178"/>
      <c r="J7" s="178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247</v>
      </c>
      <c r="G8" s="42"/>
      <c r="H8" s="178"/>
      <c r="I8" s="178"/>
      <c r="J8" s="178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ч</v>
      </c>
      <c r="G9" s="42"/>
      <c r="H9" s="178"/>
      <c r="I9" s="178"/>
      <c r="J9" s="178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четыре тысячи </v>
      </c>
      <c r="D10" s="47"/>
      <c r="E10" s="48"/>
      <c r="F10" s="41" t="str">
        <f>PROPER(F9)</f>
        <v>Ч</v>
      </c>
      <c r="G10" s="42"/>
      <c r="H10" s="178"/>
      <c r="I10" s="178"/>
      <c r="J10" s="178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восемьдесят три доллара США,</v>
      </c>
      <c r="D11" s="47"/>
      <c r="E11" s="48"/>
      <c r="H11" s="178"/>
      <c r="I11" s="178"/>
      <c r="J11" s="178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45880</v>
      </c>
    </row>
    <row r="13" spans="1:19" s="43" customFormat="1" x14ac:dyDescent="0.25">
      <c r="A13" s="49"/>
      <c r="D13" s="51"/>
      <c r="E13" s="52">
        <f>TRUNC(E2)</f>
        <v>4083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4</v>
      </c>
      <c r="B25" s="47">
        <f>TRUNC(RIGHT(A25))</f>
        <v>4</v>
      </c>
      <c r="C25" s="51">
        <f>IF(B24=1,B25+10,IF(B25=0,0,B25))</f>
        <v>4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четыре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4</v>
      </c>
      <c r="F26" s="43" t="str">
        <f>IF(E26=0,"",IF(B24=1,"тысяч ",IF(B25=1,"тысяча ",IF(OR(B25=2,B25=3,B25=4),"тысячи ","тысяч "))))</f>
        <v xml:space="preserve">тысячи </v>
      </c>
    </row>
    <row r="27" spans="1:9" s="43" customFormat="1" x14ac:dyDescent="0.25">
      <c r="A27" s="54">
        <f>TRUNC(A28/10)</f>
        <v>40</v>
      </c>
      <c r="B27" s="47">
        <f>TRUNC(RIGHT(A27))</f>
        <v>0</v>
      </c>
      <c r="C27" s="51">
        <f>B27</f>
        <v>0</v>
      </c>
      <c r="E27" s="55" t="str">
        <f>IF(B27=1,E43,IF(B27=2,G35,IF(B27=3,G36,IF(B27=4,G37,IF(B27=5,G38,IF(B27=6,G39,IF(B27=7,G40,IF(B27=8,G41,G42))))))))</f>
        <v xml:space="preserve">девятьсот </v>
      </c>
    </row>
    <row r="28" spans="1:9" s="43" customFormat="1" x14ac:dyDescent="0.25">
      <c r="A28" s="54">
        <f>TRUNC(A29/10)</f>
        <v>408</v>
      </c>
      <c r="B28" s="58">
        <f>TRUNC(RIGHT(A28))</f>
        <v>8</v>
      </c>
      <c r="C28" s="51">
        <f>IF(B28=1,"",B28)</f>
        <v>8</v>
      </c>
      <c r="E28" s="56" t="str">
        <f>IF(OR(C28=0,B28=1),"",IF(C28=2,E35,IF(C28=3,E36,IF(C28=4,E37,IF(C28=5,E38,IF(C28=6,E39,IF(C28=7,E40,IF(C28=8,E41,E42))))))))</f>
        <v xml:space="preserve">восемьдесят </v>
      </c>
      <c r="G28" s="47"/>
    </row>
    <row r="29" spans="1:9" s="43" customFormat="1" x14ac:dyDescent="0.25">
      <c r="A29" s="54">
        <f>E13</f>
        <v>4083</v>
      </c>
      <c r="B29" s="47">
        <f>TRUNC(RIGHT(A29))</f>
        <v>3</v>
      </c>
      <c r="C29" s="51">
        <f>IF(B28=1,B29+10,IF(B29=0,0,B29))</f>
        <v>3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три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83</v>
      </c>
      <c r="F30" s="43" t="str">
        <f>IF(E30+E26+E22+E18=0,"ноль долларов США,",IF(C29=1,"доллар США,",IF(OR(C29=2,C29=3,C29=4),"доллара США,","долларов США, ")))</f>
        <v>доллара США,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79" t="s">
        <v>81</v>
      </c>
      <c r="B44" s="179"/>
      <c r="C44" s="179"/>
      <c r="D44" s="179"/>
      <c r="E44" s="179"/>
      <c r="F44" s="179"/>
      <c r="G44" s="179"/>
      <c r="H44" s="179"/>
      <c r="I44" s="179"/>
      <c r="J44" s="174" t="s">
        <v>82</v>
      </c>
      <c r="K44" s="174"/>
    </row>
    <row r="45" spans="1:11" s="43" customFormat="1" x14ac:dyDescent="0.25">
      <c r="A45" s="179"/>
      <c r="B45" s="179"/>
      <c r="C45" s="179"/>
      <c r="D45" s="179"/>
      <c r="E45" s="179"/>
      <c r="F45" s="179"/>
      <c r="G45" s="179"/>
      <c r="H45" s="179"/>
      <c r="I45" s="179"/>
      <c r="J45" s="174"/>
      <c r="K45" s="174"/>
    </row>
    <row r="46" spans="1:11" s="43" customFormat="1" x14ac:dyDescent="0.25">
      <c r="B46" s="61"/>
      <c r="C46" s="61"/>
      <c r="G46" s="173" t="s">
        <v>83</v>
      </c>
      <c r="H46" s="173"/>
      <c r="I46" s="173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4" t="s">
        <v>85</v>
      </c>
      <c r="B100" s="174"/>
      <c r="C100" s="174"/>
      <c r="D100" s="174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400-000000000000}"/>
    <hyperlink ref="J44" r:id="rId2" xr:uid="{00000000-0004-0000-0400-000001000000}"/>
    <hyperlink ref="J46" r:id="rId3" tooltip="Замечания о программе" xr:uid="{00000000-0004-0000-04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2025-08-11T13:54:02Z</cp:lastPrinted>
  <dcterms:created xsi:type="dcterms:W3CDTF">1996-10-14T23:33:28Z</dcterms:created>
  <dcterms:modified xsi:type="dcterms:W3CDTF">2025-08-11T13:54:27Z</dcterms:modified>
</cp:coreProperties>
</file>