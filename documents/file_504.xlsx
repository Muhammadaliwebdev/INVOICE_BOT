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<sst xmlns="http://schemas.openxmlformats.org/spreadsheetml/2006/main" count="202" uniqueCount="164">
  <si>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</si>
  <si>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</si>
  <si>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</si>
  <si>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</si>
  <si>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</si>
  <si>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</si>
  <si>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</si>
  <si>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</si>
  <si>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</si>
  <si>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</si>
  <si>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</si>
  <si>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</si>
  <si>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</si>
  <si>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</si>
  <si>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</si>
  <si>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</si>
  <si>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</si>
  <si>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</si>
  <si>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</si>
  <si>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</si>
  <si>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</si>
  <si>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</si>
  <si>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</si>
  <si>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</si>
  <si>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</si>
  <si>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</si>
  <si>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</si>
  <si>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</si>
  <si>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</si>
  <si>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</si>
  <si>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</si>
  <si>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</si>
  <si>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</si>
  <si>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</si>
  <si>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</si>
  <si>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</si>
  <si>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</si>
  <si>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</si>
  <si>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</si>
  <si>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</si>
  <si>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</si>
  <si>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</si>
  <si>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</si>
  <si>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</si>
  <si>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</si>
  <si>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</si>
  <si>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</si>
  <si>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</si>
  <si>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</si>
  <si>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</si>
  <si>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</si>
  <si>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</si>
  <si>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</si>
  <si>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</si>
  <si>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</si>
  <si>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</si>
  <si>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</si>
  <si>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</si>
  <si>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</si>
  <si>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</si>
  <si>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</si>
  <si>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</si>
  <si>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</si>
  <si>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</si>
  <si>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</si>
  <si>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</si>
  <si>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</si>
  <si>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</si>
  <si>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</si>
  <si>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</si>
  <si>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</si>
  <si>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</si>
  <si>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</si>
  <si>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</si>
  <si>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</si>
  <si>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</si>
  <si>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</si>
  <si>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</si>
  <si>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</si>
  <si>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</si>
  <si>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</si>
  <si>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</si>
  <si>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</si>
  <si>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</si>
  <si>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</si>
  <si>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</si>
  <si>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</si>
  <si>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</si>
  <si>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</si>
  <si>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</si>
  <si>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</si>
  <si>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</si>
  <si>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</si>
  <si>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</si>
  <si>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</si>
  <si>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</si>
  <si>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</si>
  <si>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</si>
  <si>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</si>
  <si>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</si>
  <si>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</si>
  <si>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</si>
  <si>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</si>
  <si>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</si>
  <si>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</si>
  <si>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</si>
  <si>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</si>
  <si>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</si>
  <si>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</si>
  <si>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</si>
  <si>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</si>
  <si>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</si>
  <si>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</si>
  <si>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</si>
  <si>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</si>
  <si>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</si>
  <si>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</si>
  <si>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</si>
  <si>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</si>
  <si>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</si>
  <si>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</si>
  <si>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</si>
  <si>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</si>
  <si>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</si>
  <si>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</si>
  <si>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</si>
  <si>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</si>
  <si>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</si>
  <si>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</si>
  <si>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</si>
  <si>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</si>
  <si>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</si>
  <si>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</si>
  <si>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</si>
  <si>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</si>
  <si>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</si>
  <si>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</si>
  <si>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</si>
  <si>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</si>
  <si>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</si>
  <si>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</si>
  <si>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</si>
  <si>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</si>
  <si>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</si>
  <si>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</si>
  <si>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</si>
  <si>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</si>
  <si>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</si>
  <si>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</si>
  <si>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</si>
  <si>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</si>
  <si>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</si>
  <si>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</si>
  <si>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</si>
  <si>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</si>
  <si>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</si>
  <si>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</si>
  <si>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</si>
  <si>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</si>
  <si>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</si>
  <si>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 09.09.2025г.</t>
  </si>
  <si>
    <t xml:space="preserve">ИНВОЙС № EXZ-A-4 от </t>
  </si>
  <si>
    <t>30620DBA/300715BA</t>
  </si>
  <si>
    <t xml:space="preserve">СПЕЦИФИКАЦИЯ № EXZ-A-4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</si>
</sst>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161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5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5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5" x14ac:dyDescent="0.25">
      <c r="A21" s="99" t="s">
        <v>137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970</v>
      </c>
      <c r="F30" s="110" t="s">
        <v>27</v>
      </c>
      <c r="G30" s="106">
        <v>23000</v>
      </c>
      <c r="H30" s="106">
        <v>21254</v>
      </c>
      <c r="I30" s="108">
        <v>0.2</v>
      </c>
      <c r="J30" s="13">
        <f t="shared" ref="J30" si="0">H30*I30</f>
        <v>4250.8</v>
      </c>
      <c r="K30" s="12">
        <v>0</v>
      </c>
      <c r="L30" s="12">
        <v>0</v>
      </c>
      <c r="M30" s="13">
        <f t="shared" ref="M30" si="1">J30</f>
        <v>4250.8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Четыре тысячи двести пятьдесят долларов США, 80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138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EXZ-A-4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30620DBA/300715BA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30620DBA/300715BA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09.09.2025г.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EXZ-A-4 от  09.09.2025г.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970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970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163</v>
      </c>
      <c r="C1" s="174"/>
      <c r="D1" s="174"/>
      <c r="E1" s="174"/>
      <c r="F1" s="134" t="str">
        <f>+Инвойс!F1</f>
        <v xml:space="preserve"> 09.09.2025г.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30620DBA/300715BA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</v>
      </c>
      <c r="J30" s="13">
        <f>+Инвойс!J30</f>
        <v>4250.8</v>
      </c>
      <c r="K30" s="12">
        <v>0</v>
      </c>
      <c r="L30" s="12">
        <v>0</v>
      </c>
      <c r="M30" s="13">
        <f>+Инвойс!M30</f>
        <v>4250.8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4250.8</v>
      </c>
      <c r="K31" s="16"/>
      <c r="L31" s="16"/>
      <c r="M31" s="17">
        <f>SUM(M30:M30)</f>
        <v>4250.8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Четыре тысячи двести пятьдесят долларов США, 80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140</v>
      </c>
    </row>
    <row r="6" spans="1:10" x14ac:dyDescent="0.2">
      <c r="E6" s="18"/>
      <c r="J6" s="25"/>
    </row>
    <row r="7" spans="1:10" ht="51" x14ac:dyDescent="0.2">
      <c r="A7" s="126" t="s">
        <v>117</v>
      </c>
    </row>
    <row r="8" spans="1:10" x14ac:dyDescent="0.2">
      <c r="E8" s="18"/>
      <c r="J8" s="25"/>
    </row>
    <row r="9" spans="1:10" ht="51" x14ac:dyDescent="0.2">
      <c r="A9" s="126" t="s">
        <v>118</v>
      </c>
    </row>
    <row r="10" spans="1:10" x14ac:dyDescent="0.2">
      <c r="A10" s="126"/>
      <c r="E10" s="18"/>
      <c r="J10" s="25"/>
    </row>
    <row r="11" spans="1:10" ht="51" x14ac:dyDescent="0.2">
      <c r="A11" s="126" t="s">
        <v>158</v>
      </c>
    </row>
    <row r="12" spans="1:10" x14ac:dyDescent="0.2">
      <c r="E12" s="18"/>
      <c r="J12" s="25"/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4250.8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пятьдесят долларов США, 80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45909</v>
      </c>
      <c r="O3" s="178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Четыре тысячи двести пятьдесят долларов США, 80 центов. (в т.ч. НДС - 357,79)</v>
      </c>
      <c r="H4" s="32"/>
      <c r="I4" s="32"/>
      <c r="J4" s="32"/>
      <c r="K4" s="179" t="str">
        <f ca="1">CONCATENATE(" «  ",P3,"  »  ",Q3,"  ",R3," г.")</f>
        <v xml:space="preserve"> «  9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пятьдесят долларов США, 80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пятьдесят долларов США, 80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пятьдесят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80 центов.</v>
      </c>
      <c r="D12" s="47"/>
      <c r="E12" s="48"/>
      <c r="M12" s="50">
        <f ca="1">TODAY()</f>
        <v>45909</v>
      </c>
    </row>
    <row r="13" spans="1:19" s="43" customFormat="1" x14ac:dyDescent="0.2">
      <c r="A13" s="49"/>
      <c r="D13" s="51"/>
      <c r="E13" s="52">
        <f>TRUNC(E2)</f>
        <v>4250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4250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2025-09-09T15:52:17Z</cp:lastPrinted>
  <dcterms:created xsi:type="dcterms:W3CDTF">1996-10-14T23:33:28Z</dcterms:created>
  <dcterms:modified xsi:type="dcterms:W3CDTF">2025-09-09T15:52:17Z</dcterms:modified>
</cp:coreProperties>
</file>