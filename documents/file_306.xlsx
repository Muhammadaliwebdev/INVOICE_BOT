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FD808701-5AD9-4AB4-BA24-8C065346B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G37" i="7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7" l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<sst xmlns="http://schemas.openxmlformats.org/spreadsheetml/2006/main" count="211" uniqueCount="170">
  <si>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</si>
  <si>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</si>
  <si>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</si>
  <si>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</si>
  <si>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</si>
  <si>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</si>
  <si>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</si>
  <si>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</si>
  <si>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</si>
  <si>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</si>
  <si>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</si>
  <si>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</si>
  <si>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</si>
  <si>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</si>
  <si>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</si>
  <si>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</si>
  <si>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</si>
  <si>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</si>
  <si>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</si>
  <si>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</si>
  <si>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</si>
  <si>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</si>
  <si>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</si>
  <si>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</si>
  <si>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</si>
  <si>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</si>
  <si>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</si>
  <si>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</si>
  <si>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</si>
  <si>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</si>
  <si>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</si>
  <si>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</si>
  <si>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</si>
  <si>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</si>
  <si>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</si>
  <si>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</si>
  <si>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</si>
  <si>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</si>
  <si>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</si>
  <si>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</si>
  <si>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</si>
  <si>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</si>
  <si>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</si>
  <si>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</si>
  <si>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</si>
  <si>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</si>
  <si>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</si>
  <si>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</si>
  <si>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</si>
  <si>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</si>
  <si>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</si>
  <si>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</si>
  <si>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</si>
  <si>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</si>
  <si>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</si>
  <si>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</si>
  <si>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</si>
  <si>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</si>
  <si>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</si>
  <si>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</si>
  <si>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</si>
  <si>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</si>
  <si>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</si>
  <si>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</si>
  <si>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</si>
  <si>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</si>
  <si>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</si>
  <si>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</si>
  <si>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</si>
  <si>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</si>
  <si>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</si>
  <si>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</si>
  <si>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</si>
  <si>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</si>
  <si>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</si>
  <si>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</si>
  <si>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</si>
  <si>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</si>
  <si>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</si>
  <si>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</si>
  <si>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</si>
  <si>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</si>
  <si>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</si>
  <si>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</si>
  <si>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</si>
  <si>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</si>
  <si>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</si>
  <si>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</si>
  <si>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</si>
  <si>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</si>
  <si>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</si>
  <si>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</si>
  <si>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</si>
  <si>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</si>
  <si>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</si>
  <si>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</si>
  <si>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</si>
  <si>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</si>
  <si>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</si>
  <si>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</si>
  <si>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</si>
  <si>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</si>
  <si>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</si>
  <si>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</si>
  <si>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</si>
  <si>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</si>
  <si>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</si>
  <si>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</si>
  <si>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</si>
  <si>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</si>
  <si>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</si>
  <si>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</si>
  <si>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</si>
  <si>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</si>
  <si>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</si>
  <si>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</si>
  <si>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</si>
  <si>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</si>
  <si>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</si>
  <si>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</si>
  <si>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</si>
  <si>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</si>
  <si>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</si>
  <si>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</si>
  <si>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</si>
  <si>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</si>
  <si>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</si>
  <si>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</si>
  <si>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</si>
  <si>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</si>
  <si>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</si>
  <si>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</si>
  <si>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</si>
  <si>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</si>
  <si>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</si>
  <si>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</si>
  <si>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</si>
  <si>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</si>
  <si>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</si>
  <si>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</si>
  <si>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</si>
  <si>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</si>
  <si>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</si>
  <si>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</si>
  <si>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</si>
  <si>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</si>
  <si>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</si>
  <si>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</si>
  <si>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</si>
  <si>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</si>
  <si>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</si>
  <si>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</si>
  <si>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</si>
  <si>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</si>
  <si>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</si>
  <si>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</si>
  <si>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</si>
  <si>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</si>
  <si>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</si>
  <si>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</si>
  <si>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</si>
  <si>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</si>
  <si>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</si>
  <si>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</si>
  <si>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</si>
  <si>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</si>
  <si>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AGB-101 от</t>
  </si>
  <si>
    <t xml:space="preserve"> 31.08.2025г.</t>
  </si>
  <si>
    <t>Спецификация № AGB-101 от</t>
  </si>
  <si>
    <t>90135JBA/902422BA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</si>
</sst>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8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166</v>
      </c>
      <c r="D1" s="133"/>
      <c r="E1" s="133"/>
      <c r="F1" s="132" t="s">
        <v>167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4" t="s">
        <v>134</v>
      </c>
      <c r="D2" s="134"/>
      <c r="E2" s="134"/>
      <c r="F2" s="134"/>
      <c r="G2" s="134"/>
      <c r="H2" s="134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">
        <v>135</v>
      </c>
      <c r="B5" s="135"/>
      <c r="C5" s="135"/>
      <c r="D5" s="135"/>
      <c r="E5" s="135"/>
      <c r="F5" s="6"/>
      <c r="G5" s="137" t="s">
        <v>142</v>
      </c>
      <c r="H5" s="137"/>
      <c r="I5" s="137"/>
      <c r="J5" s="137"/>
      <c r="K5" s="137"/>
      <c r="L5" s="137"/>
      <c r="M5" s="137"/>
    </row>
    <row r="6" spans="1:15" ht="13.8" x14ac:dyDescent="0.25">
      <c r="A6" s="123" t="s">
        <v>136</v>
      </c>
      <c r="B6" s="123"/>
      <c r="C6" s="123"/>
      <c r="D6" s="123"/>
      <c r="E6" s="123"/>
      <c r="F6" s="7"/>
      <c r="G6" s="139" t="s">
        <v>143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3" t="s">
        <v>137</v>
      </c>
      <c r="B7" s="123"/>
      <c r="C7" s="123"/>
      <c r="D7" s="123"/>
      <c r="E7" s="123"/>
      <c r="F7" s="63"/>
      <c r="G7" s="139" t="s">
        <v>144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0" t="s">
        <v>145</v>
      </c>
      <c r="H8" s="140"/>
      <c r="I8" s="140"/>
      <c r="J8" s="140"/>
      <c r="K8" s="140"/>
      <c r="L8" s="140"/>
      <c r="M8" s="140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140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8"/>
      <c r="B12" s="138"/>
      <c r="C12" s="138"/>
      <c r="D12" s="13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5" t="s">
        <v>135</v>
      </c>
      <c r="B14" s="135"/>
      <c r="C14" s="135"/>
      <c r="D14" s="135"/>
      <c r="E14" s="135"/>
      <c r="F14" s="6"/>
      <c r="G14" s="137" t="s">
        <v>106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23" t="s">
        <v>136</v>
      </c>
      <c r="B15" s="123"/>
      <c r="C15" s="123"/>
      <c r="D15" s="123"/>
      <c r="E15" s="123"/>
      <c r="F15" s="7"/>
      <c r="G15" s="139" t="s">
        <v>107</v>
      </c>
      <c r="H15" s="140"/>
      <c r="I15" s="140"/>
      <c r="J15" s="140"/>
      <c r="K15" s="140"/>
      <c r="L15" s="140"/>
      <c r="M15" s="140"/>
    </row>
    <row r="16" spans="1:15" ht="13.8" x14ac:dyDescent="0.25">
      <c r="A16" s="123" t="s">
        <v>137</v>
      </c>
      <c r="B16" s="123"/>
      <c r="C16" s="123"/>
      <c r="D16" s="123"/>
      <c r="E16" s="123"/>
      <c r="F16" s="63"/>
      <c r="G16" s="139" t="s">
        <v>108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140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38"/>
      <c r="B21" s="138"/>
      <c r="C21" s="138"/>
      <c r="D21" s="13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2" t="s">
        <v>131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">
        <v>158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169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4">
        <v>1</v>
      </c>
      <c r="B30" s="100" t="s">
        <v>130</v>
      </c>
      <c r="C30" s="106" t="s">
        <v>129</v>
      </c>
      <c r="D30" s="108" t="s">
        <v>120</v>
      </c>
      <c r="E30" s="100">
        <v>2300</v>
      </c>
      <c r="F30" s="114" t="s">
        <v>27</v>
      </c>
      <c r="G30" s="105">
        <v>22710</v>
      </c>
      <c r="H30" s="105">
        <v>21100</v>
      </c>
      <c r="I30" s="107">
        <v>0.95</v>
      </c>
      <c r="J30" s="13">
        <f t="shared" ref="J30" si="0">H30*I30</f>
        <v>20045</v>
      </c>
      <c r="K30" s="12">
        <v>0</v>
      </c>
      <c r="L30" s="12">
        <v>0</v>
      </c>
      <c r="M30" s="13">
        <f t="shared" ref="M30" si="1">J30</f>
        <v>20045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2300</v>
      </c>
      <c r="F31" s="15"/>
      <c r="G31" s="64">
        <f>SUM(G30:G30)</f>
        <v>22710</v>
      </c>
      <c r="H31" s="64">
        <f>SUM(H30:H30)</f>
        <v>21100</v>
      </c>
      <c r="I31" s="101"/>
      <c r="J31" s="17">
        <f>SUM(J30:J30)</f>
        <v>20045</v>
      </c>
      <c r="K31" s="16"/>
      <c r="L31" s="16"/>
      <c r="M31" s="17">
        <f>SUM(M30:M30)</f>
        <v>20045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Двадцать тысяч сорок пять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0.25" customHeight="1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</row>
    <row r="35" spans="1:14" ht="25.5" customHeight="1" x14ac:dyDescent="0.25">
      <c r="A35" s="141" t="s">
        <v>118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M28:M29"/>
    <mergeCell ref="I28:I29"/>
    <mergeCell ref="G28:H28"/>
    <mergeCell ref="C23:M23"/>
    <mergeCell ref="E26:G26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B31" sqref="B31: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AGB-101 от 31.08.2025г.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115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2300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22710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6" t="str">
        <f>+C22</f>
        <v xml:space="preserve"> 31.08.2025г.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90135JBA/902422BA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8" zoomScaleNormal="100" workbookViewId="0">
      <selection activeCell="F20" sqref="F20:J4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90135JBA/902422BA</v>
      </c>
      <c r="C14" s="160"/>
      <c r="D14" s="160"/>
      <c r="E14" s="160"/>
      <c r="F14" s="160"/>
      <c r="G14" s="160"/>
      <c r="H14" s="161" t="s">
        <v>116</v>
      </c>
      <c r="I14" s="161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AGB-101 от 31.08.2025г.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2300</v>
      </c>
      <c r="G18" s="163" t="str">
        <f>+CMR!F30</f>
        <v>Виноград свежий столовых сортов</v>
      </c>
      <c r="H18" s="163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57" t="str">
        <f>+Инвойс!C30</f>
        <v>0806101001</v>
      </c>
      <c r="H19" s="158"/>
      <c r="I19" s="120" t="s">
        <v>103</v>
      </c>
      <c r="J19" s="118">
        <f>+Инвойс!G30</f>
        <v>22710</v>
      </c>
    </row>
    <row r="20" spans="2:10" ht="13.5" customHeight="1" x14ac:dyDescent="0.3">
      <c r="B20" s="83"/>
      <c r="E20" s="121"/>
      <c r="F20" s="116"/>
      <c r="G20" s="163"/>
      <c r="H20" s="163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7"/>
      <c r="H21" s="158"/>
      <c r="I21" s="120"/>
      <c r="J21" s="118"/>
    </row>
    <row r="22" spans="2:10" ht="12.75" customHeight="1" x14ac:dyDescent="0.3">
      <c r="B22" s="83"/>
      <c r="E22" s="121"/>
      <c r="F22" s="116"/>
      <c r="G22" s="163"/>
      <c r="H22" s="163"/>
      <c r="I22" s="117"/>
      <c r="J22" s="118"/>
    </row>
    <row r="23" spans="2:10" ht="14.25" customHeight="1" x14ac:dyDescent="0.3">
      <c r="B23" s="83"/>
      <c r="E23" s="121"/>
      <c r="F23" s="119"/>
      <c r="G23" s="157"/>
      <c r="H23" s="158"/>
      <c r="I23" s="120"/>
      <c r="J23" s="118"/>
    </row>
    <row r="24" spans="2:10" ht="12.75" customHeight="1" x14ac:dyDescent="0.3">
      <c r="B24" s="87"/>
      <c r="E24" s="121"/>
      <c r="F24" s="116"/>
      <c r="G24" s="163"/>
      <c r="H24" s="163"/>
      <c r="I24" s="117"/>
      <c r="J24" s="118"/>
    </row>
    <row r="25" spans="2:10" ht="12.75" customHeight="1" x14ac:dyDescent="0.3">
      <c r="B25" s="87"/>
      <c r="E25" s="121"/>
      <c r="F25" s="119"/>
      <c r="G25" s="157"/>
      <c r="H25" s="158"/>
      <c r="I25" s="120"/>
      <c r="J25" s="118"/>
    </row>
    <row r="26" spans="2:10" ht="12" customHeight="1" x14ac:dyDescent="0.3">
      <c r="B26" s="87"/>
      <c r="E26" s="121"/>
      <c r="F26" s="116"/>
      <c r="G26" s="163"/>
      <c r="H26" s="163"/>
      <c r="I26" s="117"/>
      <c r="J26" s="118"/>
    </row>
    <row r="27" spans="2:10" ht="14.25" customHeight="1" x14ac:dyDescent="0.3">
      <c r="B27" s="87"/>
      <c r="E27" s="121"/>
      <c r="F27" s="119"/>
      <c r="G27" s="157"/>
      <c r="H27" s="158"/>
      <c r="I27" s="120"/>
      <c r="J27" s="118"/>
    </row>
    <row r="28" spans="2:10" ht="12.75" customHeight="1" x14ac:dyDescent="0.3">
      <c r="B28" s="87"/>
      <c r="E28" s="121"/>
      <c r="F28" s="116"/>
      <c r="G28" s="163"/>
      <c r="H28" s="163"/>
      <c r="I28" s="117"/>
      <c r="J28" s="118"/>
    </row>
    <row r="29" spans="2:10" ht="12.75" customHeight="1" x14ac:dyDescent="0.3">
      <c r="B29" s="87"/>
      <c r="E29" s="121"/>
      <c r="F29" s="119"/>
      <c r="G29" s="157"/>
      <c r="H29" s="158"/>
      <c r="I29" s="120"/>
      <c r="J29" s="118"/>
    </row>
    <row r="30" spans="2:10" ht="12.75" customHeight="1" x14ac:dyDescent="0.3">
      <c r="B30" s="87"/>
      <c r="E30" s="121"/>
      <c r="F30" s="116"/>
      <c r="G30" s="163"/>
      <c r="H30" s="163"/>
      <c r="I30" s="117"/>
      <c r="J30" s="118"/>
    </row>
    <row r="31" spans="2:10" ht="13.5" customHeight="1" x14ac:dyDescent="0.3">
      <c r="B31" s="87"/>
      <c r="E31" s="121"/>
      <c r="F31" s="119"/>
      <c r="G31" s="157"/>
      <c r="H31" s="158"/>
      <c r="I31" s="120"/>
      <c r="J31" s="118"/>
    </row>
    <row r="32" spans="2:10" ht="13.5" customHeight="1" x14ac:dyDescent="0.3">
      <c r="B32" s="87"/>
      <c r="E32" s="121"/>
      <c r="F32" s="116"/>
      <c r="G32" s="163"/>
      <c r="H32" s="163"/>
      <c r="I32" s="117"/>
      <c r="J32" s="118"/>
    </row>
    <row r="33" spans="2:10" ht="13.5" customHeight="1" x14ac:dyDescent="0.3">
      <c r="B33" s="87"/>
      <c r="E33" s="121"/>
      <c r="F33" s="119"/>
      <c r="G33" s="157"/>
      <c r="H33" s="158"/>
      <c r="I33" s="120"/>
      <c r="J33" s="118"/>
    </row>
    <row r="34" spans="2:10" ht="13.5" customHeight="1" x14ac:dyDescent="0.3">
      <c r="B34" s="87"/>
      <c r="E34" s="121"/>
      <c r="F34" s="116"/>
      <c r="G34" s="163"/>
      <c r="H34" s="163"/>
      <c r="I34" s="117"/>
      <c r="J34" s="118"/>
    </row>
    <row r="35" spans="2:10" ht="12.75" customHeight="1" x14ac:dyDescent="0.3">
      <c r="B35" s="87"/>
      <c r="E35" s="121"/>
      <c r="F35" s="119"/>
      <c r="G35" s="157"/>
      <c r="H35" s="158"/>
      <c r="I35" s="120"/>
      <c r="J35" s="118"/>
    </row>
    <row r="36" spans="2:10" x14ac:dyDescent="0.3">
      <c r="B36" s="87"/>
      <c r="E36" s="121"/>
      <c r="F36" s="116"/>
      <c r="G36" s="163"/>
      <c r="H36" s="163"/>
      <c r="I36" s="117"/>
      <c r="J36" s="118"/>
    </row>
    <row r="37" spans="2:10" ht="13.5" customHeight="1" x14ac:dyDescent="0.3">
      <c r="B37" s="87"/>
      <c r="E37" s="121"/>
      <c r="F37" s="119"/>
      <c r="G37" s="157"/>
      <c r="H37" s="158"/>
      <c r="I37" s="120"/>
      <c r="J37" s="118"/>
    </row>
    <row r="38" spans="2:10" x14ac:dyDescent="0.3">
      <c r="B38" s="87"/>
      <c r="E38" s="121"/>
      <c r="F38" s="116"/>
      <c r="G38" s="163"/>
      <c r="H38" s="163"/>
      <c r="I38" s="117"/>
      <c r="J38" s="118"/>
    </row>
    <row r="39" spans="2:10" ht="13.5" customHeight="1" x14ac:dyDescent="0.3">
      <c r="B39" s="87"/>
      <c r="E39" s="121"/>
      <c r="F39" s="119"/>
      <c r="G39" s="157"/>
      <c r="H39" s="158"/>
      <c r="I39" s="120"/>
      <c r="J39" s="118"/>
    </row>
    <row r="40" spans="2:10" ht="14.25" customHeight="1" x14ac:dyDescent="0.3">
      <c r="B40" s="87"/>
      <c r="E40" s="121"/>
      <c r="F40" s="116"/>
      <c r="G40" s="163"/>
      <c r="H40" s="163"/>
      <c r="I40" s="117"/>
      <c r="J40" s="118"/>
    </row>
    <row r="41" spans="2:10" ht="14.25" customHeight="1" x14ac:dyDescent="0.3">
      <c r="B41" s="87"/>
      <c r="E41" s="121"/>
      <c r="F41" s="119"/>
      <c r="G41" s="157"/>
      <c r="H41" s="158"/>
      <c r="I41" s="120"/>
      <c r="J41" s="118"/>
    </row>
    <row r="42" spans="2:10" x14ac:dyDescent="0.3">
      <c r="B42" s="87"/>
      <c r="E42" s="121"/>
      <c r="F42" s="116"/>
      <c r="G42" s="163"/>
      <c r="H42" s="163"/>
      <c r="I42" s="117"/>
      <c r="J42" s="118"/>
    </row>
    <row r="43" spans="2:10" x14ac:dyDescent="0.3">
      <c r="B43" s="87"/>
      <c r="E43" s="121"/>
      <c r="F43" s="119"/>
      <c r="G43" s="157"/>
      <c r="H43" s="158"/>
      <c r="I43" s="120"/>
      <c r="J43" s="118"/>
    </row>
    <row r="44" spans="2:10" ht="9" customHeight="1" x14ac:dyDescent="0.3">
      <c r="B44" s="87"/>
      <c r="E44" s="95"/>
      <c r="F44" s="92"/>
      <c r="G44" s="165"/>
      <c r="H44" s="165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2300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33" t="s">
        <v>168</v>
      </c>
      <c r="C1" s="133"/>
      <c r="D1" s="133"/>
      <c r="E1" s="133"/>
      <c r="F1" s="132" t="str">
        <f>+Инвойс!F1</f>
        <v xml:space="preserve"> 31.08.2025г.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4" t="str">
        <f>+Инвойс!C2</f>
        <v>к контракту № АG/B-2/0725 от 25.07.2025 года</v>
      </c>
      <c r="D2" s="134"/>
      <c r="E2" s="134"/>
      <c r="F2" s="134"/>
      <c r="G2" s="134"/>
      <c r="H2" s="134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5">
      <c r="A5" s="135" t="str">
        <f>+Инвойс!A5</f>
        <v>ООО “AAZZ GROUP”</v>
      </c>
      <c r="B5" s="135"/>
      <c r="C5" s="135"/>
      <c r="D5" s="135"/>
      <c r="E5" s="135"/>
      <c r="F5" s="6"/>
      <c r="G5" s="137" t="str">
        <f>+Инвойс!G5</f>
        <v>ООО «БЕНУА»</v>
      </c>
      <c r="H5" s="137"/>
      <c r="I5" s="137"/>
      <c r="J5" s="137"/>
      <c r="K5" s="137"/>
      <c r="L5" s="137"/>
      <c r="M5" s="137"/>
    </row>
    <row r="6" spans="1:15" ht="13.8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8" t="str">
        <f>+Инвойс!G6</f>
        <v>199004, г. Санкт-Петербург, наб. Макарова, д. 14,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8" t="str">
        <f>+Инвойс!G7</f>
        <v>литера А, пом. 1-Н, рабочее место 11.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8" t="str">
        <f>+Инвойс!G8</f>
        <v xml:space="preserve">ОГРН 1247800053544 / ИНН: 7801734052 / 780101001 </v>
      </c>
      <c r="H8" s="168"/>
      <c r="I8" s="168"/>
      <c r="J8" s="168"/>
      <c r="K8" s="168"/>
      <c r="L8" s="168"/>
      <c r="M8" s="168"/>
    </row>
    <row r="9" spans="1:15" ht="13.8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8" t="str">
        <f>+Инвойс!G9</f>
        <v>Банк: Азия-Инвест Банк (АО) Свифт: ASIJRUMM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8" t="str">
        <f>+Инвойс!G10</f>
        <v xml:space="preserve">Счет получателя (RUB)№ 40702810302100012537 </v>
      </c>
      <c r="H10" s="168"/>
      <c r="I10" s="168"/>
      <c r="J10" s="168"/>
      <c r="K10" s="168"/>
      <c r="L10" s="168"/>
      <c r="M10" s="168"/>
    </row>
    <row r="11" spans="1:15" ht="13.8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8" t="str">
        <f>+Инвойс!G11</f>
        <v xml:space="preserve">К/С 21002840900090007001 Банк-корреспондент: УЗНАЦБАНК </v>
      </c>
      <c r="H11" s="168"/>
      <c r="I11" s="168"/>
      <c r="J11" s="168"/>
      <c r="K11" s="168"/>
      <c r="L11" s="168"/>
      <c r="M11" s="168"/>
    </row>
    <row r="12" spans="1:15" ht="60.6" customHeight="1" x14ac:dyDescent="0.25">
      <c r="A12" s="138"/>
      <c r="B12" s="138"/>
      <c r="C12" s="138"/>
      <c r="D12" s="138"/>
      <c r="E12" s="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35">
      <c r="A13" s="136" t="s">
        <v>31</v>
      </c>
      <c r="B13" s="136"/>
      <c r="C13" s="136"/>
      <c r="D13" s="136"/>
      <c r="E13" s="136"/>
      <c r="G13" s="136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5" t="str">
        <f>+Инвойс!A14</f>
        <v>ООО “AAZZ GROUP”</v>
      </c>
      <c r="B14" s="135"/>
      <c r="C14" s="135"/>
      <c r="D14" s="135"/>
      <c r="E14" s="135"/>
      <c r="F14" s="6"/>
      <c r="G14" s="137" t="str">
        <f>+Инвойс!G14</f>
        <v>OOO «Сармант-ЮГ»</v>
      </c>
      <c r="H14" s="137"/>
      <c r="I14" s="137"/>
      <c r="J14" s="137"/>
      <c r="K14" s="137"/>
      <c r="L14" s="137"/>
      <c r="M14" s="137"/>
    </row>
    <row r="15" spans="1:15" ht="13.95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8" t="str">
        <f>+Инвойс!G15</f>
        <v xml:space="preserve">196006, город Санкт-Петербург, улица Новорощинская, </v>
      </c>
      <c r="H15" s="168"/>
      <c r="I15" s="168"/>
      <c r="J15" s="168"/>
      <c r="K15" s="168"/>
      <c r="L15" s="168"/>
      <c r="M15" s="168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8" t="str">
        <f>+Инвойс!G16</f>
        <v>дом 4, литер А, 1Н помещение 363 офис 609-1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8" t="str">
        <f>+Инвойс!G17</f>
        <v>р/с USD 40702810226710000073</v>
      </c>
      <c r="H17" s="168"/>
      <c r="I17" s="168"/>
      <c r="J17" s="168"/>
      <c r="K17" s="168"/>
      <c r="L17" s="168"/>
      <c r="M17" s="168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8" t="str">
        <f>+Инвойс!G18</f>
        <v>Банк: Филиал «Центральный» Банка ВТБ (ПАО) в г. Москве</v>
      </c>
      <c r="H18" s="168"/>
      <c r="I18" s="168"/>
      <c r="J18" s="168"/>
      <c r="K18" s="168"/>
      <c r="L18" s="168"/>
      <c r="M18" s="168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8" t="str">
        <f>+Инвойс!G19</f>
        <v>SWIFT: VTBRRUM2MS2</v>
      </c>
      <c r="H19" s="168"/>
      <c r="I19" s="168"/>
      <c r="J19" s="168"/>
      <c r="K19" s="168"/>
      <c r="L19" s="168"/>
      <c r="M19" s="168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8" t="str">
        <f>+Инвойс!G20</f>
        <v>ИНН/КПП 7805640197/ 781001001 ОГРН 1147847003193</v>
      </c>
      <c r="H20" s="168"/>
      <c r="I20" s="168"/>
      <c r="J20" s="168"/>
      <c r="K20" s="168"/>
      <c r="L20" s="168"/>
      <c r="M20" s="168"/>
    </row>
    <row r="21" spans="1:17" ht="64.2" customHeight="1" x14ac:dyDescent="0.25">
      <c r="A21" s="138"/>
      <c r="B21" s="138"/>
      <c r="C21" s="138"/>
      <c r="D21" s="13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69" t="s">
        <v>161</v>
      </c>
      <c r="D23" s="169"/>
      <c r="E23" s="169"/>
      <c r="F23" s="169"/>
      <c r="G23" s="169"/>
      <c r="H23" s="169"/>
      <c r="I23" s="169"/>
      <c r="J23" s="169"/>
      <c r="K23" s="169"/>
      <c r="L23" s="169"/>
      <c r="M23" s="169"/>
    </row>
    <row r="24" spans="1:17" ht="15.6" x14ac:dyDescent="0.3">
      <c r="A24" s="20" t="s">
        <v>22</v>
      </c>
      <c r="C24" s="18" t="str">
        <f>+Инвойс!C24</f>
        <v>DAP - с Атамакен, Республика Казахстан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90135JBA/902422BA</v>
      </c>
      <c r="F26" s="152"/>
      <c r="G26" s="152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0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0" t="s">
        <v>12</v>
      </c>
      <c r="H29" s="110" t="s">
        <v>13</v>
      </c>
      <c r="I29" s="146"/>
      <c r="J29" s="111" t="s">
        <v>14</v>
      </c>
      <c r="K29" s="10" t="s">
        <v>15</v>
      </c>
      <c r="L29" s="10" t="s">
        <v>16</v>
      </c>
      <c r="M29" s="146"/>
    </row>
    <row r="30" spans="1:17" ht="13.8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2300</v>
      </c>
      <c r="F30" s="109" t="str">
        <f>+Инвойс!F30</f>
        <v>кг</v>
      </c>
      <c r="G30" s="105">
        <f>+Инвойс!G30</f>
        <v>22710</v>
      </c>
      <c r="H30" s="105">
        <f>+Инвойс!H30</f>
        <v>21100</v>
      </c>
      <c r="I30" s="107">
        <f>+Инвойс!I30</f>
        <v>0.95</v>
      </c>
      <c r="J30" s="13">
        <f>+Инвойс!J30</f>
        <v>20045</v>
      </c>
      <c r="K30" s="12">
        <f>+Инвойс!K30</f>
        <v>0</v>
      </c>
      <c r="L30" s="12">
        <f>+Инвойс!L30</f>
        <v>0</v>
      </c>
      <c r="M30" s="13">
        <f>+Инвойс!M30</f>
        <v>20045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2300</v>
      </c>
      <c r="F31" s="15"/>
      <c r="G31" s="128">
        <f>+Инвойс!G31</f>
        <v>22710</v>
      </c>
      <c r="H31" s="128">
        <f>+Инвойс!H31</f>
        <v>21100</v>
      </c>
      <c r="I31" s="101"/>
      <c r="J31" s="13">
        <f>+Инвойс!J31</f>
        <v>20045</v>
      </c>
      <c r="K31" s="16"/>
      <c r="L31" s="16"/>
      <c r="M31" s="13">
        <f>+Инвойс!M31</f>
        <v>20045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Двадцать тысяч сорок пять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5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</row>
    <row r="35" spans="1:14" x14ac:dyDescent="0.25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26"/>
    </row>
    <row r="36" spans="1:14" ht="13.8" x14ac:dyDescent="0.25">
      <c r="A36" s="130" t="s">
        <v>162</v>
      </c>
      <c r="D36" s="18" t="s">
        <v>141</v>
      </c>
      <c r="G36" s="129" t="s">
        <v>163</v>
      </c>
      <c r="H36" s="129"/>
      <c r="L36" s="18" t="s">
        <v>165</v>
      </c>
    </row>
    <row r="37" spans="1:14" ht="13.8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1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"/>
    </sheetView>
  </sheetViews>
  <sheetFormatPr defaultRowHeight="13.2" x14ac:dyDescent="0.25"/>
  <sheetData>
    <row r="1" spans="1:18" ht="30" customHeight="1" x14ac:dyDescent="0.25">
      <c r="A1" s="172" t="s">
        <v>121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8" x14ac:dyDescent="0.25">
      <c r="A2" s="18"/>
    </row>
    <row r="3" spans="1:18" ht="30.75" customHeight="1" x14ac:dyDescent="0.25">
      <c r="A3" s="172" t="s">
        <v>131</v>
      </c>
      <c r="B3" s="172"/>
      <c r="C3" s="172"/>
      <c r="D3" s="172"/>
      <c r="E3" s="172"/>
      <c r="F3" s="172"/>
      <c r="G3" s="172"/>
      <c r="H3" s="172"/>
      <c r="I3" s="172"/>
      <c r="J3" s="172"/>
      <c r="K3" s="172"/>
      <c r="M3" s="18" t="s">
        <v>153</v>
      </c>
      <c r="R3" s="25" t="s">
        <v>154</v>
      </c>
    </row>
    <row r="5" spans="1:18" ht="24.75" customHeight="1" x14ac:dyDescent="0.25">
      <c r="A5" s="172" t="s">
        <v>114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72" t="s">
        <v>122</v>
      </c>
      <c r="B7" s="172"/>
      <c r="C7" s="172"/>
      <c r="D7" s="172"/>
      <c r="E7" s="172"/>
      <c r="F7" s="172"/>
      <c r="G7" s="172"/>
      <c r="H7" s="172"/>
      <c r="I7" s="172"/>
      <c r="J7" s="172"/>
      <c r="K7" s="172"/>
      <c r="M7" s="18" t="s">
        <v>159</v>
      </c>
      <c r="R7" s="25" t="s">
        <v>156</v>
      </c>
    </row>
    <row r="9" spans="1:18" ht="23.25" customHeight="1" x14ac:dyDescent="0.25">
      <c r="A9" s="172" t="s">
        <v>123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72" t="s">
        <v>124</v>
      </c>
      <c r="B11" s="172"/>
      <c r="C11" s="172"/>
      <c r="D11" s="172"/>
      <c r="E11" s="172"/>
      <c r="F11" s="172"/>
      <c r="G11" s="172"/>
      <c r="H11" s="172"/>
      <c r="I11" s="172"/>
      <c r="J11" s="172"/>
      <c r="K11" s="172"/>
    </row>
    <row r="13" spans="1:18" ht="25.5" customHeight="1" x14ac:dyDescent="0.25">
      <c r="A13" s="172" t="s">
        <v>125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</row>
    <row r="14" spans="1:18" x14ac:dyDescent="0.25">
      <c r="A14" s="18"/>
    </row>
    <row r="15" spans="1:18" ht="24.75" customHeight="1" x14ac:dyDescent="0.25">
      <c r="A15" s="172" t="s">
        <v>127</v>
      </c>
      <c r="B15" s="172"/>
      <c r="C15" s="172"/>
      <c r="D15" s="172"/>
      <c r="E15" s="172"/>
      <c r="F15" s="172"/>
      <c r="G15" s="172"/>
      <c r="H15" s="172"/>
      <c r="I15" s="172"/>
      <c r="J15" s="172"/>
      <c r="K15" s="172"/>
    </row>
    <row r="17" spans="1:14" ht="27.75" customHeight="1" x14ac:dyDescent="0.25">
      <c r="A17" s="171" t="s">
        <v>132</v>
      </c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M17" s="70"/>
    </row>
    <row r="18" spans="1:14" x14ac:dyDescent="0.25">
      <c r="A18" s="18"/>
      <c r="M18" s="70"/>
    </row>
    <row r="19" spans="1:14" ht="27.75" customHeight="1" x14ac:dyDescent="0.25">
      <c r="A19" s="171" t="s">
        <v>133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</row>
    <row r="20" spans="1:14" x14ac:dyDescent="0.25">
      <c r="N20" s="173"/>
    </row>
    <row r="21" spans="1:14" ht="12.75" customHeight="1" x14ac:dyDescent="0.25">
      <c r="A21" s="172"/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N21" s="156"/>
    </row>
    <row r="22" spans="1:14" x14ac:dyDescent="0.25">
      <c r="A22" s="18"/>
    </row>
    <row r="25" spans="1:14" ht="12.75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</row>
    <row r="26" spans="1:14" x14ac:dyDescent="0.25">
      <c r="A26" s="18"/>
    </row>
    <row r="29" spans="1:14" ht="12.75" customHeight="1" x14ac:dyDescent="0.25">
      <c r="A29" s="172"/>
      <c r="B29" s="172"/>
      <c r="C29" s="172"/>
      <c r="D29" s="172"/>
      <c r="E29" s="172"/>
      <c r="F29" s="172"/>
      <c r="G29" s="172"/>
      <c r="H29" s="172"/>
      <c r="I29" s="172"/>
      <c r="J29" s="172"/>
      <c r="K29" s="172"/>
    </row>
    <row r="30" spans="1:14" x14ac:dyDescent="0.25">
      <c r="A30" s="18"/>
    </row>
    <row r="32" spans="1:14" x14ac:dyDescent="0.25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20045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45900</v>
      </c>
      <c r="O3" s="177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сорок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31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сорок пять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20045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2004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20045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2025-08-31T03:34:11Z</cp:lastPrinted>
  <dcterms:created xsi:type="dcterms:W3CDTF">1996-10-14T23:33:28Z</dcterms:created>
  <dcterms:modified xsi:type="dcterms:W3CDTF">2025-08-31T03:34:20Z</dcterms:modified>
</cp:coreProperties>
</file>