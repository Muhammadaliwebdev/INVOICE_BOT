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8843E8-431A-428F-87CA-E5E4F6392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<sst xmlns="http://schemas.openxmlformats.org/spreadsheetml/2006/main" count="211" uniqueCount="163">
  <si>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</si>
  <si>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</si>
  <si>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</si>
  <si>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</si>
  <si>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</si>
  <si>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</si>
  <si>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</si>
  <si>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</si>
  <si>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</si>
  <si>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</si>
  <si>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</si>
  <si>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</si>
  <si>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</si>
  <si>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</si>
  <si>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</si>
  <si>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</si>
  <si>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</si>
  <si>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</si>
  <si>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</si>
  <si>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</si>
  <si>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</si>
  <si>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</si>
  <si>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</si>
  <si>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</si>
  <si>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</si>
  <si>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</si>
  <si>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</si>
  <si>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</si>
  <si>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</si>
  <si>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</si>
  <si>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</si>
  <si>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</si>
  <si>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</si>
  <si>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</si>
  <si>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</si>
  <si>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</si>
  <si>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</si>
  <si>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</si>
  <si>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</si>
  <si>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</si>
  <si>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</si>
  <si>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</si>
  <si>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</si>
  <si>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</si>
  <si>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</si>
  <si>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</si>
  <si>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</si>
  <si>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</si>
  <si>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</si>
  <si>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</si>
  <si>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</si>
  <si>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</si>
  <si>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</si>
  <si>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</si>
  <si>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</si>
  <si>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</si>
  <si>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</si>
  <si>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</si>
  <si>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</si>
  <si>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</si>
  <si>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</si>
  <si>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</si>
  <si>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</si>
  <si>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</si>
  <si>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</si>
  <si>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</si>
  <si>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</si>
  <si>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</si>
  <si>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</si>
  <si>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</si>
  <si>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</si>
  <si>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</si>
  <si>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</si>
  <si>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</si>
  <si>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</si>
  <si>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</si>
  <si>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</si>
  <si>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</si>
  <si>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</si>
  <si>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</si>
  <si>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</si>
  <si>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</si>
  <si>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</si>
  <si>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</si>
  <si>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</si>
  <si>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</si>
  <si>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</si>
  <si>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</si>
  <si>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</si>
  <si>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</si>
  <si>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</si>
  <si>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</si>
  <si>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</si>
  <si>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</si>
  <si>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</si>
  <si>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</si>
  <si>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</si>
  <si>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</si>
  <si>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</si>
  <si>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</si>
  <si>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</si>
  <si>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</si>
  <si>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</si>
  <si>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</si>
  <si>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</si>
  <si>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</si>
  <si>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</si>
  <si>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</si>
  <si>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</si>
  <si>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</si>
  <si>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</si>
  <si>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</si>
  <si>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</si>
  <si>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</si>
  <si>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</si>
  <si>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</si>
  <si>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</si>
  <si>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</si>
  <si>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</si>
  <si>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</si>
  <si>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</si>
  <si>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</si>
  <si>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</si>
  <si>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</si>
  <si>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</si>
  <si>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</si>
  <si>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</si>
  <si>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</si>
  <si>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</si>
  <si>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</si>
  <si>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</si>
  <si>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</si>
  <si>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</si>
  <si>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</si>
  <si>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</si>
  <si>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</si>
  <si>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</si>
  <si>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</si>
  <si>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</si>
  <si>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</si>
  <si>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</si>
  <si>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</si>
  <si>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</si>
  <si>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</si>
  <si>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</si>
  <si>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</si>
  <si>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</si>
  <si>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</si>
  <si>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</si>
  <si>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</si>
  <si>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</si>
  <si>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</si>
  <si>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</si>
  <si>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</si>
  <si>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</si>
  <si>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</si>
  <si>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</si>
  <si>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</si>
  <si>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UFG-N-15 от </t>
  </si>
  <si>
    <t xml:space="preserve"> 08.09.2025г.</t>
  </si>
  <si>
    <t>40047RAA/408895AA</t>
  </si>
  <si>
    <t xml:space="preserve">СПЕЦИФИКАЦИЯ № UFG-N-15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</si>
  <si>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500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</si>
</sst>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147</v>
      </c>
      <c r="B5" s="136"/>
      <c r="C5" s="136"/>
      <c r="D5" s="136"/>
      <c r="E5" s="136"/>
      <c r="F5" s="6"/>
      <c r="G5" s="138" t="s">
        <v>134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142</v>
      </c>
      <c r="B6" s="143"/>
      <c r="C6" s="143"/>
      <c r="D6" s="143"/>
      <c r="E6" s="143"/>
      <c r="F6" s="7"/>
      <c r="G6" s="140" t="s">
        <v>135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148</v>
      </c>
      <c r="B7" s="143"/>
      <c r="C7" s="143"/>
      <c r="D7" s="143"/>
      <c r="E7" s="143"/>
      <c r="F7" s="63"/>
      <c r="G7" s="140" t="s">
        <v>136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143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149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150</v>
      </c>
      <c r="B12" s="8"/>
      <c r="C12" s="8"/>
      <c r="D12" s="8"/>
      <c r="E12" s="8"/>
      <c r="F12" s="7"/>
      <c r="G12" s="139" t="s">
        <v>140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147</v>
      </c>
      <c r="B14" s="136"/>
      <c r="C14" s="136"/>
      <c r="D14" s="136"/>
      <c r="E14" s="136"/>
      <c r="F14" s="6"/>
      <c r="G14" s="138" t="s">
        <v>134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142</v>
      </c>
      <c r="B15" s="143"/>
      <c r="C15" s="143"/>
      <c r="D15" s="143"/>
      <c r="E15" s="143"/>
      <c r="F15" s="7"/>
      <c r="G15" s="140" t="s">
        <v>135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148</v>
      </c>
      <c r="B16" s="143"/>
      <c r="C16" s="143"/>
      <c r="D16" s="143"/>
      <c r="E16" s="143"/>
      <c r="F16" s="63"/>
      <c r="G16" s="140" t="s">
        <v>136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143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149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150</v>
      </c>
      <c r="B21" s="8"/>
      <c r="C21" s="8"/>
      <c r="D21" s="8"/>
      <c r="E21" s="8"/>
      <c r="G21" s="139" t="s">
        <v>140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122</v>
      </c>
      <c r="C30" s="107" t="s">
        <v>121</v>
      </c>
      <c r="D30" s="109" t="s">
        <v>110</v>
      </c>
      <c r="E30" s="101">
        <v>2348</v>
      </c>
      <c r="F30" s="110" t="s">
        <v>27</v>
      </c>
      <c r="G30" s="106">
        <v>22306</v>
      </c>
      <c r="H30" s="106">
        <v>20662</v>
      </c>
      <c r="I30" s="108">
        <v>1.2</v>
      </c>
      <c r="J30" s="13">
        <f t="shared" ref="J30" si="0">H30*I30</f>
        <v>24794.399999999998</v>
      </c>
      <c r="K30" s="12">
        <v>0</v>
      </c>
      <c r="L30" s="12">
        <v>0</v>
      </c>
      <c r="M30" s="13">
        <f t="shared" ref="M30" si="1">J30</f>
        <v>24794.399999999998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2348</v>
      </c>
      <c r="F31" s="15"/>
      <c r="G31" s="64">
        <f>SUM(G30:G30)</f>
        <v>22306</v>
      </c>
      <c r="H31" s="64">
        <f>SUM(H30:H30)</f>
        <v>20662</v>
      </c>
      <c r="I31" s="102"/>
      <c r="J31" s="17">
        <f>SUM(J30:J30)</f>
        <v>24794.399999999998</v>
      </c>
      <c r="K31" s="16"/>
      <c r="L31" s="16"/>
      <c r="M31" s="17">
        <f>SUM(M30:M30)</f>
        <v>24794.399999999998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четыре тысячи семьсот девяносто четыре доллара США,40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162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UFG-N-15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2348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22306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40047RAA/408895AA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32" sqref="I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40047RAA/408895AA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UFG-N-15 от  08.09.2025г.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2348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22306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2348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08.09.2025г.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40047RAA/408895AA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2348</v>
      </c>
      <c r="F30" s="116" t="str">
        <f>+Инвойс!F30</f>
        <v>кг</v>
      </c>
      <c r="G30" s="106">
        <f>+Инвойс!G30</f>
        <v>22306</v>
      </c>
      <c r="H30" s="106">
        <f>+Инвойс!H30</f>
        <v>20662</v>
      </c>
      <c r="I30" s="108">
        <f>+Инвойс!I30</f>
        <v>1.2</v>
      </c>
      <c r="J30" s="13">
        <f>+Инвойс!J30</f>
        <v>24794.399999999998</v>
      </c>
      <c r="K30" s="12">
        <v>0</v>
      </c>
      <c r="L30" s="12">
        <v>0</v>
      </c>
      <c r="M30" s="13">
        <f>+Инвойс!M30</f>
        <v>24794.399999999998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2348</v>
      </c>
      <c r="F31" s="15"/>
      <c r="G31" s="64">
        <f>SUM(G30:G30)</f>
        <v>22306</v>
      </c>
      <c r="H31" s="64">
        <f>SUM(H30:H30)</f>
        <v>20662</v>
      </c>
      <c r="I31" s="102"/>
      <c r="J31" s="17">
        <f>SUM(J30:J30)</f>
        <v>24794.399999999998</v>
      </c>
      <c r="K31" s="16"/>
      <c r="L31" s="16"/>
      <c r="M31" s="17">
        <f>SUM(M30:M30)</f>
        <v>24794.399999999998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четыре тысячи семьсот девяносто четыре доллара США,40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ЭШТЕМИРОВ Х.Х</v>
      </c>
      <c r="E36" s="132"/>
      <c r="G36" s="129" t="s">
        <v>127</v>
      </c>
      <c r="H36" s="18" t="str">
        <f>Инвойс!G5</f>
        <v>ООО «ГРИН ВОРЛД»</v>
      </c>
      <c r="K36" s="133" t="s">
        <v>141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126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129</v>
      </c>
    </row>
    <row r="7" spans="1:10" ht="52.8" x14ac:dyDescent="0.25">
      <c r="A7" s="126" t="s">
        <v>116</v>
      </c>
    </row>
    <row r="8" spans="1:10" x14ac:dyDescent="0.25">
      <c r="E8" s="18" t="s">
        <v>156</v>
      </c>
      <c r="J8" s="25" t="s">
        <v>130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156</v>
      </c>
      <c r="J10" s="25" t="s">
        <v>131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132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24794.399999999998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семьсот девяносто четыре доллара США,40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45908</v>
      </c>
      <c r="O3" s="178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четыре тысячи семьсот девяносто четыре доллара США,40 центов. (в т.ч. НДС - 357,79)</v>
      </c>
      <c r="H4" s="32"/>
      <c r="I4" s="32"/>
      <c r="J4" s="32"/>
      <c r="K4" s="179" t="str">
        <f ca="1">CONCATENATE(" «  ",P3,"  »  ",Q3,"  ",R3," г.")</f>
        <v xml:space="preserve"> «  8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семьсот девяносто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семьсот девяносто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семьсот девяносто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24794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2479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24794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794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2025-09-08T11:00:35Z</cp:lastPrinted>
  <dcterms:created xsi:type="dcterms:W3CDTF">1996-10-14T23:33:28Z</dcterms:created>
  <dcterms:modified xsi:type="dcterms:W3CDTF">2025-09-08T11:00:50Z</dcterms:modified>
</cp:coreProperties>
</file>