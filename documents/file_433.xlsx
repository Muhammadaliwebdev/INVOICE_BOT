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C075E1B2-0716-4842-BD83-F60F45D67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J31" i="2"/>
  <c r="M31" i="2" s="1"/>
  <c r="D37" i="7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M31" i="7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<sst xmlns="http://schemas.openxmlformats.org/spreadsheetml/2006/main" count="216" uniqueCount="163">
  <si>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</si>
  <si>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</si>
  <si>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</si>
  <si>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</si>
  <si>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</si>
  <si>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</si>
  <si>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</si>
  <si>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</si>
  <si>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</si>
  <si>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</si>
  <si>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</si>
  <si>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</si>
  <si>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</si>
  <si>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</si>
  <si>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</si>
  <si>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</si>
  <si>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</si>
  <si>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</si>
  <si>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</si>
  <si>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</si>
  <si>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</si>
  <si>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</si>
  <si>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</si>
  <si>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</si>
  <si>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</si>
  <si>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</si>
  <si>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</si>
  <si>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</si>
  <si>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</si>
  <si>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</si>
  <si>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</si>
  <si>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</si>
  <si>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</si>
  <si>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</si>
  <si>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</si>
  <si>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</si>
  <si>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</si>
  <si>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</si>
  <si>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</si>
  <si>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</si>
  <si>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</si>
  <si>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</si>
  <si>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</si>
  <si>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</si>
  <si>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</si>
  <si>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</si>
  <si>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</si>
  <si>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</si>
  <si>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</si>
  <si>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</si>
  <si>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</si>
  <si>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</si>
  <si>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</si>
  <si>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</si>
  <si>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</si>
  <si>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</si>
  <si>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</si>
  <si>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</si>
  <si>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</si>
  <si>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</si>
  <si>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</si>
  <si>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</si>
  <si>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</si>
  <si>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</si>
  <si>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</si>
  <si>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</si>
  <si>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</si>
  <si>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</si>
  <si>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</si>
  <si>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</si>
  <si>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</si>
  <si>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</si>
  <si>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</si>
  <si>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</si>
  <si>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</si>
  <si>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</si>
  <si>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</si>
  <si>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</si>
  <si>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</si>
  <si>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</si>
  <si>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</si>
  <si>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</si>
  <si>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</si>
  <si>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</si>
  <si>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</si>
  <si>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</si>
  <si>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</si>
  <si>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</si>
  <si>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</si>
  <si>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</si>
  <si>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</si>
  <si>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</si>
  <si>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</si>
  <si>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</si>
  <si>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</si>
  <si>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</si>
  <si>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</si>
  <si>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</si>
  <si>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</si>
  <si>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</si>
  <si>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</si>
  <si>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</si>
  <si>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</si>
  <si>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</si>
  <si>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</si>
  <si>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</si>
  <si>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</si>
  <si>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</si>
  <si>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</si>
  <si>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</si>
  <si>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</si>
  <si>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</si>
  <si>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</si>
  <si>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>Томаты свежие некалиброванный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</si>
  <si>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</si>
  <si>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</si>
  <si>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</si>
  <si>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</si>
  <si>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</si>
  <si>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</si>
  <si>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</si>
  <si>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</si>
  <si>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</si>
  <si>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0702000005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</si>
  <si>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</si>
  <si>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</si>
  <si>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</si>
  <si>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</si>
  <si>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</si>
  <si>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</si>
  <si>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</si>
  <si>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</si>
  <si>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</si>
  <si>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</si>
  <si>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</si>
  <si>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</si>
  <si>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</si>
  <si>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</si>
  <si>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</si>
  <si>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</si>
  <si>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</si>
  <si>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</si>
  <si>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</si>
  <si>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</si>
  <si>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</si>
  <si>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</si>
  <si>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</si>
  <si>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</si>
  <si>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</si>
  <si>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</si>
  <si>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</si>
  <si>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</si>
  <si>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</si>
  <si>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</si>
  <si>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</si>
  <si>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</si>
  <si>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 05.09.2025г.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</si>
  <si>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</si>
  <si>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</si>
  <si>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</si>
  <si>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EXG-F-44 от </t>
  </si>
  <si>
    <t xml:space="preserve">СПЕЦИФИКАЦИЯ № EXG-F-44 от </t>
  </si>
  <si>
    <t>50691YAA/506659AA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</si>
</sst>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37</xdr:row>
      <xdr:rowOff>123262</xdr:rowOff>
    </xdr:from>
    <xdr:to>
      <xdr:col>3</xdr:col>
      <xdr:colOff>439882</xdr:colOff>
      <xdr:row>51</xdr:row>
      <xdr:rowOff>100852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37</xdr:row>
      <xdr:rowOff>78440</xdr:rowOff>
    </xdr:from>
    <xdr:to>
      <xdr:col>5</xdr:col>
      <xdr:colOff>179852</xdr:colOff>
      <xdr:row>40</xdr:row>
      <xdr:rowOff>173913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38</xdr:row>
      <xdr:rowOff>11205</xdr:rowOff>
    </xdr:from>
    <xdr:to>
      <xdr:col>2</xdr:col>
      <xdr:colOff>427079</xdr:colOff>
      <xdr:row>51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37</xdr:row>
      <xdr:rowOff>156882</xdr:rowOff>
    </xdr:from>
    <xdr:to>
      <xdr:col>4</xdr:col>
      <xdr:colOff>112618</xdr:colOff>
      <xdr:row>41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37</xdr:row>
      <xdr:rowOff>44824</xdr:rowOff>
    </xdr:from>
    <xdr:to>
      <xdr:col>9</xdr:col>
      <xdr:colOff>578784</xdr:colOff>
      <xdr:row>48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156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143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144</v>
      </c>
      <c r="B5" s="136"/>
      <c r="C5" s="136"/>
      <c r="D5" s="136"/>
      <c r="E5" s="136"/>
      <c r="F5" s="6"/>
      <c r="G5" s="138" t="s">
        <v>135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145</v>
      </c>
      <c r="B6" s="143"/>
      <c r="C6" s="143"/>
      <c r="D6" s="143"/>
      <c r="E6" s="143"/>
      <c r="F6" s="7"/>
      <c r="G6" s="140" t="s">
        <v>136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146</v>
      </c>
      <c r="B7" s="143"/>
      <c r="C7" s="143"/>
      <c r="D7" s="143"/>
      <c r="E7" s="143"/>
      <c r="F7" s="63"/>
      <c r="G7" s="140" t="s">
        <v>137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149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39" t="s">
        <v>141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144</v>
      </c>
      <c r="B14" s="136"/>
      <c r="C14" s="136"/>
      <c r="D14" s="136"/>
      <c r="E14" s="136"/>
      <c r="F14" s="6"/>
      <c r="G14" s="138" t="s">
        <v>135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145</v>
      </c>
      <c r="B15" s="143"/>
      <c r="C15" s="143"/>
      <c r="D15" s="143"/>
      <c r="E15" s="143"/>
      <c r="F15" s="7"/>
      <c r="G15" s="140" t="s">
        <v>136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146</v>
      </c>
      <c r="B16" s="143"/>
      <c r="C16" s="143"/>
      <c r="D16" s="143"/>
      <c r="E16" s="143"/>
      <c r="F16" s="63"/>
      <c r="G16" s="140" t="s">
        <v>137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149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39" t="s">
        <v>141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124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158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13.8" x14ac:dyDescent="0.25">
      <c r="A30" s="127">
        <v>1</v>
      </c>
      <c r="B30" s="101" t="s">
        <v>113</v>
      </c>
      <c r="C30" s="107" t="s">
        <v>123</v>
      </c>
      <c r="D30" s="109" t="s">
        <v>112</v>
      </c>
      <c r="E30" s="101">
        <v>2720</v>
      </c>
      <c r="F30" s="110" t="s">
        <v>27</v>
      </c>
      <c r="G30" s="106">
        <v>19222</v>
      </c>
      <c r="H30" s="106">
        <v>14870</v>
      </c>
      <c r="I30" s="108">
        <v>0.55000000000000004</v>
      </c>
      <c r="J30" s="13">
        <f t="shared" ref="J30:J31" si="0">H30*I30</f>
        <v>8178.5000000000009</v>
      </c>
      <c r="K30" s="12">
        <v>0</v>
      </c>
      <c r="L30" s="12">
        <v>0</v>
      </c>
      <c r="M30" s="13">
        <f t="shared" ref="M30:M31" si="1">J30</f>
        <v>8178.5000000000009</v>
      </c>
      <c r="O30" s="100"/>
      <c r="Q30" s="100"/>
    </row>
    <row r="31" spans="1:17" ht="13.8" x14ac:dyDescent="0.25">
      <c r="A31" s="127">
        <v>2</v>
      </c>
      <c r="B31" s="101" t="s">
        <v>113</v>
      </c>
      <c r="C31" s="107" t="s">
        <v>123</v>
      </c>
      <c r="D31" s="109" t="s">
        <v>112</v>
      </c>
      <c r="E31" s="101">
        <v>100</v>
      </c>
      <c r="F31" s="110" t="s">
        <v>27</v>
      </c>
      <c r="G31" s="106">
        <v>710</v>
      </c>
      <c r="H31" s="106">
        <v>550</v>
      </c>
      <c r="I31" s="108">
        <v>0.55000000000000004</v>
      </c>
      <c r="J31" s="13">
        <f t="shared" si="0"/>
        <v>302.5</v>
      </c>
      <c r="K31" s="12">
        <v>0</v>
      </c>
      <c r="L31" s="12">
        <v>0</v>
      </c>
      <c r="M31" s="13">
        <f t="shared" si="1"/>
        <v>302.5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2820</v>
      </c>
      <c r="F32" s="15"/>
      <c r="G32" s="64">
        <f>SUM(G30:G31)</f>
        <v>19932</v>
      </c>
      <c r="H32" s="64">
        <f>SUM(H30:H31)</f>
        <v>15420</v>
      </c>
      <c r="I32" s="102"/>
      <c r="J32" s="17">
        <f>SUM(J30:J31)</f>
        <v>8481</v>
      </c>
      <c r="K32" s="16"/>
      <c r="L32" s="16"/>
      <c r="M32" s="17">
        <f>SUM(M30:M31)</f>
        <v>8481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Восемь тысяч четыреста восемьдесят один доллар США,00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 t="s">
        <v>109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3.8" x14ac:dyDescent="0.25">
      <c r="A37" s="7" t="s">
        <v>28</v>
      </c>
      <c r="B37" s="7"/>
      <c r="D37" s="25" t="s">
        <v>152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2" sqref="B32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EXG-F-44 от  05.09.2025г.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2720</v>
      </c>
      <c r="D30" s="103" t="str">
        <f>+Инвойс!D30</f>
        <v>Дер. ящик</v>
      </c>
      <c r="E30" s="103"/>
      <c r="F30" s="103" t="str">
        <f>+Инвойс!B30</f>
        <v>Томаты свежие некалиброванный</v>
      </c>
      <c r="G30" s="104" t="str">
        <f>+Инвойс!C30</f>
        <v>0702000005</v>
      </c>
      <c r="H30" s="103"/>
      <c r="I30" s="105">
        <f>+Инвойс!G30</f>
        <v>19222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100</v>
      </c>
      <c r="D31" s="103" t="str">
        <f>+Инвойс!D31</f>
        <v>Дер. ящик</v>
      </c>
      <c r="E31" s="103"/>
      <c r="F31" s="103" t="str">
        <f>+Инвойс!B31</f>
        <v>Томаты свежие некалиброванный</v>
      </c>
      <c r="G31" s="104" t="str">
        <f>+Инвойс!C31</f>
        <v>0702000005</v>
      </c>
      <c r="H31" s="103"/>
      <c r="I31" s="105">
        <f>+Инвойс!G31</f>
        <v>710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60" t="str">
        <f>+C22</f>
        <v xml:space="preserve"> 05.09.2025г.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50691YAA/506659AA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2" sqref="F22:J3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50691YAA/506659AA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EXG-F-44 от  05.09.2025г.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2720</v>
      </c>
      <c r="G18" s="167" t="str">
        <f>+CMR!F30</f>
        <v>Томаты свежие некалиброванный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Дер. ящик</v>
      </c>
      <c r="G19" s="161" t="str">
        <f>+Инвойс!C30</f>
        <v>0702000005</v>
      </c>
      <c r="H19" s="162"/>
      <c r="I19" s="122" t="s">
        <v>103</v>
      </c>
      <c r="J19" s="120">
        <f>+Инвойс!G30</f>
        <v>19222</v>
      </c>
    </row>
    <row r="20" spans="2:10" ht="13.5" customHeight="1" x14ac:dyDescent="0.3">
      <c r="B20" s="83"/>
      <c r="E20" s="123"/>
      <c r="F20" s="118">
        <f>+Инвойс!E31</f>
        <v>100</v>
      </c>
      <c r="G20" s="167" t="str">
        <f>+CMR!F31</f>
        <v>Томаты свежие некалиброванный</v>
      </c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Дер. ящик</v>
      </c>
      <c r="G21" s="161" t="str">
        <f>+Инвойс!C31</f>
        <v>0702000005</v>
      </c>
      <c r="H21" s="162"/>
      <c r="I21" s="122" t="s">
        <v>103</v>
      </c>
      <c r="J21" s="120">
        <f>+Инвойс!G31</f>
        <v>710</v>
      </c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2820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zoomScale="55" zoomScaleNormal="55" workbookViewId="0">
      <selection activeCell="A32" sqref="A32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161</v>
      </c>
      <c r="C1" s="174"/>
      <c r="D1" s="174"/>
      <c r="E1" s="174"/>
      <c r="F1" s="134" t="str">
        <f>+Инвойс!F1</f>
        <v xml:space="preserve"> 05.09.2025г.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125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116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50691YAA/506659AA</v>
      </c>
      <c r="F26" s="156"/>
      <c r="G26" s="156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Томаты свежие некалиброванный</v>
      </c>
      <c r="C30" s="107" t="str">
        <f>+Инвойс!C30</f>
        <v>0702000005</v>
      </c>
      <c r="D30" s="115" t="str">
        <f>+Инвойс!D30</f>
        <v>Дер. ящик</v>
      </c>
      <c r="E30" s="101">
        <f>+Инвойс!E30</f>
        <v>2720</v>
      </c>
      <c r="F30" s="116" t="str">
        <f>+Инвойс!F30</f>
        <v>кг</v>
      </c>
      <c r="G30" s="106">
        <f>+Инвойс!G30</f>
        <v>19222</v>
      </c>
      <c r="H30" s="106">
        <f>+Инвойс!H30</f>
        <v>14870</v>
      </c>
      <c r="I30" s="108">
        <f>+Инвойс!I30</f>
        <v>0.55000000000000004</v>
      </c>
      <c r="J30" s="13">
        <f>+Инвойс!J30</f>
        <v>8178.5000000000009</v>
      </c>
      <c r="K30" s="12">
        <v>0</v>
      </c>
      <c r="L30" s="12">
        <v>0</v>
      </c>
      <c r="M30" s="13">
        <f>+Инвойс!M30</f>
        <v>8178.5000000000009</v>
      </c>
      <c r="O30" s="100"/>
      <c r="Q30" s="100"/>
    </row>
    <row r="31" spans="1:17" ht="27.6" x14ac:dyDescent="0.25">
      <c r="A31" s="127">
        <f>+Инвойс!A31</f>
        <v>2</v>
      </c>
      <c r="B31" s="101" t="str">
        <f>+Инвойс!B31</f>
        <v>Томаты свежие некалиброванный</v>
      </c>
      <c r="C31" s="107" t="str">
        <f>+Инвойс!C31</f>
        <v>0702000005</v>
      </c>
      <c r="D31" s="115" t="str">
        <f>+Инвойс!D31</f>
        <v>Дер. ящик</v>
      </c>
      <c r="E31" s="101">
        <f>+Инвойс!E31</f>
        <v>100</v>
      </c>
      <c r="F31" s="116" t="str">
        <f>+Инвойс!F31</f>
        <v>кг</v>
      </c>
      <c r="G31" s="106">
        <f>+Инвойс!G31</f>
        <v>710</v>
      </c>
      <c r="H31" s="106">
        <f>+Инвойс!H31</f>
        <v>550</v>
      </c>
      <c r="I31" s="108">
        <f>+Инвойс!I31</f>
        <v>0.55000000000000004</v>
      </c>
      <c r="J31" s="13">
        <f>+Инвойс!J31</f>
        <v>302.5</v>
      </c>
      <c r="K31" s="12">
        <v>0</v>
      </c>
      <c r="L31" s="12">
        <v>0</v>
      </c>
      <c r="M31" s="13">
        <f>+Инвойс!M31</f>
        <v>302.5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2820</v>
      </c>
      <c r="F32" s="15"/>
      <c r="G32" s="64">
        <f>SUM(G30:G31)</f>
        <v>19932</v>
      </c>
      <c r="H32" s="64">
        <f>SUM(H30:H31)</f>
        <v>15420</v>
      </c>
      <c r="I32" s="102"/>
      <c r="J32" s="17">
        <f>SUM(J30:J31)</f>
        <v>8481</v>
      </c>
      <c r="K32" s="16"/>
      <c r="L32" s="16"/>
      <c r="M32" s="17">
        <f>SUM(M30:M31)</f>
        <v>8481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Восемь тысяч четыреста восемьдесят один доллар США,00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6" x14ac:dyDescent="0.3">
      <c r="A37" s="131" t="s">
        <v>153</v>
      </c>
      <c r="B37" s="131"/>
      <c r="D37" s="18" t="str">
        <f>+Инвойс!D37</f>
        <v>АБДИЛАКИМОВ А.А</v>
      </c>
      <c r="E37" s="132"/>
      <c r="G37" s="129" t="s">
        <v>128</v>
      </c>
      <c r="H37" s="18" t="str">
        <f>Инвойс!G5</f>
        <v>ООО «ГРИН ВОРЛД»</v>
      </c>
      <c r="K37" s="133" t="s">
        <v>142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7"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117</v>
      </c>
    </row>
    <row r="3" spans="1:10" ht="52.8" x14ac:dyDescent="0.25">
      <c r="A3" s="130" t="s">
        <v>127</v>
      </c>
    </row>
    <row r="5" spans="1:10" ht="92.4" x14ac:dyDescent="0.25">
      <c r="A5" s="126" t="s">
        <v>155</v>
      </c>
    </row>
    <row r="6" spans="1:10" x14ac:dyDescent="0.25">
      <c r="E6" s="18" t="s">
        <v>157</v>
      </c>
      <c r="J6" s="25" t="s">
        <v>130</v>
      </c>
    </row>
    <row r="7" spans="1:10" ht="52.8" x14ac:dyDescent="0.25">
      <c r="A7" s="126" t="s">
        <v>118</v>
      </c>
    </row>
    <row r="8" spans="1:10" x14ac:dyDescent="0.25">
      <c r="E8" s="18" t="s">
        <v>158</v>
      </c>
      <c r="J8" s="25" t="s">
        <v>131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158</v>
      </c>
      <c r="J10" s="25" t="s">
        <v>132</v>
      </c>
    </row>
    <row r="11" spans="1:10" ht="52.8" x14ac:dyDescent="0.25">
      <c r="A11" s="126" t="s">
        <v>154</v>
      </c>
    </row>
    <row r="12" spans="1:10" x14ac:dyDescent="0.25">
      <c r="E12" s="18" t="s">
        <v>159</v>
      </c>
      <c r="J12" s="25" t="s">
        <v>133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Инвойс!M32</f>
        <v>8481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Восемь тысяч четыреста восемьдесят один доллар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45905</v>
      </c>
      <c r="O3" s="178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Восемь тысяч четыреста восемьдесят один доллар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5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восемь тысяч четыреста восемьдесят один доллар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восемь тысяч четыреста восемьдесят один доллар США,00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226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в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восемь тысяч </v>
      </c>
      <c r="D10" s="47"/>
      <c r="E10" s="48"/>
      <c r="F10" s="41" t="str">
        <f>PROPER(F9)</f>
        <v>В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четыреста восемьдесят один доллар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8481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8</v>
      </c>
      <c r="B25" s="47">
        <f>TRUNC(RIGHT(A25))</f>
        <v>8</v>
      </c>
      <c r="C25" s="51">
        <f>IF(B24=1,B25+10,IF(B25=0,0,B25))</f>
        <v>8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восемь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8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84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848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8481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481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2025-09-05T11:43:38Z</cp:lastPrinted>
  <dcterms:created xsi:type="dcterms:W3CDTF">1996-10-14T23:33:28Z</dcterms:created>
  <dcterms:modified xsi:type="dcterms:W3CDTF">2025-09-05T11:43:42Z</dcterms:modified>
</cp:coreProperties>
</file>