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D76D21-64F6-4026-88CF-F286E29B3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<sst xmlns="http://schemas.openxmlformats.org/spreadsheetml/2006/main" count="209" uniqueCount="163">
  <si>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</si>
  <si>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</si>
  <si>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</si>
  <si>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</si>
  <si>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</si>
  <si>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</si>
  <si>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</si>
  <si>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</si>
  <si>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</si>
  <si>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</si>
  <si>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</si>
  <si>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</si>
  <si>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</si>
  <si>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</si>
  <si>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</si>
  <si>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</si>
  <si>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</si>
  <si>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</si>
  <si>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</si>
  <si>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</si>
  <si>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</si>
  <si>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</si>
  <si>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</si>
  <si>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</si>
  <si>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</si>
  <si>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</si>
  <si>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</si>
  <si>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</si>
  <si>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</si>
  <si>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</si>
  <si>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</si>
  <si>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</si>
  <si>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</si>
  <si>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</si>
  <si>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</si>
  <si>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</si>
  <si>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</si>
  <si>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</si>
  <si>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</si>
  <si>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</si>
  <si>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</si>
  <si>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</si>
  <si>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</si>
  <si>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</si>
  <si>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</si>
  <si>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</si>
  <si>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</si>
  <si>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</si>
  <si>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</si>
  <si>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</si>
  <si>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</si>
  <si>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</si>
  <si>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</si>
  <si>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</si>
  <si>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</si>
  <si>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</si>
  <si>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</si>
  <si>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</si>
  <si>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</si>
  <si>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</si>
  <si>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</si>
  <si>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</si>
  <si>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</si>
  <si>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</si>
  <si>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</si>
  <si>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</si>
  <si>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</si>
  <si>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</si>
  <si>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</si>
  <si>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</si>
  <si>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</si>
  <si>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</si>
  <si>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</si>
  <si>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</si>
  <si>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</si>
  <si>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</si>
  <si>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</si>
  <si>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</si>
  <si>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</si>
  <si>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</si>
  <si>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</si>
  <si>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</si>
  <si>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</si>
  <si>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</si>
  <si>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</si>
  <si>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</si>
  <si>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</si>
  <si>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</si>
  <si>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</si>
  <si>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</si>
  <si>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</si>
  <si>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</si>
  <si>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</si>
  <si>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</si>
  <si>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</si>
  <si>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</si>
  <si>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</si>
  <si>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</si>
  <si>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</si>
  <si>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</si>
  <si>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</si>
  <si>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</si>
  <si>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</si>
  <si>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</si>
  <si>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</si>
  <si>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</si>
  <si>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</si>
  <si>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</si>
  <si>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</si>
  <si>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</si>
  <si>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</si>
  <si>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</si>
  <si>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</si>
  <si>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</si>
  <si>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</si>
  <si>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</si>
  <si>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</si>
  <si>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</si>
  <si>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</si>
  <si>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</si>
  <si>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</si>
  <si>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</si>
  <si>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</si>
  <si>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</si>
  <si>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</si>
  <si>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</si>
  <si>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</si>
  <si>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</si>
  <si>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</si>
  <si>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</si>
  <si>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</si>
  <si>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</si>
  <si>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</si>
  <si>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</si>
  <si>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</si>
  <si>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</si>
  <si>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</si>
  <si>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</si>
  <si>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</si>
  <si>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</si>
  <si>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</si>
  <si>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</si>
  <si>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</si>
  <si>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</si>
  <si>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</si>
  <si>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</si>
  <si>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</si>
  <si>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</si>
  <si>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</si>
  <si>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</si>
  <si>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</si>
  <si>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</si>
  <si>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</si>
  <si>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</si>
  <si>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</si>
  <si>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</si>
  <si>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</si>
  <si>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</si>
  <si>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PLG-A-30 от </t>
  </si>
  <si>
    <t xml:space="preserve"> 29.08.2025г.</t>
  </si>
  <si>
    <t>90Z204OA/903777AA</t>
  </si>
  <si>
    <t xml:space="preserve">СПЕЦИФИКАЦИЯ № PLG-A-30 от 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</si>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</sst>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158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149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150</v>
      </c>
      <c r="B6" s="141"/>
      <c r="C6" s="141"/>
      <c r="D6" s="141"/>
      <c r="E6" s="141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151</v>
      </c>
      <c r="B7" s="141"/>
      <c r="C7" s="141"/>
      <c r="D7" s="141"/>
      <c r="E7" s="141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145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149</v>
      </c>
      <c r="B14" s="154"/>
      <c r="C14" s="154"/>
      <c r="D14" s="154"/>
      <c r="E14" s="154"/>
      <c r="F14" s="6"/>
      <c r="G14" s="147" t="s">
        <v>139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150</v>
      </c>
      <c r="B15" s="141"/>
      <c r="C15" s="141"/>
      <c r="D15" s="141"/>
      <c r="E15" s="141"/>
      <c r="F15" s="7"/>
      <c r="G15" s="140" t="s">
        <v>140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151</v>
      </c>
      <c r="B16" s="141"/>
      <c r="C16" s="141"/>
      <c r="D16" s="141"/>
      <c r="E16" s="141"/>
      <c r="F16" s="63"/>
      <c r="G16" s="140" t="s">
        <v>141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145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119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135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160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123</v>
      </c>
      <c r="C30" s="107" t="s">
        <v>122</v>
      </c>
      <c r="D30" s="109" t="s">
        <v>162</v>
      </c>
      <c r="E30" s="101">
        <v>2200</v>
      </c>
      <c r="F30" s="115" t="s">
        <v>27</v>
      </c>
      <c r="G30" s="106">
        <v>21000</v>
      </c>
      <c r="H30" s="106">
        <v>19460</v>
      </c>
      <c r="I30" s="108">
        <v>1</v>
      </c>
      <c r="J30" s="13">
        <f t="shared" ref="J30" si="0">H30*I30</f>
        <v>19460</v>
      </c>
      <c r="K30" s="12">
        <v>0</v>
      </c>
      <c r="L30" s="12">
        <v>0</v>
      </c>
      <c r="M30" s="13">
        <f t="shared" ref="M30" si="1">J30</f>
        <v>19460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2200</v>
      </c>
      <c r="F31" s="15"/>
      <c r="G31" s="64">
        <f>SUM(G30:G30)</f>
        <v>21000</v>
      </c>
      <c r="H31" s="64">
        <f>SUM(H30:H30)</f>
        <v>19460</v>
      </c>
      <c r="I31" s="102"/>
      <c r="J31" s="17">
        <f>SUM(J30:J30)</f>
        <v>19460</v>
      </c>
      <c r="K31" s="16"/>
      <c r="L31" s="16"/>
      <c r="M31" s="17">
        <f>SUM(M30:M30)</f>
        <v>19460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Девятнадцать тысяч четыреста шестьдесят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M45" sqref="M4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PLG-A-30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2200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21000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90Z204OA/903777AA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I27" sqref="I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90Z204OA/903777AA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PLG-A-30 от  29.08.2025г.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2200</v>
      </c>
      <c r="G18" s="162" t="str">
        <f>+CMR!F30</f>
        <v>Виноград свежий столовых сортов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21000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2200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29.08.2025г.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90Z204OA/903777AA</v>
      </c>
      <c r="F26" s="139"/>
      <c r="G26" s="139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2200</v>
      </c>
      <c r="F30" s="115" t="str">
        <f>+Инвойс!F30</f>
        <v>кг</v>
      </c>
      <c r="G30" s="106">
        <f>+Инвойс!G30</f>
        <v>21000</v>
      </c>
      <c r="H30" s="106">
        <f>+Инвойс!H30</f>
        <v>19460</v>
      </c>
      <c r="I30" s="108">
        <f>+Инвойс!I30</f>
        <v>1</v>
      </c>
      <c r="J30" s="13">
        <f>+Инвойс!J30</f>
        <v>19460</v>
      </c>
      <c r="K30" s="12">
        <v>0</v>
      </c>
      <c r="L30" s="12">
        <v>0</v>
      </c>
      <c r="M30" s="13">
        <f>+Инвойс!M30</f>
        <v>19460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2200</v>
      </c>
      <c r="F31" s="15"/>
      <c r="G31" s="64">
        <f>SUM(G30:G30)</f>
        <v>21000</v>
      </c>
      <c r="H31" s="64">
        <f>SUM(H30:H30)</f>
        <v>19460</v>
      </c>
      <c r="I31" s="102"/>
      <c r="J31" s="17">
        <f>SUM(J30:J30)</f>
        <v>19460</v>
      </c>
      <c r="K31" s="16"/>
      <c r="L31" s="16"/>
      <c r="M31" s="17">
        <f>SUM(M30:M30)</f>
        <v>19460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Девятнадцать тысяч четыреста шестьдесят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157</v>
      </c>
      <c r="B36" s="130"/>
      <c r="D36" s="18" t="str">
        <f>+Инвойс!D36</f>
        <v>Юнусов Х.Р</v>
      </c>
      <c r="E36" s="131"/>
      <c r="G36" s="128" t="s">
        <v>129</v>
      </c>
      <c r="H36" s="18" t="str">
        <f>Инвойс!G5</f>
        <v>ООО «ГРИН ВОРЛД»</v>
      </c>
      <c r="K36" s="132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115</v>
      </c>
    </row>
    <row r="3" spans="1:10" ht="52.8" x14ac:dyDescent="0.25">
      <c r="A3" s="129" t="s">
        <v>127</v>
      </c>
    </row>
    <row r="5" spans="1:10" ht="39.6" x14ac:dyDescent="0.25">
      <c r="A5" s="125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5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133</v>
      </c>
      <c r="J10" s="25" t="s">
        <v>134</v>
      </c>
    </row>
    <row r="11" spans="1:10" ht="52.8" x14ac:dyDescent="0.25">
      <c r="A11" s="125" t="s">
        <v>147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19460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четыреста шестьдесят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Девятнадцать тысяч четыреста шестьдесят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четыреста шестьдесят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четыреста шестьдесят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шестьдесят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19460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1946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19460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460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2025-08-29T15:25:26Z</cp:lastPrinted>
  <dcterms:created xsi:type="dcterms:W3CDTF">1996-10-14T23:33:28Z</dcterms:created>
  <dcterms:modified xsi:type="dcterms:W3CDTF">2025-08-29T15:25:48Z</dcterms:modified>
</cp:coreProperties>
</file>