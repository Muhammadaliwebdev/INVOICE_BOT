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<sst xmlns="http://schemas.openxmlformats.org/spreadsheetml/2006/main" count="211" uniqueCount="164">
  <si>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</si>
  <si>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</si>
  <si>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</si>
  <si>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</si>
  <si>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</si>
  <si>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</si>
  <si>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</si>
  <si>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</si>
  <si>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</si>
  <si>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</si>
  <si>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</si>
  <si>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</si>
  <si>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</si>
  <si>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</si>
  <si>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</si>
  <si>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</si>
  <si>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</si>
  <si>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</si>
  <si>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</si>
  <si>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</si>
  <si>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</si>
  <si>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</si>
  <si>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</si>
  <si>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</si>
  <si>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</si>
  <si>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</si>
  <si>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</si>
  <si>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</si>
  <si>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</si>
  <si>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</si>
  <si>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</si>
  <si>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</si>
  <si>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</si>
  <si>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</si>
  <si>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</si>
  <si>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</si>
  <si>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</si>
  <si>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</si>
  <si>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</si>
  <si>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</si>
  <si>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</si>
  <si>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</si>
  <si>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</si>
  <si>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</si>
  <si>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</si>
  <si>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</si>
  <si>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</si>
  <si>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</si>
  <si>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</si>
  <si>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</si>
  <si>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</si>
  <si>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</si>
  <si>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</si>
  <si>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</si>
  <si>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</si>
  <si>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</si>
  <si>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</si>
  <si>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</si>
  <si>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</si>
  <si>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</si>
  <si>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</si>
  <si>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</si>
  <si>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</si>
  <si>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</si>
  <si>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</si>
  <si>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</si>
  <si>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</si>
  <si>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</si>
  <si>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</si>
  <si>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</si>
  <si>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</si>
  <si>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</si>
  <si>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</si>
  <si>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</si>
  <si>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</si>
  <si>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</si>
  <si>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</si>
  <si>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</si>
  <si>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</si>
  <si>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</si>
  <si>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</si>
  <si>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</si>
  <si>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</si>
  <si>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</si>
  <si>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</si>
  <si>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</si>
  <si>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</si>
  <si>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</si>
  <si>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</si>
  <si>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</si>
  <si>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</si>
  <si>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</si>
  <si>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</si>
  <si>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</si>
  <si>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</si>
  <si>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</si>
  <si>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</si>
  <si>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</si>
  <si>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</si>
  <si>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</si>
  <si>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</si>
  <si>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</si>
  <si>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</si>
  <si>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</si>
  <si>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</si>
  <si>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</si>
  <si>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</si>
  <si>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</si>
  <si>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</si>
  <si>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</si>
  <si>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</si>
  <si>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</si>
  <si>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</si>
  <si>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</si>
  <si>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</si>
  <si>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</si>
  <si>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</si>
  <si>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</si>
  <si>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</si>
  <si>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</si>
  <si>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</si>
  <si>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</si>
  <si>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</si>
  <si>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</si>
  <si>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</si>
  <si>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</si>
  <si>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</si>
  <si>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</si>
  <si>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</si>
  <si>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</si>
  <si>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</si>
  <si>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</si>
  <si>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</si>
  <si>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</si>
  <si>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</si>
  <si>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</si>
  <si>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</si>
  <si>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</si>
  <si>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</si>
  <si>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</si>
  <si>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</si>
  <si>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</si>
  <si>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</si>
  <si>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</si>
  <si>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</si>
  <si>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</si>
  <si>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</si>
  <si>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</si>
  <si>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</si>
  <si>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</si>
  <si>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</si>
  <si>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</si>
  <si>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</si>
  <si>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</si>
  <si>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</si>
  <si>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</si>
  <si>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</si>
  <si>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</si>
  <si>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</si>
  <si>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</si>
  <si>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 29.08.2025г.</t>
  </si>
  <si>
    <t xml:space="preserve">ИНВОЙС № EXG-F-19 от </t>
  </si>
  <si>
    <t>30L222HB/309501AA</t>
  </si>
  <si>
    <t xml:space="preserve">СПЕЦИФИКАЦИЯ № EXG-F-19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</si>
</sst>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161</v>
      </c>
      <c r="D1" s="134"/>
      <c r="E1" s="134"/>
      <c r="F1" s="133" t="s">
        <v>160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148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149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150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151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149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150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151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128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980</v>
      </c>
      <c r="F30" s="115" t="s">
        <v>27</v>
      </c>
      <c r="G30" s="106">
        <v>23500</v>
      </c>
      <c r="H30" s="106">
        <v>21736</v>
      </c>
      <c r="I30" s="108">
        <v>0.25</v>
      </c>
      <c r="J30" s="13">
        <f t="shared" ref="J30" si="0">H30*I30</f>
        <v>5434</v>
      </c>
      <c r="K30" s="12">
        <v>0</v>
      </c>
      <c r="L30" s="12">
        <v>0</v>
      </c>
      <c r="M30" s="13">
        <f t="shared" ref="M30" si="1">J30</f>
        <v>5434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21736</v>
      </c>
      <c r="I31" s="102"/>
      <c r="J31" s="17">
        <f>SUM(J30:J30)</f>
        <v>5434</v>
      </c>
      <c r="K31" s="16"/>
      <c r="L31" s="16"/>
      <c r="M31" s="17">
        <f>SUM(M30:M30)</f>
        <v>5434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четыреста тридцать четыре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EXG-F-19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30L222HB/309501AA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30L222HB/309501AA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29.08.2025г.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EXG-F-19 от  29.08.2025г.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980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23500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980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3" t="str">
        <f>+Инвойс!F1</f>
        <v xml:space="preserve"> 29.08.2025г.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GR-EX-01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30L222HB/309501AA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59.2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23500</v>
      </c>
      <c r="H30" s="106">
        <f>+Инвойс!H30</f>
        <v>21736</v>
      </c>
      <c r="I30" s="108">
        <f>+Инвойс!I30</f>
        <v>0.25</v>
      </c>
      <c r="J30" s="13">
        <f>+Инвойс!J30</f>
        <v>5434</v>
      </c>
      <c r="K30" s="12">
        <v>0</v>
      </c>
      <c r="L30" s="12">
        <v>0</v>
      </c>
      <c r="M30" s="13">
        <f>+Инвойс!M30</f>
        <v>5434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21736</v>
      </c>
      <c r="I31" s="102"/>
      <c r="J31" s="17">
        <f>SUM(J30:J30)</f>
        <v>5434</v>
      </c>
      <c r="K31" s="16"/>
      <c r="L31" s="16"/>
      <c r="M31" s="17">
        <f>SUM(M30:M30)</f>
        <v>5434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четыреста тридцать четыре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АБДИЛАКИМОВ А.А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5434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тридцать четыре доллара США,00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четыреста тридцать четыре доллара США,00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тридцать четыре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тридцать четыре доллара США,00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четыреста тридцать четыре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">
      <c r="A13" s="49"/>
      <c r="D13" s="51"/>
      <c r="E13" s="52">
        <f>TRUNC(E2)</f>
        <v>5434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5434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434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2025-08-29T15:22:28Z</cp:lastPrinted>
  <dcterms:created xsi:type="dcterms:W3CDTF">1996-10-14T23:33:28Z</dcterms:created>
  <dcterms:modified xsi:type="dcterms:W3CDTF">2025-08-29T15:22:29Z</dcterms:modified>
</cp:coreProperties>
</file>