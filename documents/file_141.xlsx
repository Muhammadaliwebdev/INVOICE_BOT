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532FD10-A2A7-45F8-9F5D-955ECC736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<sst xmlns="http://schemas.openxmlformats.org/spreadsheetml/2006/main" count="201" uniqueCount="163">
  <si>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</si>
  <si>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</si>
  <si>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</si>
  <si>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</si>
  <si>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</si>
  <si>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</si>
  <si>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</si>
  <si>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</si>
  <si>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</si>
  <si>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</si>
  <si>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</si>
  <si>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</si>
  <si>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</si>
  <si>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</si>
  <si>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</si>
  <si>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</si>
  <si>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</si>
  <si>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</si>
  <si>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</si>
  <si>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</si>
  <si>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</si>
  <si>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</si>
  <si>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</si>
  <si>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</si>
  <si>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</si>
  <si>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</si>
  <si>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</si>
  <si>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</si>
  <si>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</si>
  <si>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</si>
  <si>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</si>
  <si>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</si>
  <si>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</si>
  <si>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</si>
  <si>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</si>
  <si>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</si>
  <si>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</si>
  <si>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</si>
  <si>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</si>
  <si>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</si>
  <si>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</si>
  <si>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</si>
  <si>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</si>
  <si>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</si>
  <si>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</si>
  <si>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</si>
  <si>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</si>
  <si>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</si>
  <si>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</si>
  <si>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</si>
  <si>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</si>
  <si>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</si>
  <si>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</si>
  <si>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</si>
  <si>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</si>
  <si>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</si>
  <si>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</si>
  <si>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</si>
  <si>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</si>
  <si>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</si>
  <si>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</si>
  <si>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</si>
  <si>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</si>
  <si>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</si>
  <si>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</si>
  <si>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</si>
  <si>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</si>
  <si>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</si>
  <si>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</si>
  <si>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</si>
  <si>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</si>
  <si>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</si>
  <si>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</si>
  <si>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</si>
  <si>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</si>
  <si>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</si>
  <si>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</si>
  <si>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</si>
  <si>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</si>
  <si>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</si>
  <si>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</si>
  <si>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</si>
  <si>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</si>
  <si>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</si>
  <si>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</si>
  <si>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</si>
  <si>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</si>
  <si>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</si>
  <si>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</si>
  <si>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</si>
  <si>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</si>
  <si>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</si>
  <si>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</si>
  <si>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</si>
  <si>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</si>
  <si>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</si>
  <si>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</si>
  <si>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</si>
  <si>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</si>
  <si>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</si>
  <si>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</si>
  <si>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</si>
  <si>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</si>
  <si>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</si>
  <si>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</si>
  <si>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</si>
  <si>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</si>
  <si>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</si>
  <si>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</si>
  <si>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</si>
  <si>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</si>
  <si>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</si>
  <si>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</si>
  <si>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</si>
  <si>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</si>
  <si>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</si>
  <si>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</si>
  <si>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</si>
  <si>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</si>
  <si>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</si>
  <si>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</si>
  <si>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</si>
  <si>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</si>
  <si>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</si>
  <si>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</si>
  <si>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</si>
  <si>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</si>
  <si>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</si>
  <si>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</si>
  <si>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</si>
  <si>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</si>
  <si>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</si>
  <si>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</si>
  <si>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</si>
  <si>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</si>
  <si>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</si>
  <si>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</si>
  <si>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</si>
  <si>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</si>
  <si>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</si>
  <si>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</si>
  <si>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</si>
  <si>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</si>
  <si>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</si>
  <si>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</si>
  <si>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</si>
  <si>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</si>
  <si>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</si>
  <si>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</si>
  <si>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</si>
  <si>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</si>
  <si>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</si>
  <si>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</si>
  <si>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</si>
  <si>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</si>
  <si>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</si>
  <si>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</si>
  <si>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</si>
  <si>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BEZ-A-51 от </t>
  </si>
  <si>
    <t xml:space="preserve"> 10.08.2025г.</t>
  </si>
  <si>
    <t>10D467MB/105738BA</t>
  </si>
  <si>
    <t>DAP - с Амандык , Республика Казахстан</t>
  </si>
  <si>
    <t xml:space="preserve">СПЕЦИФИКАЦИЯ № BEZ-A-51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</si>
</sst>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5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9" t="s">
        <v>119</v>
      </c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1:17" ht="15.75" x14ac:dyDescent="0.25">
      <c r="A24" s="20" t="s">
        <v>22</v>
      </c>
      <c r="C24" s="18" t="s">
        <v>161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BEZ-A-51 от  10.08.2025г.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10D467MB/105738BA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0" t="s">
        <v>96</v>
      </c>
      <c r="C2" s="160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1" t="str">
        <f>+Инвойс!E26</f>
        <v>10D467MB/105738BA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10.08.2025г.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BEZ-A-51 от  10.08.2025г.</v>
      </c>
      <c r="I15" s="163"/>
      <c r="J15" s="163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25">
      <c r="B20" s="83"/>
      <c r="E20" s="123"/>
      <c r="F20" s="118"/>
      <c r="G20" s="164"/>
      <c r="H20" s="164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25">
      <c r="B22" s="83"/>
      <c r="E22" s="123"/>
      <c r="F22" s="118"/>
      <c r="G22" s="164"/>
      <c r="H22" s="164"/>
      <c r="I22" s="119"/>
      <c r="J22" s="120"/>
    </row>
    <row r="23" spans="2:10" ht="14.25" customHeight="1" x14ac:dyDescent="0.25">
      <c r="B23" s="83"/>
      <c r="E23" s="123"/>
      <c r="F23" s="121"/>
      <c r="G23" s="158"/>
      <c r="H23" s="159"/>
      <c r="I23" s="122"/>
      <c r="J23" s="120"/>
    </row>
    <row r="24" spans="2:10" ht="12.75" customHeight="1" x14ac:dyDescent="0.25">
      <c r="B24" s="87"/>
      <c r="E24" s="123"/>
      <c r="F24" s="118"/>
      <c r="G24" s="164"/>
      <c r="H24" s="164"/>
      <c r="I24" s="119"/>
      <c r="J24" s="120"/>
    </row>
    <row r="25" spans="2:10" ht="12.75" customHeight="1" x14ac:dyDescent="0.25">
      <c r="B25" s="87"/>
      <c r="E25" s="123"/>
      <c r="F25" s="121"/>
      <c r="G25" s="158"/>
      <c r="H25" s="159"/>
      <c r="I25" s="122"/>
      <c r="J25" s="120"/>
    </row>
    <row r="26" spans="2:10" ht="12" customHeight="1" x14ac:dyDescent="0.25">
      <c r="B26" s="87"/>
      <c r="E26" s="123"/>
      <c r="F26" s="118"/>
      <c r="G26" s="164"/>
      <c r="H26" s="164"/>
      <c r="I26" s="119"/>
      <c r="J26" s="120"/>
    </row>
    <row r="27" spans="2:10" ht="14.25" customHeight="1" x14ac:dyDescent="0.25">
      <c r="B27" s="87"/>
      <c r="E27" s="123"/>
      <c r="F27" s="121"/>
      <c r="G27" s="158"/>
      <c r="H27" s="159"/>
      <c r="I27" s="122"/>
      <c r="J27" s="120"/>
    </row>
    <row r="28" spans="2:10" ht="12.75" customHeight="1" x14ac:dyDescent="0.25">
      <c r="B28" s="87"/>
      <c r="E28" s="123"/>
      <c r="F28" s="118"/>
      <c r="G28" s="164"/>
      <c r="H28" s="164"/>
      <c r="I28" s="119"/>
      <c r="J28" s="120"/>
    </row>
    <row r="29" spans="2:10" ht="12.75" customHeight="1" x14ac:dyDescent="0.25">
      <c r="B29" s="87"/>
      <c r="E29" s="123"/>
      <c r="F29" s="121"/>
      <c r="G29" s="158"/>
      <c r="H29" s="159"/>
      <c r="I29" s="122"/>
      <c r="J29" s="120"/>
    </row>
    <row r="30" spans="2:10" ht="12.75" customHeight="1" x14ac:dyDescent="0.25">
      <c r="B30" s="87"/>
      <c r="E30" s="123"/>
      <c r="F30" s="118"/>
      <c r="G30" s="164"/>
      <c r="H30" s="164"/>
      <c r="I30" s="119"/>
      <c r="J30" s="120"/>
    </row>
    <row r="31" spans="2:10" ht="13.5" customHeight="1" x14ac:dyDescent="0.25">
      <c r="B31" s="87"/>
      <c r="E31" s="123"/>
      <c r="F31" s="121"/>
      <c r="G31" s="158"/>
      <c r="H31" s="159"/>
      <c r="I31" s="122"/>
      <c r="J31" s="120"/>
    </row>
    <row r="32" spans="2:10" ht="13.5" customHeight="1" x14ac:dyDescent="0.25">
      <c r="B32" s="87"/>
      <c r="E32" s="123"/>
      <c r="F32" s="118"/>
      <c r="G32" s="164"/>
      <c r="H32" s="164"/>
      <c r="I32" s="119"/>
      <c r="J32" s="120"/>
    </row>
    <row r="33" spans="2:10" ht="13.5" customHeight="1" x14ac:dyDescent="0.25">
      <c r="B33" s="87"/>
      <c r="E33" s="123"/>
      <c r="F33" s="121"/>
      <c r="G33" s="158"/>
      <c r="H33" s="159"/>
      <c r="I33" s="122"/>
      <c r="J33" s="120"/>
    </row>
    <row r="34" spans="2:10" ht="13.5" customHeight="1" x14ac:dyDescent="0.25">
      <c r="B34" s="87"/>
      <c r="E34" s="123"/>
      <c r="F34" s="118"/>
      <c r="G34" s="164"/>
      <c r="H34" s="164"/>
      <c r="I34" s="119"/>
      <c r="J34" s="120"/>
    </row>
    <row r="35" spans="2:10" ht="12.75" customHeight="1" x14ac:dyDescent="0.25">
      <c r="B35" s="87"/>
      <c r="E35" s="123"/>
      <c r="F35" s="121"/>
      <c r="G35" s="158"/>
      <c r="H35" s="159"/>
      <c r="I35" s="122"/>
      <c r="J35" s="120"/>
    </row>
    <row r="36" spans="2:10" x14ac:dyDescent="0.25">
      <c r="B36" s="87"/>
      <c r="E36" s="123"/>
      <c r="F36" s="118"/>
      <c r="G36" s="164"/>
      <c r="H36" s="164"/>
      <c r="I36" s="119"/>
      <c r="J36" s="120"/>
    </row>
    <row r="37" spans="2:10" ht="13.5" customHeight="1" x14ac:dyDescent="0.25">
      <c r="B37" s="87"/>
      <c r="E37" s="123"/>
      <c r="F37" s="121"/>
      <c r="G37" s="158"/>
      <c r="H37" s="159"/>
      <c r="I37" s="122"/>
      <c r="J37" s="120"/>
    </row>
    <row r="38" spans="2:10" x14ac:dyDescent="0.25">
      <c r="B38" s="87"/>
      <c r="E38" s="123"/>
      <c r="F38" s="118"/>
      <c r="G38" s="164"/>
      <c r="H38" s="164"/>
      <c r="I38" s="119"/>
      <c r="J38" s="120"/>
    </row>
    <row r="39" spans="2:10" ht="13.5" customHeight="1" x14ac:dyDescent="0.25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25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25">
      <c r="B41" s="87"/>
      <c r="E41" s="123"/>
      <c r="F41" s="121"/>
      <c r="G41" s="158"/>
      <c r="H41" s="159"/>
      <c r="I41" s="122"/>
      <c r="J41" s="120"/>
    </row>
    <row r="42" spans="2:10" hidden="1" x14ac:dyDescent="0.25">
      <c r="B42" s="87"/>
      <c r="E42" s="123"/>
      <c r="F42" s="118"/>
      <c r="G42" s="164"/>
      <c r="H42" s="164"/>
      <c r="I42" s="119"/>
      <c r="J42" s="120"/>
    </row>
    <row r="43" spans="2:10" x14ac:dyDescent="0.25">
      <c r="B43" s="87"/>
      <c r="E43" s="123"/>
      <c r="F43" s="121"/>
      <c r="G43" s="158"/>
      <c r="H43" s="159"/>
      <c r="I43" s="122"/>
      <c r="J43" s="120"/>
    </row>
    <row r="44" spans="2:10" ht="9" customHeight="1" x14ac:dyDescent="0.25">
      <c r="B44" s="87"/>
      <c r="E44" s="95"/>
      <c r="F44" s="92"/>
      <c r="G44" s="166"/>
      <c r="H44" s="166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7">
        <f>+F18+F20+F22+F24+F26+F28+F30+F32+F34+F36+F38+F40+F42</f>
        <v>1000</v>
      </c>
      <c r="E47" s="168"/>
    </row>
    <row r="48" spans="2:10" ht="17.25" customHeight="1" x14ac:dyDescent="0.25">
      <c r="B48" s="165" t="s">
        <v>105</v>
      </c>
      <c r="C48" s="165"/>
      <c r="D48" s="165"/>
      <c r="E48" s="165"/>
    </row>
    <row r="49" spans="2:5" ht="21.75" customHeight="1" x14ac:dyDescent="0.25">
      <c r="B49" s="165"/>
      <c r="C49" s="165"/>
      <c r="D49" s="165"/>
      <c r="E49" s="165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32" t="str">
        <f>+Инвойс!F1</f>
        <v xml:space="preserve"> 10.08.2025г.</v>
      </c>
      <c r="G1" s="132"/>
      <c r="H1" s="13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5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5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5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5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5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5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5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5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5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5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51" t="s">
        <v>116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2" t="str">
        <f>+Инвойс!E26</f>
        <v>10D467MB/105738BA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2.25" x14ac:dyDescent="0.2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1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4.25" x14ac:dyDescent="0.2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5" x14ac:dyDescent="0.25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6" t="s">
        <v>117</v>
      </c>
    </row>
    <row r="3" spans="1:1" ht="51" x14ac:dyDescent="0.2">
      <c r="A3" s="131" t="s">
        <v>137</v>
      </c>
    </row>
    <row r="5" spans="1:1" ht="38.25" x14ac:dyDescent="0.2">
      <c r="A5" s="126" t="s">
        <v>118</v>
      </c>
    </row>
    <row r="7" spans="1:1" ht="51" x14ac:dyDescent="0.2">
      <c r="A7" s="126" t="s">
        <v>119</v>
      </c>
    </row>
    <row r="9" spans="1:1" ht="51" x14ac:dyDescent="0.2">
      <c r="A9" s="126" t="s">
        <v>120</v>
      </c>
    </row>
    <row r="10" spans="1:1" x14ac:dyDescent="0.2">
      <c r="A10" s="126"/>
    </row>
    <row r="11" spans="1:1" ht="51" x14ac:dyDescent="0.2">
      <c r="A11" s="126" t="s">
        <v>121</v>
      </c>
    </row>
    <row r="13" spans="1:1" ht="51" x14ac:dyDescent="0.2">
      <c r="A13" s="126" t="s">
        <v>122</v>
      </c>
    </row>
    <row r="15" spans="1:1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4240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45879</v>
      </c>
      <c r="O3" s="175"/>
      <c r="P3">
        <f ca="1">DAY(N3)</f>
        <v>10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6" t="str">
        <f ca="1">CONCATENATE(" «  ",P3,"  »  ",Q3,"  ",R3," г.")</f>
        <v xml:space="preserve"> «  10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45879</v>
      </c>
    </row>
    <row r="13" spans="1:19" s="43" customFormat="1" x14ac:dyDescent="0.2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2025-08-10T07:13:19Z</cp:lastPrinted>
  <dcterms:created xsi:type="dcterms:W3CDTF">1996-10-14T23:33:28Z</dcterms:created>
  <dcterms:modified xsi:type="dcterms:W3CDTF">2025-08-10T07:13:24Z</dcterms:modified>
</cp:coreProperties>
</file>