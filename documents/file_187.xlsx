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183F0165-B88F-455A-8D87-EFCF06007AE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G53" i="7" l="1"/>
  <c r="G52" i="7"/>
  <c r="G37" i="7"/>
  <c r="A37" i="7"/>
  <c r="A14" i="7" l="1"/>
  <c r="A15" i="7"/>
  <c r="A16" i="7"/>
  <c r="A17" i="7"/>
  <c r="A18" i="7"/>
  <c r="A19" i="7"/>
  <c r="A20" i="7"/>
  <c r="A21" i="7"/>
  <c r="I30" i="7"/>
  <c r="H30" i="7"/>
  <c r="G30" i="7"/>
  <c r="F30" i="7"/>
  <c r="E30" i="7"/>
  <c r="D30" i="7"/>
  <c r="C30" i="7"/>
  <c r="B30" i="7"/>
  <c r="A30" i="7"/>
  <c r="E26" i="7"/>
  <c r="C24" i="7"/>
  <c r="G20" i="7"/>
  <c r="G19" i="7"/>
  <c r="G18" i="7"/>
  <c r="G17" i="7"/>
  <c r="G16" i="7"/>
  <c r="G15" i="7"/>
  <c r="G14" i="7"/>
  <c r="G10" i="7"/>
  <c r="G9" i="7"/>
  <c r="G7" i="7"/>
  <c r="G8" i="7"/>
  <c r="G6" i="7"/>
  <c r="G5" i="7"/>
  <c r="A12" i="7"/>
  <c r="A11" i="7"/>
  <c r="A10" i="7"/>
  <c r="A9" i="7"/>
  <c r="A8" i="7"/>
  <c r="A7" i="7"/>
  <c r="A6" i="7"/>
  <c r="A5" i="7"/>
  <c r="C2" i="7"/>
  <c r="F1" i="7"/>
  <c r="E31" i="7" l="1"/>
  <c r="J30" i="2" l="1"/>
  <c r="J30" i="7" s="1"/>
  <c r="E31" i="2" l="1"/>
  <c r="G31" i="2" l="1"/>
  <c r="G31" i="7" s="1"/>
  <c r="H31" i="2"/>
  <c r="H31" i="7" s="1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M30" i="2"/>
  <c r="M30" i="7" s="1"/>
  <c r="J31" i="2" l="1"/>
  <c r="J31" i="7" s="1"/>
  <c r="S3" i="3"/>
  <c r="S4" i="3"/>
  <c r="P3" i="3"/>
  <c r="R3" i="3"/>
  <c r="Q3" i="3" l="1"/>
  <c r="K4" i="3" s="1"/>
  <c r="M31" i="2"/>
  <c r="E2" i="3" l="1"/>
  <c r="E13" i="3" s="1"/>
  <c r="A29" i="3" s="1"/>
  <c r="A28" i="3" s="1"/>
  <c r="A27" i="3" s="1"/>
  <c r="M31" i="7"/>
  <c r="B28" i="3" l="1"/>
  <c r="C28" i="3" s="1"/>
  <c r="E28" i="3" s="1"/>
  <c r="B29" i="3"/>
  <c r="E29" i="3" s="1"/>
  <c r="A31" i="3"/>
  <c r="C31" i="3" s="1"/>
  <c r="C32" i="3" s="1"/>
  <c r="E32" i="3" s="1"/>
  <c r="A25" i="3"/>
  <c r="B27" i="3"/>
  <c r="A12" i="3" l="1"/>
  <c r="E31" i="3"/>
  <c r="C29" i="3"/>
  <c r="D29" i="3" s="1"/>
  <c r="B25" i="3"/>
  <c r="E25" i="3" s="1"/>
  <c r="A24" i="3"/>
  <c r="E27" i="3"/>
  <c r="E30" i="3"/>
  <c r="C27" i="3"/>
  <c r="F29" i="3" l="1"/>
  <c r="B24" i="3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<sst xmlns="http://schemas.openxmlformats.org/spreadsheetml/2006/main" count="217" uniqueCount="175">
  <si>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</si>
  <si>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</si>
  <si>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</si>
  <si>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</si>
  <si>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</si>
  <si>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</si>
  <si>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</si>
  <si>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</si>
  <si>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</si>
  <si>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</si>
  <si>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</si>
  <si>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</si>
  <si>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</si>
  <si>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</si>
  <si>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</si>
  <si>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</si>
  <si>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</si>
  <si>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</si>
  <si>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</si>
  <si>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</si>
  <si>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</si>
  <si>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</si>
  <si>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</si>
  <si>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</si>
  <si>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</si>
  <si>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</si>
  <si>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</si>
  <si>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</si>
  <si>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</si>
  <si>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</si>
  <si>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</si>
  <si>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</si>
  <si>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</si>
  <si>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</si>
  <si>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</si>
  <si>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</si>
  <si>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</si>
  <si>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</si>
  <si>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</si>
  <si>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</si>
  <si>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</si>
  <si>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</si>
  <si>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</si>
  <si>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</si>
  <si>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</si>
  <si>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</si>
  <si>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</si>
  <si>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</si>
  <si>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</si>
  <si>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</si>
  <si>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</si>
  <si>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</si>
  <si>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</si>
  <si>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</si>
  <si>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</si>
  <si>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</si>
  <si>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</si>
  <si>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</si>
  <si>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</si>
  <si>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</si>
  <si>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</si>
  <si>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</si>
  <si>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</si>
  <si>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</si>
  <si>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</si>
  <si>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</si>
  <si>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</si>
  <si>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</si>
  <si>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</si>
  <si>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</si>
  <si>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</si>
  <si>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</si>
  <si>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</si>
  <si>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</si>
  <si>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</si>
  <si>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</si>
  <si>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</si>
  <si>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</si>
  <si>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</si>
  <si>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</si>
  <si>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</si>
  <si>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</si>
  <si>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</si>
  <si>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</si>
  <si>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</si>
  <si>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</si>
  <si>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</si>
  <si>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</si>
  <si>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</si>
  <si>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</si>
  <si>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</si>
  <si>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</si>
  <si>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</si>
  <si>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</si>
  <si>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</si>
  <si>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</si>
  <si>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</si>
  <si>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</si>
  <si>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</si>
  <si>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</si>
  <si>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</si>
  <si>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</si>
  <si>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</si>
  <si>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</si>
  <si>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</si>
  <si>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</si>
  <si>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>OOO «Сармант-ЮГ»</t>
  </si>
  <si>
    <t xml:space="preserve">196006, город Санкт-Петербург, улица Новорощинская, </t>
  </si>
  <si>
    <t>дом 4, литер А, 1Н помещение 363 офис 609-1</t>
  </si>
  <si>
    <t>р/с USD 40702810226710000073</t>
  </si>
  <si>
    <t>Банк: Филиал «Центральный» Банка ВТБ (ПАО) в г. Москве</t>
  </si>
  <si>
    <t>SWIFT: VTBRRUM2MS2</t>
  </si>
  <si>
    <t>ИНН/КПП 7805640197/ 781001001 ОГРН 1147847003193</t>
  </si>
  <si>
    <t xml:space="preserve">по поручению </t>
  </si>
  <si>
    <t>Челябинский таможенный пост г.Челябинск, ул.Игуменка 7 А, (код поста 10504080)</t>
  </si>
  <si>
    <t>DAP - г. Челябинск, Российская Федерация (согласно Incoterms 2010)</t>
  </si>
  <si>
    <t>г.Уфа / /г. Иркутск /г.Омск /г. Ижевск/ Российская федерация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</si>
  <si>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</si>
  <si>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</si>
  <si>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</si>
  <si>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</si>
  <si>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</si>
  <si>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>Пласт. ящик</t>
  </si>
  <si>
    <t>Код там. Поста 10412160 Оренбургская таможня т/п Соль-Илецкий, адрес 461504 г.Соль-Илецк, ул. Украинская, д.2</t>
  </si>
  <si>
    <t>DAP - г. Оренбург, Российская Федерация (согласно Incoterms 2010)</t>
  </si>
  <si>
    <t>DAP - г. Соль-Илецк, Российская Федерация (согласно Incoterms 2010)</t>
  </si>
  <si>
    <t>10309200, Т/П ПРИКУБАНСКИЙ, Г.КРАСНОДАР СВХ ООО "КОНСАЛТТАМОЖСЕРВИС" 350072, РФ, Г.КРАСНОДАР, УЛ.ТОПОЛИНАЯ, 4 Свидетельство СВХ №  10309/070721/10150/3</t>
  </si>
  <si>
    <t>DAP - г. Краснодар, Российская Федерация (согласно Incoterms 2010)</t>
  </si>
  <si>
    <t>г.Новосибирск, ч/з Новосибирский з/т пост, г.Новосибирск, ул.Толмачевская, д.1/1. код поста 10609030</t>
  </si>
  <si>
    <t>DAP - г. Новосибирск, Российская Федерация (согласно Incoterms 2010)</t>
  </si>
  <si>
    <t>СВХ ООО "ОМАС" (код поста 10610050) 644117, Омская обл., г. Омск, ул. 3-я Молодежная,
№ лицензии: 10610/150515/10055/2</t>
  </si>
  <si>
    <t>DAP - г.Омск. Российская Федерация (согласно Incoterms 2010)</t>
  </si>
  <si>
    <t>т/п "Астраханский" Код поста 10311020, 414042, г. Астрахань, Трусовский р-н. ул. Мосина, д. 1Аlic. 10013/200111/10112/12 dđ 09/02/2021</t>
  </si>
  <si>
    <t>DAP - г. Астрахань, Российская Федерация (согласно Incoterms 2010)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</si>
  <si>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</si>
  <si>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      Новосибирский р. посёлок                                </t>
  </si>
  <si>
    <t xml:space="preserve">                          Крупской "Азия-Сибирь"</t>
  </si>
  <si>
    <t xml:space="preserve">код поста 10609030, т/п
Новосибирский западный СВХ
ООО "Азия-Сибирь" 630052 РФ.
г. Новосибирск                 </t>
  </si>
  <si>
    <t>т/п Тольяттинский код поста 10412110 4450043 Самарская обл. г.Тольятти Автозаводский р-н. ул. Вокзальная д.2 СВХ «ГРИНЛАЙН»</t>
  </si>
  <si>
    <t xml:space="preserve">                    Узбекистан Сыр. обл.</t>
  </si>
  <si>
    <t xml:space="preserve">                 Сыр. обл   </t>
  </si>
  <si>
    <t>ООО «Гарден Экспорт Новосибирск»</t>
  </si>
  <si>
    <t>633100, Новосибирская область, м.р-н Новосибирский,</t>
  </si>
  <si>
    <t>с.п. Толмачевский сельсовет, платф. 3307 км, д. 30, к.А1</t>
  </si>
  <si>
    <t>Банк: Азия-Инвест Банк (АО) ИНН / КПП: 5410090342 /541001001</t>
  </si>
  <si>
    <t>Р/Счет: 40702810700000003555 ; БИК:  044525234</t>
  </si>
  <si>
    <t>Корр.счет: 30101810445250000234  ОГРН:1215400044760</t>
  </si>
  <si>
    <t>0806101001</t>
  </si>
  <si>
    <t>к контракту № AGRO/EX/1802 от 18.02.2025г года</t>
  </si>
  <si>
    <t xml:space="preserve">LLC «AAZZ GROUP» </t>
  </si>
  <si>
    <t xml:space="preserve">Респyблика Узбекистан, Хорезмская область, </t>
  </si>
  <si>
    <t>Ургенчский р-н, Мевазор МФИ, улица Мустакиллик, д.6/2</t>
  </si>
  <si>
    <t>Банк: АКИБ «IPOTEKABANK» Ташкентской городской филиал</t>
  </si>
  <si>
    <t xml:space="preserve">ИНН: 311440436; ОКЭД: 46690 </t>
  </si>
  <si>
    <r>
      <t xml:space="preserve">Р/с N </t>
    </r>
    <r>
      <rPr>
        <sz val="11"/>
        <color indexed="8"/>
        <rFont val="Times New Roman"/>
        <family val="1"/>
        <charset val="204"/>
      </rPr>
      <t>20208840907099612002  (USD)</t>
    </r>
    <r>
      <rPr>
        <sz val="11"/>
        <rFont val="Times New Roman"/>
        <family val="1"/>
        <charset val="204"/>
      </rPr>
      <t xml:space="preserve">  </t>
    </r>
  </si>
  <si>
    <t>МФО: 00419 SWIFTCode: UZHOUZ22</t>
  </si>
  <si>
    <t>Адрес Банка: Республика Узбекистан,
г. Ташкент, ул. Мустакиллик, дом-15</t>
  </si>
  <si>
    <t>Курбаниезов А.А.</t>
  </si>
  <si>
    <t>Виноград свежий столовых сортов</t>
  </si>
  <si>
    <t>Московская областная таможня Новомосковский Т/П (код поста 10132180) 142770 Москва, поселение Сосенское, дер. Николо-Хованское, СТР. 2004 СВХ ООО «ФУД ЛОГИСТИКС»</t>
  </si>
  <si>
    <t>DAP - г.Тольятти, Российская Федерация (согласно Incoterms 2010)</t>
  </si>
  <si>
    <t>Октябрский таможенный пост, код поста 10502090, АО СИАЙТИ ТЕРМИНАЛ 620025, Свердловкая обл.
г.Екатеринбург, ул.Бахчиванджи, д.2. Российская Федерация.</t>
  </si>
  <si>
    <t>DAP - г. Екатеринбург, Российская Федерация (согласно Incoterms 2010)</t>
  </si>
  <si>
    <t>Красноярский таможенный пост. Код поста 10606060. Адрес поста Российская Федерация г.Красноярск, ул.Ястынская 47в, строение 12. СВХ «Агротерминал-Таможня»</t>
  </si>
  <si>
    <t>DAP - г. Красноярск, Российская Федерация (согласно Incoterms 2010)</t>
  </si>
  <si>
    <t xml:space="preserve">Условия оплаты: </t>
  </si>
  <si>
    <t>в течение 180 дней после завершения таможенного оформления в Российской Федерации</t>
  </si>
  <si>
    <t xml:space="preserve">Продавец </t>
  </si>
  <si>
    <t>Покупатель</t>
  </si>
  <si>
    <t>Штоколова Т.С.</t>
  </si>
  <si>
    <t>Исаков И.Н.</t>
  </si>
  <si>
    <t>ИНВОЙС № S-582 от</t>
  </si>
  <si>
    <t>12.08.2025г.</t>
  </si>
  <si>
    <t>30066QBA/307828AA</t>
  </si>
  <si>
    <t>Спецификация № S-582 от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</si>
</sst>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6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1"/>
      <color rgb="FF000000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74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0" fillId="0" borderId="0" xfId="0" applyFont="1"/>
    <xf numFmtId="0" fontId="71" fillId="0" borderId="0" xfId="0" applyFont="1"/>
    <xf numFmtId="1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1" fontId="72" fillId="0" borderId="0" xfId="0" applyNumberFormat="1" applyFont="1" applyAlignment="1">
      <alignment horizontal="left"/>
    </xf>
    <xf numFmtId="0" fontId="72" fillId="0" borderId="0" xfId="0" applyFont="1" applyAlignment="1">
      <alignment horizontal="right"/>
    </xf>
    <xf numFmtId="0" fontId="72" fillId="0" borderId="0" xfId="0" applyFont="1" applyAlignment="1">
      <alignment horizontal="left"/>
    </xf>
    <xf numFmtId="0" fontId="73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17" fillId="0" borderId="3" xfId="0" applyFont="1" applyBorder="1" applyAlignment="1">
      <alignment horizontal="center" vertical="center" wrapText="1"/>
    </xf>
    <xf numFmtId="0" fontId="75" fillId="0" borderId="0" xfId="0" applyFont="1" applyAlignment="1">
      <alignment vertical="center"/>
    </xf>
    <xf numFmtId="0" fontId="17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74" fillId="0" borderId="0" xfId="0" applyFont="1" applyAlignment="1">
      <alignment horizontal="center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69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8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2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top" wrapText="1"/>
    </xf>
    <xf numFmtId="0" fontId="52" fillId="0" borderId="0" xfId="0" applyFont="1" applyAlignment="1">
      <alignment horizontal="center" wrapText="1"/>
    </xf>
    <xf numFmtId="0" fontId="21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1120588</xdr:colOff>
      <xdr:row>36</xdr:row>
      <xdr:rowOff>137272</xdr:rowOff>
    </xdr:from>
    <xdr:to>
      <xdr:col>3</xdr:col>
      <xdr:colOff>293797</xdr:colOff>
      <xdr:row>47</xdr:row>
      <xdr:rowOff>67236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1090DD1-501E-F38A-F0BA-D990CBE26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9176" y="22694713"/>
          <a:ext cx="1985886" cy="18237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410696</xdr:colOff>
      <xdr:row>36</xdr:row>
      <xdr:rowOff>143436</xdr:rowOff>
    </xdr:from>
    <xdr:to>
      <xdr:col>4</xdr:col>
      <xdr:colOff>300318</xdr:colOff>
      <xdr:row>39</xdr:row>
      <xdr:rowOff>71158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14AB9C10-BD19-27FB-423E-3AB2204B6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1961" y="22700877"/>
          <a:ext cx="618004" cy="4992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406213</xdr:colOff>
      <xdr:row>37</xdr:row>
      <xdr:rowOff>89647</xdr:rowOff>
    </xdr:from>
    <xdr:to>
      <xdr:col>2</xdr:col>
      <xdr:colOff>322372</xdr:colOff>
      <xdr:row>48</xdr:row>
      <xdr:rowOff>48186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71090DD1-501E-F38A-F0BA-D990CBE26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163" y="22482922"/>
          <a:ext cx="1992609" cy="18540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210671</xdr:colOff>
      <xdr:row>37</xdr:row>
      <xdr:rowOff>76761</xdr:rowOff>
    </xdr:from>
    <xdr:to>
      <xdr:col>3</xdr:col>
      <xdr:colOff>90768</xdr:colOff>
      <xdr:row>40</xdr:row>
      <xdr:rowOff>4483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14AB9C10-BD19-27FB-423E-3AB2204B6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49071" y="22470036"/>
          <a:ext cx="623047" cy="4992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314325</xdr:colOff>
      <xdr:row>38</xdr:row>
      <xdr:rowOff>0</xdr:rowOff>
    </xdr:from>
    <xdr:to>
      <xdr:col>9</xdr:col>
      <xdr:colOff>134000</xdr:colOff>
      <xdr:row>48</xdr:row>
      <xdr:rowOff>28575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22583775"/>
          <a:ext cx="1924700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462794</xdr:colOff>
      <xdr:row>38</xdr:row>
      <xdr:rowOff>0</xdr:rowOff>
    </xdr:from>
    <xdr:to>
      <xdr:col>12</xdr:col>
      <xdr:colOff>76200</xdr:colOff>
      <xdr:row>40</xdr:row>
      <xdr:rowOff>142875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194" y="22583775"/>
          <a:ext cx="889756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23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27" t="s">
        <v>171</v>
      </c>
      <c r="D1" s="127"/>
      <c r="E1" s="127"/>
      <c r="F1" s="126" t="s">
        <v>172</v>
      </c>
      <c r="G1" s="126"/>
      <c r="H1" s="126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28" t="s">
        <v>148</v>
      </c>
      <c r="D2" s="128"/>
      <c r="E2" s="128"/>
      <c r="F2" s="128"/>
      <c r="G2" s="128"/>
      <c r="H2" s="128"/>
      <c r="I2" s="1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0" t="s">
        <v>19</v>
      </c>
      <c r="B4" s="130"/>
      <c r="C4" s="130"/>
      <c r="D4" s="130"/>
      <c r="E4" s="130"/>
      <c r="G4" s="130" t="s">
        <v>20</v>
      </c>
      <c r="H4" s="130"/>
      <c r="I4" s="130"/>
      <c r="J4" s="130"/>
      <c r="K4" s="130"/>
      <c r="L4" s="130"/>
      <c r="M4" s="130"/>
    </row>
    <row r="5" spans="1:15" ht="14.25" customHeight="1" x14ac:dyDescent="0.2">
      <c r="A5" s="129" t="s">
        <v>149</v>
      </c>
      <c r="B5" s="129"/>
      <c r="C5" s="129"/>
      <c r="D5" s="129"/>
      <c r="E5" s="129"/>
      <c r="F5" s="6"/>
      <c r="G5" s="131" t="s">
        <v>141</v>
      </c>
      <c r="H5" s="131"/>
      <c r="I5" s="131"/>
      <c r="J5" s="131"/>
      <c r="K5" s="131"/>
      <c r="L5" s="131"/>
      <c r="M5" s="131"/>
    </row>
    <row r="6" spans="1:15" ht="15" x14ac:dyDescent="0.25">
      <c r="A6" s="122" t="s">
        <v>150</v>
      </c>
      <c r="B6" s="122"/>
      <c r="C6" s="122"/>
      <c r="D6" s="122"/>
      <c r="E6" s="122"/>
      <c r="F6" s="7"/>
      <c r="G6" s="133" t="s">
        <v>142</v>
      </c>
      <c r="H6" s="134"/>
      <c r="I6" s="134"/>
      <c r="J6" s="134"/>
      <c r="K6" s="134"/>
      <c r="L6" s="134"/>
      <c r="M6" s="134"/>
      <c r="N6" s="4"/>
    </row>
    <row r="7" spans="1:15" ht="15" x14ac:dyDescent="0.25">
      <c r="A7" s="122" t="s">
        <v>151</v>
      </c>
      <c r="B7" s="122"/>
      <c r="C7" s="122"/>
      <c r="D7" s="122"/>
      <c r="E7" s="122"/>
      <c r="F7" s="63"/>
      <c r="G7" s="133" t="s">
        <v>143</v>
      </c>
      <c r="H7" s="133"/>
      <c r="I7" s="133"/>
      <c r="J7" s="133"/>
      <c r="K7" s="133"/>
      <c r="L7" s="133"/>
      <c r="M7" s="133"/>
    </row>
    <row r="8" spans="1:15" ht="15" customHeight="1" x14ac:dyDescent="0.25">
      <c r="A8" s="8" t="s">
        <v>154</v>
      </c>
      <c r="B8" s="8"/>
      <c r="C8" s="8"/>
      <c r="D8" s="8"/>
      <c r="E8" s="8"/>
      <c r="F8" s="63"/>
      <c r="G8" s="134" t="s">
        <v>144</v>
      </c>
      <c r="H8" s="134"/>
      <c r="I8" s="134"/>
      <c r="J8" s="134"/>
      <c r="K8" s="134"/>
      <c r="L8" s="134"/>
      <c r="M8" s="134"/>
    </row>
    <row r="9" spans="1:15" ht="15" x14ac:dyDescent="0.25">
      <c r="A9" s="8" t="s">
        <v>152</v>
      </c>
      <c r="B9" s="8"/>
      <c r="C9" s="8"/>
      <c r="D9" s="8"/>
      <c r="E9" s="8"/>
      <c r="F9" s="7"/>
      <c r="G9" s="7" t="s">
        <v>145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2" t="s">
        <v>155</v>
      </c>
      <c r="B10" s="122"/>
      <c r="C10" s="122"/>
      <c r="D10" s="122"/>
      <c r="E10" s="122"/>
      <c r="F10" s="7"/>
      <c r="G10" s="7" t="s">
        <v>146</v>
      </c>
      <c r="H10" s="23"/>
      <c r="I10" s="23"/>
      <c r="J10" s="23"/>
      <c r="K10" s="23"/>
      <c r="L10" s="23"/>
      <c r="M10" s="23"/>
    </row>
    <row r="11" spans="1:15" ht="15" x14ac:dyDescent="0.25">
      <c r="A11" s="122" t="s">
        <v>153</v>
      </c>
      <c r="B11" s="8"/>
      <c r="C11" s="8"/>
      <c r="D11" s="8"/>
      <c r="E11" s="8"/>
      <c r="F11" s="7"/>
      <c r="G11" s="7"/>
      <c r="H11" s="23"/>
      <c r="I11" s="23"/>
      <c r="J11" s="23"/>
      <c r="K11" s="23"/>
      <c r="L11" s="23"/>
      <c r="M11" s="23"/>
    </row>
    <row r="12" spans="1:15" ht="37.5" customHeight="1" x14ac:dyDescent="0.25">
      <c r="A12" s="132" t="s">
        <v>156</v>
      </c>
      <c r="B12" s="132"/>
      <c r="C12" s="132"/>
      <c r="D12" s="132"/>
      <c r="E12" s="8"/>
      <c r="F12" s="7"/>
      <c r="G12" s="132"/>
      <c r="H12" s="132"/>
      <c r="I12" s="132"/>
      <c r="J12" s="132"/>
      <c r="K12" s="132"/>
      <c r="L12" s="132"/>
      <c r="M12" s="132"/>
    </row>
    <row r="13" spans="1:15" ht="24" customHeight="1" x14ac:dyDescent="0.25">
      <c r="A13" s="130" t="s">
        <v>31</v>
      </c>
      <c r="B13" s="130"/>
      <c r="C13" s="130"/>
      <c r="D13" s="130"/>
      <c r="E13" s="130"/>
      <c r="G13" s="130" t="s">
        <v>21</v>
      </c>
      <c r="H13" s="136"/>
      <c r="I13" s="136"/>
      <c r="J13" s="136"/>
      <c r="K13" s="136"/>
      <c r="L13" s="136"/>
      <c r="M13" s="136"/>
    </row>
    <row r="14" spans="1:15" ht="14.25" customHeight="1" x14ac:dyDescent="0.2">
      <c r="A14" s="129" t="s">
        <v>149</v>
      </c>
      <c r="B14" s="129"/>
      <c r="C14" s="129"/>
      <c r="D14" s="129"/>
      <c r="E14" s="129"/>
      <c r="F14" s="6"/>
      <c r="G14" s="131" t="s">
        <v>106</v>
      </c>
      <c r="H14" s="131"/>
      <c r="I14" s="131"/>
      <c r="J14" s="131"/>
      <c r="K14" s="131"/>
      <c r="L14" s="131"/>
      <c r="M14" s="131"/>
    </row>
    <row r="15" spans="1:15" ht="13.9" customHeight="1" x14ac:dyDescent="0.25">
      <c r="A15" s="122" t="s">
        <v>150</v>
      </c>
      <c r="B15" s="122"/>
      <c r="C15" s="122"/>
      <c r="D15" s="122"/>
      <c r="E15" s="122"/>
      <c r="F15" s="7"/>
      <c r="G15" s="133" t="s">
        <v>107</v>
      </c>
      <c r="H15" s="134"/>
      <c r="I15" s="134"/>
      <c r="J15" s="134"/>
      <c r="K15" s="134"/>
      <c r="L15" s="134"/>
      <c r="M15" s="134"/>
    </row>
    <row r="16" spans="1:15" ht="15" x14ac:dyDescent="0.25">
      <c r="A16" s="122" t="s">
        <v>151</v>
      </c>
      <c r="B16" s="122"/>
      <c r="C16" s="122"/>
      <c r="D16" s="122"/>
      <c r="E16" s="122"/>
      <c r="F16" s="63"/>
      <c r="G16" s="133" t="s">
        <v>108</v>
      </c>
      <c r="H16" s="133"/>
      <c r="I16" s="133"/>
      <c r="J16" s="133"/>
      <c r="K16" s="133"/>
      <c r="L16" s="133"/>
      <c r="M16" s="133"/>
    </row>
    <row r="17" spans="1:17" ht="15" customHeight="1" x14ac:dyDescent="0.25">
      <c r="A17" s="8" t="s">
        <v>154</v>
      </c>
      <c r="B17" s="8"/>
      <c r="C17" s="8"/>
      <c r="D17" s="8"/>
      <c r="E17" s="8"/>
      <c r="F17" s="63"/>
      <c r="G17" s="7" t="s">
        <v>109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152</v>
      </c>
      <c r="B18" s="8"/>
      <c r="C18" s="8"/>
      <c r="D18" s="8"/>
      <c r="E18" s="8"/>
      <c r="F18" s="7"/>
      <c r="G18" s="8" t="s">
        <v>110</v>
      </c>
      <c r="H18" s="8"/>
      <c r="I18" s="8"/>
      <c r="J18" s="8"/>
      <c r="K18" s="8"/>
      <c r="L18" s="8"/>
      <c r="M18" s="8"/>
    </row>
    <row r="19" spans="1:17" ht="15" x14ac:dyDescent="0.25">
      <c r="A19" s="122" t="s">
        <v>155</v>
      </c>
      <c r="B19" s="122"/>
      <c r="C19" s="122"/>
      <c r="D19" s="122"/>
      <c r="E19" s="122"/>
      <c r="F19" s="7"/>
      <c r="G19" s="7" t="s">
        <v>111</v>
      </c>
      <c r="H19" s="23"/>
      <c r="I19" s="23"/>
      <c r="J19" s="23"/>
      <c r="K19" s="23"/>
      <c r="L19" s="23"/>
      <c r="M19" s="23"/>
    </row>
    <row r="20" spans="1:17" ht="15" x14ac:dyDescent="0.25">
      <c r="A20" s="122" t="s">
        <v>153</v>
      </c>
      <c r="B20" s="8"/>
      <c r="C20" s="8"/>
      <c r="D20" s="8"/>
      <c r="E20" s="8"/>
      <c r="F20" s="7"/>
      <c r="G20" s="7" t="s">
        <v>112</v>
      </c>
      <c r="H20" s="23"/>
      <c r="I20" s="23"/>
      <c r="J20" s="23"/>
    </row>
    <row r="21" spans="1:17" ht="38.25" customHeight="1" x14ac:dyDescent="0.25">
      <c r="A21" s="132" t="s">
        <v>156</v>
      </c>
      <c r="B21" s="132"/>
      <c r="C21" s="132"/>
      <c r="D21" s="132"/>
      <c r="E21" s="8"/>
      <c r="G21" s="7"/>
      <c r="H21" s="23"/>
      <c r="I21" s="23"/>
      <c r="J21" s="23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66" t="s">
        <v>159</v>
      </c>
      <c r="D23" s="166"/>
      <c r="E23" s="166"/>
      <c r="F23" s="166"/>
      <c r="G23" s="166"/>
      <c r="H23" s="166"/>
      <c r="I23" s="166"/>
      <c r="J23" s="166"/>
      <c r="K23" s="166"/>
      <c r="L23" s="166"/>
      <c r="M23" s="166"/>
    </row>
    <row r="24" spans="1:17" ht="15.75" x14ac:dyDescent="0.25">
      <c r="A24" s="20" t="s">
        <v>22</v>
      </c>
      <c r="C24" s="18" t="s">
        <v>125</v>
      </c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45" t="s">
        <v>173</v>
      </c>
      <c r="F26" s="146"/>
      <c r="G26" s="146"/>
      <c r="J26" s="21"/>
    </row>
    <row r="27" spans="1:17" ht="34.5" customHeight="1" x14ac:dyDescent="0.25">
      <c r="A27" s="67" t="s">
        <v>121</v>
      </c>
      <c r="C27" s="18"/>
      <c r="E27" s="22"/>
      <c r="F27" s="22"/>
      <c r="G27" s="22"/>
      <c r="J27" s="21"/>
    </row>
    <row r="28" spans="1:17" ht="24" customHeight="1" x14ac:dyDescent="0.2">
      <c r="A28" s="139" t="s">
        <v>1</v>
      </c>
      <c r="B28" s="139" t="s">
        <v>2</v>
      </c>
      <c r="C28" s="139" t="s">
        <v>3</v>
      </c>
      <c r="D28" s="139" t="s">
        <v>4</v>
      </c>
      <c r="E28" s="139" t="s">
        <v>5</v>
      </c>
      <c r="F28" s="139" t="s">
        <v>6</v>
      </c>
      <c r="G28" s="143" t="s">
        <v>7</v>
      </c>
      <c r="H28" s="144"/>
      <c r="I28" s="139" t="s">
        <v>8</v>
      </c>
      <c r="J28" s="110" t="s">
        <v>9</v>
      </c>
      <c r="K28" s="143" t="s">
        <v>10</v>
      </c>
      <c r="L28" s="144"/>
      <c r="M28" s="139" t="s">
        <v>11</v>
      </c>
    </row>
    <row r="29" spans="1:17" ht="32.25" x14ac:dyDescent="0.2">
      <c r="A29" s="140"/>
      <c r="B29" s="140"/>
      <c r="C29" s="140"/>
      <c r="D29" s="140"/>
      <c r="E29" s="140"/>
      <c r="F29" s="140"/>
      <c r="G29" s="110" t="s">
        <v>12</v>
      </c>
      <c r="H29" s="110" t="s">
        <v>13</v>
      </c>
      <c r="I29" s="140"/>
      <c r="J29" s="111" t="s">
        <v>14</v>
      </c>
      <c r="K29" s="10" t="s">
        <v>15</v>
      </c>
      <c r="L29" s="10" t="s">
        <v>16</v>
      </c>
      <c r="M29" s="140"/>
    </row>
    <row r="30" spans="1:17" ht="30" x14ac:dyDescent="0.2">
      <c r="A30" s="123">
        <v>1</v>
      </c>
      <c r="B30" s="100" t="s">
        <v>158</v>
      </c>
      <c r="C30" s="106" t="s">
        <v>147</v>
      </c>
      <c r="D30" s="108" t="s">
        <v>122</v>
      </c>
      <c r="E30" s="100">
        <v>3752</v>
      </c>
      <c r="F30" s="109" t="s">
        <v>27</v>
      </c>
      <c r="G30" s="105">
        <v>22700</v>
      </c>
      <c r="H30" s="105">
        <v>20075</v>
      </c>
      <c r="I30" s="107">
        <v>1.1000000000000001</v>
      </c>
      <c r="J30" s="13">
        <f t="shared" ref="J30" si="0">H30*I30</f>
        <v>22082.5</v>
      </c>
      <c r="K30" s="12">
        <v>0</v>
      </c>
      <c r="L30" s="12">
        <v>0</v>
      </c>
      <c r="M30" s="13">
        <f t="shared" ref="M30" si="1">J30</f>
        <v>22082.5</v>
      </c>
      <c r="O30" s="99"/>
      <c r="Q30" s="99"/>
    </row>
    <row r="31" spans="1:17" ht="14.25" x14ac:dyDescent="0.2">
      <c r="A31" s="141" t="s">
        <v>0</v>
      </c>
      <c r="B31" s="142"/>
      <c r="C31" s="14"/>
      <c r="D31" s="15"/>
      <c r="E31" s="64">
        <f>SUM(E30:E30)</f>
        <v>3752</v>
      </c>
      <c r="F31" s="15"/>
      <c r="G31" s="64">
        <f>SUM(G30:G30)</f>
        <v>22700</v>
      </c>
      <c r="H31" s="64">
        <f>SUM(H30:H30)</f>
        <v>20075</v>
      </c>
      <c r="I31" s="101"/>
      <c r="J31" s="17">
        <f>SUM(J30:J30)</f>
        <v>22082.5</v>
      </c>
      <c r="K31" s="16"/>
      <c r="L31" s="16"/>
      <c r="M31" s="17">
        <f>SUM(M30:M30)</f>
        <v>22082.5</v>
      </c>
      <c r="P31" s="66"/>
    </row>
    <row r="32" spans="1:17" ht="13.5" x14ac:dyDescent="0.25">
      <c r="A32" s="2" t="s">
        <v>17</v>
      </c>
      <c r="B32" s="3"/>
      <c r="C32" s="11"/>
      <c r="D32" s="11"/>
      <c r="E32" s="137" t="str">
        <f>Лист1!B3</f>
        <v>Двадцать две тысячи восемьдесят два доллара США,50 центов.</v>
      </c>
      <c r="F32" s="138"/>
      <c r="G32" s="138"/>
      <c r="H32" s="138"/>
      <c r="I32" s="138"/>
      <c r="J32" s="138"/>
      <c r="K32" s="138"/>
      <c r="L32" s="138"/>
      <c r="M32" s="138"/>
    </row>
    <row r="33" spans="1:14" ht="20.25" customHeight="1" x14ac:dyDescent="0.2">
      <c r="A33" s="135"/>
      <c r="B33" s="135"/>
      <c r="C33" s="135"/>
      <c r="D33" s="135"/>
      <c r="E33" s="135"/>
      <c r="F33" s="135"/>
      <c r="G33" s="135"/>
      <c r="H33" s="135"/>
      <c r="I33" s="135"/>
      <c r="J33" s="135"/>
      <c r="K33" s="135"/>
      <c r="L33" s="135"/>
      <c r="M33" s="135"/>
    </row>
    <row r="34" spans="1:14" ht="25.5" customHeight="1" x14ac:dyDescent="0.2">
      <c r="A34" s="135" t="s">
        <v>120</v>
      </c>
      <c r="B34" s="135"/>
      <c r="C34" s="135"/>
      <c r="D34" s="135"/>
      <c r="E34" s="135"/>
      <c r="F34" s="135"/>
      <c r="G34" s="135"/>
      <c r="H34" s="135"/>
      <c r="I34" s="135"/>
      <c r="J34" s="135"/>
      <c r="K34" s="135"/>
      <c r="L34" s="135"/>
      <c r="M34" s="135"/>
      <c r="N34" s="26"/>
    </row>
    <row r="36" spans="1:14" ht="15" x14ac:dyDescent="0.25">
      <c r="A36" s="7" t="s">
        <v>28</v>
      </c>
      <c r="B36" s="7"/>
      <c r="D36" s="25" t="s">
        <v>157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5">
    <mergeCell ref="M28:M29"/>
    <mergeCell ref="I28:I29"/>
    <mergeCell ref="G28:H28"/>
    <mergeCell ref="C23:M23"/>
    <mergeCell ref="E26:G2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A21:D21"/>
    <mergeCell ref="F1:H1"/>
    <mergeCell ref="C1:E1"/>
    <mergeCell ref="C2:H2"/>
    <mergeCell ref="A14:E14"/>
    <mergeCell ref="A13:E13"/>
    <mergeCell ref="G4:M4"/>
    <mergeCell ref="G5:M5"/>
    <mergeCell ref="A4:E4"/>
    <mergeCell ref="A5:E5"/>
    <mergeCell ref="G12:M12"/>
    <mergeCell ref="G6:M6"/>
    <mergeCell ref="G7:M7"/>
    <mergeCell ref="G8:M8"/>
    <mergeCell ref="A12:D12"/>
  </mergeCells>
  <phoneticPr fontId="8" type="noConversion"/>
  <pageMargins left="0.26" right="0.28000000000000003" top="0.26" bottom="0.19" header="0.35" footer="0.12"/>
  <pageSetup paperSize="9" scale="7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8" zoomScale="115" zoomScaleNormal="115" workbookViewId="0">
      <selection activeCell="B31" sqref="B31:I37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 xml:space="preserve">LLC «AAZZ GROUP» </v>
      </c>
    </row>
    <row r="3" spans="1:11" ht="11.25" customHeight="1" x14ac:dyDescent="0.2">
      <c r="B3" s="70" t="str">
        <f>+Инвойс!A6</f>
        <v xml:space="preserve">Респyблика Узбекистан, Хорезмская область, </v>
      </c>
    </row>
    <row r="4" spans="1:11" ht="11.25" customHeight="1" x14ac:dyDescent="0.2">
      <c r="B4" s="70" t="str">
        <f>+Инвойс!A7</f>
        <v>Ургенчский р-н, Мевазор МФИ, улица Мустакиллик, д.6/2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«Сармант-ЮГ»</v>
      </c>
    </row>
    <row r="8" spans="1:11" x14ac:dyDescent="0.2">
      <c r="B8" s="70" t="str">
        <f>+Инвойс!G15</f>
        <v xml:space="preserve">196006, город Санкт-Петербург, улица Новорощинская, </v>
      </c>
    </row>
    <row r="9" spans="1:11" ht="12.75" customHeight="1" x14ac:dyDescent="0.2">
      <c r="B9" s="70" t="str">
        <f>+Инвойс!G16</f>
        <v>дом 4, литер А, 1Н помещение 363 офис 609-1</v>
      </c>
    </row>
    <row r="10" spans="1:11" ht="13.5" customHeight="1" x14ac:dyDescent="0.2">
      <c r="B10" s="70" t="s">
        <v>113</v>
      </c>
      <c r="C10" s="70" t="str">
        <f>+Инвойс!G5</f>
        <v>ООО «Гарден Экспорт Новосибирск»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134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119</v>
      </c>
    </row>
    <row r="15" spans="1:11" ht="7.5" hidden="1" customHeight="1" x14ac:dyDescent="0.2"/>
    <row r="16" spans="1:11" ht="12" customHeight="1" x14ac:dyDescent="0.2">
      <c r="B16" s="70" t="s">
        <v>116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139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>12.08.2025г.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47" t="str">
        <f>+CONCATENATE(Инвойс!C1,Инвойс!F1)</f>
        <v>ИНВОЙС № S-582 от12.08.2025г.</v>
      </c>
      <c r="C24" s="147"/>
      <c r="D24" s="147"/>
      <c r="E24" s="73"/>
      <c r="F24" s="73"/>
      <c r="G24" s="73"/>
      <c r="H24" s="73"/>
      <c r="I24" s="73"/>
    </row>
    <row r="25" spans="1:9" x14ac:dyDescent="0.2">
      <c r="B25" s="148" t="s">
        <v>117</v>
      </c>
      <c r="C25" s="148"/>
      <c r="D25" s="14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2">
        <f>+Инвойс!A30</f>
        <v>1</v>
      </c>
      <c r="C30" s="102">
        <f>+Инвойс!E30</f>
        <v>3752</v>
      </c>
      <c r="D30" s="102" t="str">
        <f>+Инвойс!D30</f>
        <v>Пласт. ящик</v>
      </c>
      <c r="E30" s="102"/>
      <c r="F30" s="102" t="str">
        <f>+Инвойс!B30</f>
        <v>Виноград свежий столовых сортов</v>
      </c>
      <c r="G30" s="103" t="str">
        <f>+Инвойс!C30</f>
        <v>0806101001</v>
      </c>
      <c r="H30" s="102"/>
      <c r="I30" s="104">
        <f>+Инвойс!G30</f>
        <v>22700</v>
      </c>
    </row>
    <row r="31" spans="1:9" ht="9" customHeight="1" x14ac:dyDescent="0.2">
      <c r="A31" s="74"/>
      <c r="B31" s="102"/>
      <c r="C31" s="102"/>
      <c r="D31" s="102"/>
      <c r="E31" s="102"/>
      <c r="F31" s="102"/>
      <c r="G31" s="103"/>
      <c r="H31" s="102"/>
      <c r="I31" s="104"/>
    </row>
    <row r="32" spans="1:9" ht="9" customHeight="1" x14ac:dyDescent="0.2">
      <c r="A32" s="74"/>
      <c r="B32" s="102"/>
      <c r="C32" s="102"/>
      <c r="D32" s="102"/>
      <c r="E32" s="102"/>
      <c r="F32" s="102"/>
      <c r="G32" s="103"/>
      <c r="H32" s="102"/>
      <c r="I32" s="104"/>
    </row>
    <row r="33" spans="1:9" ht="9" customHeight="1" x14ac:dyDescent="0.2">
      <c r="A33" s="74"/>
      <c r="B33" s="102"/>
      <c r="C33" s="102"/>
      <c r="D33" s="102"/>
      <c r="E33" s="102"/>
      <c r="F33" s="102"/>
      <c r="G33" s="103"/>
      <c r="H33" s="102"/>
      <c r="I33" s="104"/>
    </row>
    <row r="34" spans="1:9" ht="9" customHeight="1" x14ac:dyDescent="0.2">
      <c r="A34" s="74"/>
      <c r="B34" s="102"/>
      <c r="C34" s="102"/>
      <c r="D34" s="102"/>
      <c r="E34" s="102"/>
      <c r="F34" s="102"/>
      <c r="G34" s="103"/>
      <c r="H34" s="102"/>
      <c r="I34" s="104"/>
    </row>
    <row r="35" spans="1:9" ht="9" customHeight="1" x14ac:dyDescent="0.2">
      <c r="B35" s="102"/>
      <c r="C35" s="102"/>
      <c r="D35" s="102"/>
      <c r="E35" s="102"/>
      <c r="F35" s="102"/>
      <c r="G35" s="103"/>
      <c r="H35" s="102"/>
      <c r="I35" s="104"/>
    </row>
    <row r="36" spans="1:9" x14ac:dyDescent="0.2">
      <c r="B36" s="102"/>
      <c r="C36" s="102"/>
      <c r="D36" s="102"/>
      <c r="E36" s="102"/>
      <c r="F36" s="102"/>
      <c r="G36" s="103"/>
      <c r="H36" s="102"/>
      <c r="I36" s="104"/>
    </row>
    <row r="37" spans="1:9" ht="9.75" customHeight="1" x14ac:dyDescent="0.2">
      <c r="B37" s="102"/>
      <c r="C37" s="102"/>
      <c r="D37" s="102"/>
      <c r="E37" s="102"/>
      <c r="F37" s="102"/>
      <c r="G37" s="103"/>
      <c r="H37" s="102"/>
      <c r="I37" s="104"/>
    </row>
    <row r="38" spans="1:9" ht="9" customHeight="1" x14ac:dyDescent="0.2">
      <c r="B38" s="102"/>
      <c r="C38" s="102"/>
      <c r="D38" s="102"/>
      <c r="E38" s="102"/>
      <c r="F38" s="102"/>
      <c r="G38" s="103"/>
      <c r="H38" s="102"/>
      <c r="I38" s="104"/>
    </row>
    <row r="39" spans="1:9" ht="9" customHeight="1" x14ac:dyDescent="0.2">
      <c r="B39" s="102"/>
      <c r="C39" s="102"/>
      <c r="D39" s="102"/>
      <c r="E39" s="102"/>
      <c r="F39" s="102"/>
      <c r="G39" s="103"/>
      <c r="H39" s="102"/>
      <c r="I39" s="104"/>
    </row>
    <row r="40" spans="1:9" ht="9" hidden="1" customHeight="1" x14ac:dyDescent="0.2">
      <c r="B40" s="102"/>
      <c r="C40" s="102"/>
      <c r="D40" s="102"/>
      <c r="E40" s="102"/>
      <c r="F40" s="102"/>
      <c r="G40" s="103"/>
      <c r="H40" s="102"/>
      <c r="I40" s="104"/>
    </row>
    <row r="41" spans="1:9" ht="9" hidden="1" customHeight="1" x14ac:dyDescent="0.2">
      <c r="B41" s="102"/>
      <c r="C41" s="102"/>
      <c r="D41" s="102"/>
      <c r="E41" s="102"/>
      <c r="F41" s="102"/>
      <c r="G41" s="103"/>
      <c r="H41" s="102"/>
      <c r="I41" s="104"/>
    </row>
    <row r="42" spans="1:9" ht="9" hidden="1" customHeight="1" x14ac:dyDescent="0.2">
      <c r="B42" s="102"/>
      <c r="C42" s="102"/>
      <c r="D42" s="102"/>
      <c r="E42" s="102"/>
      <c r="F42" s="102"/>
      <c r="G42" s="103"/>
      <c r="H42" s="102"/>
      <c r="I42" s="104"/>
    </row>
    <row r="43" spans="1:9" ht="9" customHeight="1" x14ac:dyDescent="0.2">
      <c r="B43" s="102"/>
      <c r="C43" s="102"/>
      <c r="D43" s="102"/>
      <c r="E43" s="102"/>
      <c r="F43" s="102"/>
      <c r="G43" s="103"/>
      <c r="H43" s="102"/>
      <c r="I43" s="104"/>
    </row>
    <row r="44" spans="1:9" ht="10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49" t="str">
        <f>+Инвойс!C23</f>
        <v>Московская областная таможня Новомосковский Т/П (код поста 10132180) 142770 Москва, поселение Сосенское, дер. Николо-Хованское, СТР. 2004 СВХ ООО «ФУД ЛОГИСТИКС»</v>
      </c>
      <c r="C45" s="149"/>
      <c r="D45" s="149"/>
    </row>
    <row r="46" spans="1:9" ht="11.25" customHeight="1" x14ac:dyDescent="0.2">
      <c r="B46" s="149"/>
      <c r="C46" s="149"/>
      <c r="D46" s="14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140</v>
      </c>
      <c r="D49" s="150" t="str">
        <f>+C22</f>
        <v>12.08.2025г.</v>
      </c>
      <c r="E49" s="150"/>
      <c r="F49" s="15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30066QBA/307828AA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8" zoomScaleNormal="100" workbookViewId="0">
      <selection activeCell="F20" sqref="F20:J33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53" t="s">
        <v>96</v>
      </c>
      <c r="C2" s="153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54" t="str">
        <f>+Инвойс!E26</f>
        <v>30066QBA/307828AA</v>
      </c>
      <c r="C14" s="154"/>
      <c r="D14" s="154"/>
      <c r="E14" s="154"/>
      <c r="F14" s="154"/>
      <c r="G14" s="154"/>
      <c r="H14" s="155" t="s">
        <v>118</v>
      </c>
      <c r="I14" s="155"/>
      <c r="J14" s="88" t="str">
        <f>+Инвойс!F1</f>
        <v>12.08.2025г.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56" t="str">
        <f>+CMR!B24</f>
        <v>ИНВОЙС № S-582 от12.08.2025г.</v>
      </c>
      <c r="I15" s="156"/>
      <c r="J15" s="156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4"/>
      <c r="F18" s="115">
        <f>+Инвойс!E30</f>
        <v>3752</v>
      </c>
      <c r="G18" s="157" t="str">
        <f>+CMR!F30</f>
        <v>Виноград свежий столовых сортов</v>
      </c>
      <c r="H18" s="157"/>
      <c r="I18" s="116"/>
      <c r="J18" s="117"/>
    </row>
    <row r="19" spans="2:10" ht="11.25" customHeight="1" x14ac:dyDescent="0.25">
      <c r="B19" s="91"/>
      <c r="E19" s="114"/>
      <c r="F19" s="118" t="str">
        <f>+Инвойс!D30</f>
        <v>Пласт. ящик</v>
      </c>
      <c r="G19" s="151" t="str">
        <f>+Инвойс!C30</f>
        <v>0806101001</v>
      </c>
      <c r="H19" s="152"/>
      <c r="I19" s="119" t="s">
        <v>103</v>
      </c>
      <c r="J19" s="117">
        <f>+Инвойс!G30</f>
        <v>22700</v>
      </c>
    </row>
    <row r="20" spans="2:10" ht="13.5" customHeight="1" x14ac:dyDescent="0.25">
      <c r="B20" s="83"/>
      <c r="E20" s="120"/>
      <c r="F20" s="115"/>
      <c r="G20" s="157"/>
      <c r="H20" s="157"/>
      <c r="I20" s="116"/>
      <c r="J20" s="117"/>
    </row>
    <row r="21" spans="2:10" ht="13.5" customHeight="1" x14ac:dyDescent="0.25">
      <c r="B21" s="83" t="s">
        <v>104</v>
      </c>
      <c r="E21" s="120"/>
      <c r="F21" s="118"/>
      <c r="G21" s="151"/>
      <c r="H21" s="152"/>
      <c r="I21" s="119"/>
      <c r="J21" s="117"/>
    </row>
    <row r="22" spans="2:10" ht="12.75" customHeight="1" x14ac:dyDescent="0.25">
      <c r="B22" s="83"/>
      <c r="E22" s="120"/>
      <c r="F22" s="115"/>
      <c r="G22" s="157"/>
      <c r="H22" s="157"/>
      <c r="I22" s="116"/>
      <c r="J22" s="117"/>
    </row>
    <row r="23" spans="2:10" ht="14.25" customHeight="1" x14ac:dyDescent="0.25">
      <c r="B23" s="83"/>
      <c r="E23" s="120"/>
      <c r="F23" s="118"/>
      <c r="G23" s="151"/>
      <c r="H23" s="152"/>
      <c r="I23" s="119"/>
      <c r="J23" s="117"/>
    </row>
    <row r="24" spans="2:10" ht="12.75" customHeight="1" x14ac:dyDescent="0.25">
      <c r="B24" s="87"/>
      <c r="E24" s="120"/>
      <c r="F24" s="115"/>
      <c r="G24" s="157"/>
      <c r="H24" s="157"/>
      <c r="I24" s="116"/>
      <c r="J24" s="117"/>
    </row>
    <row r="25" spans="2:10" ht="12.75" customHeight="1" x14ac:dyDescent="0.25">
      <c r="B25" s="87"/>
      <c r="E25" s="120"/>
      <c r="F25" s="118"/>
      <c r="G25" s="151"/>
      <c r="H25" s="152"/>
      <c r="I25" s="119"/>
      <c r="J25" s="117"/>
    </row>
    <row r="26" spans="2:10" ht="12" customHeight="1" x14ac:dyDescent="0.25">
      <c r="B26" s="87"/>
      <c r="E26" s="120"/>
      <c r="F26" s="115"/>
      <c r="G26" s="157"/>
      <c r="H26" s="157"/>
      <c r="I26" s="116"/>
      <c r="J26" s="117"/>
    </row>
    <row r="27" spans="2:10" ht="14.25" customHeight="1" x14ac:dyDescent="0.25">
      <c r="B27" s="87"/>
      <c r="E27" s="120"/>
      <c r="F27" s="118"/>
      <c r="G27" s="151"/>
      <c r="H27" s="152"/>
      <c r="I27" s="119"/>
      <c r="J27" s="117"/>
    </row>
    <row r="28" spans="2:10" ht="12.75" customHeight="1" x14ac:dyDescent="0.25">
      <c r="B28" s="87"/>
      <c r="E28" s="120"/>
      <c r="F28" s="115"/>
      <c r="G28" s="157"/>
      <c r="H28" s="157"/>
      <c r="I28" s="116"/>
      <c r="J28" s="117"/>
    </row>
    <row r="29" spans="2:10" ht="12.75" customHeight="1" x14ac:dyDescent="0.25">
      <c r="B29" s="87"/>
      <c r="E29" s="120"/>
      <c r="F29" s="118"/>
      <c r="G29" s="151"/>
      <c r="H29" s="152"/>
      <c r="I29" s="119"/>
      <c r="J29" s="117"/>
    </row>
    <row r="30" spans="2:10" ht="12.75" customHeight="1" x14ac:dyDescent="0.25">
      <c r="B30" s="87"/>
      <c r="E30" s="120"/>
      <c r="F30" s="115"/>
      <c r="G30" s="157"/>
      <c r="H30" s="157"/>
      <c r="I30" s="116"/>
      <c r="J30" s="117"/>
    </row>
    <row r="31" spans="2:10" ht="13.5" customHeight="1" x14ac:dyDescent="0.25">
      <c r="B31" s="87"/>
      <c r="E31" s="120"/>
      <c r="F31" s="118"/>
      <c r="G31" s="151"/>
      <c r="H31" s="152"/>
      <c r="I31" s="119"/>
      <c r="J31" s="117"/>
    </row>
    <row r="32" spans="2:10" ht="13.5" customHeight="1" x14ac:dyDescent="0.25">
      <c r="B32" s="87"/>
      <c r="E32" s="120"/>
      <c r="F32" s="115"/>
      <c r="G32" s="157"/>
      <c r="H32" s="157"/>
      <c r="I32" s="116"/>
      <c r="J32" s="117"/>
    </row>
    <row r="33" spans="2:10" ht="13.5" customHeight="1" x14ac:dyDescent="0.25">
      <c r="B33" s="87"/>
      <c r="E33" s="120"/>
      <c r="F33" s="118"/>
      <c r="G33" s="151"/>
      <c r="H33" s="152"/>
      <c r="I33" s="119"/>
      <c r="J33" s="117"/>
    </row>
    <row r="34" spans="2:10" ht="13.5" customHeight="1" x14ac:dyDescent="0.25">
      <c r="B34" s="87"/>
      <c r="E34" s="120"/>
      <c r="F34" s="115"/>
      <c r="G34" s="157"/>
      <c r="H34" s="157"/>
      <c r="I34" s="116"/>
      <c r="J34" s="117"/>
    </row>
    <row r="35" spans="2:10" ht="12.75" customHeight="1" x14ac:dyDescent="0.25">
      <c r="B35" s="87"/>
      <c r="E35" s="120"/>
      <c r="F35" s="118"/>
      <c r="G35" s="151"/>
      <c r="H35" s="152"/>
      <c r="I35" s="119"/>
      <c r="J35" s="117"/>
    </row>
    <row r="36" spans="2:10" x14ac:dyDescent="0.25">
      <c r="B36" s="87"/>
      <c r="E36" s="120"/>
      <c r="F36" s="115"/>
      <c r="G36" s="157"/>
      <c r="H36" s="157"/>
      <c r="I36" s="116"/>
      <c r="J36" s="117"/>
    </row>
    <row r="37" spans="2:10" ht="13.5" customHeight="1" x14ac:dyDescent="0.25">
      <c r="B37" s="87"/>
      <c r="E37" s="120"/>
      <c r="F37" s="118"/>
      <c r="G37" s="151"/>
      <c r="H37" s="152"/>
      <c r="I37" s="119"/>
      <c r="J37" s="117"/>
    </row>
    <row r="38" spans="2:10" x14ac:dyDescent="0.25">
      <c r="B38" s="87"/>
      <c r="E38" s="120"/>
      <c r="F38" s="115"/>
      <c r="G38" s="157"/>
      <c r="H38" s="157"/>
      <c r="I38" s="116"/>
      <c r="J38" s="117"/>
    </row>
    <row r="39" spans="2:10" ht="13.5" customHeight="1" x14ac:dyDescent="0.25">
      <c r="B39" s="87"/>
      <c r="E39" s="120"/>
      <c r="F39" s="118"/>
      <c r="G39" s="151"/>
      <c r="H39" s="152"/>
      <c r="I39" s="119"/>
      <c r="J39" s="117"/>
    </row>
    <row r="40" spans="2:10" ht="14.25" hidden="1" customHeight="1" x14ac:dyDescent="0.25">
      <c r="B40" s="87"/>
      <c r="E40" s="120"/>
      <c r="F40" s="115"/>
      <c r="G40" s="157"/>
      <c r="H40" s="157"/>
      <c r="I40" s="116"/>
      <c r="J40" s="117"/>
    </row>
    <row r="41" spans="2:10" ht="14.25" hidden="1" customHeight="1" x14ac:dyDescent="0.25">
      <c r="B41" s="87"/>
      <c r="E41" s="120"/>
      <c r="F41" s="118"/>
      <c r="G41" s="151"/>
      <c r="H41" s="152"/>
      <c r="I41" s="119"/>
      <c r="J41" s="117"/>
    </row>
    <row r="42" spans="2:10" hidden="1" x14ac:dyDescent="0.25">
      <c r="B42" s="87"/>
      <c r="E42" s="120"/>
      <c r="F42" s="115"/>
      <c r="G42" s="157"/>
      <c r="H42" s="157"/>
      <c r="I42" s="116"/>
      <c r="J42" s="117"/>
    </row>
    <row r="43" spans="2:10" x14ac:dyDescent="0.25">
      <c r="B43" s="87"/>
      <c r="E43" s="120"/>
      <c r="F43" s="118"/>
      <c r="G43" s="151"/>
      <c r="H43" s="152"/>
      <c r="I43" s="119"/>
      <c r="J43" s="117"/>
    </row>
    <row r="44" spans="2:10" ht="9" customHeight="1" x14ac:dyDescent="0.25">
      <c r="B44" s="87"/>
      <c r="E44" s="95"/>
      <c r="F44" s="92"/>
      <c r="G44" s="159"/>
      <c r="H44" s="159"/>
      <c r="I44" s="94"/>
      <c r="J44" s="121"/>
    </row>
    <row r="45" spans="2:10" ht="15" customHeight="1" x14ac:dyDescent="0.25">
      <c r="B45" s="87"/>
      <c r="E45" s="95"/>
      <c r="F45" s="92"/>
      <c r="G45" s="93"/>
      <c r="H45" s="94"/>
      <c r="I45" s="119"/>
      <c r="J45" s="117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0">
        <f>+F18+F20+F22+F24+F26+F28+F30+F32+F34+F36+F38+F40+F42</f>
        <v>3752</v>
      </c>
      <c r="E47" s="161"/>
    </row>
    <row r="48" spans="2:10" ht="17.25" customHeight="1" x14ac:dyDescent="0.25">
      <c r="B48" s="158" t="s">
        <v>105</v>
      </c>
      <c r="C48" s="158"/>
      <c r="D48" s="158"/>
      <c r="E48" s="158"/>
    </row>
    <row r="49" spans="2:5" ht="21.75" customHeight="1" x14ac:dyDescent="0.25">
      <c r="B49" s="158"/>
      <c r="C49" s="158"/>
      <c r="D49" s="158"/>
      <c r="E49" s="158"/>
    </row>
    <row r="50" spans="2:5" x14ac:dyDescent="0.25">
      <c r="B50" s="98"/>
    </row>
    <row r="51" spans="2:5" x14ac:dyDescent="0.25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53"/>
  <sheetViews>
    <sheetView topLeftCell="A24" workbookViewId="0">
      <selection activeCell="A31" sqref="A31:XFD67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27" t="s">
        <v>174</v>
      </c>
      <c r="D1" s="127"/>
      <c r="E1" s="127"/>
      <c r="F1" s="126" t="str">
        <f>+Инвойс!F1</f>
        <v>12.08.2025г.</v>
      </c>
      <c r="G1" s="126"/>
      <c r="H1" s="126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28" t="str">
        <f>+Инвойс!C2</f>
        <v>к контракту № AGRO/EX/1802 от 18.02.2025г года</v>
      </c>
      <c r="D2" s="128"/>
      <c r="E2" s="128"/>
      <c r="F2" s="128"/>
      <c r="G2" s="128"/>
      <c r="H2" s="128"/>
      <c r="I2" s="1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0" t="s">
        <v>19</v>
      </c>
      <c r="B4" s="130"/>
      <c r="C4" s="130"/>
      <c r="D4" s="130"/>
      <c r="E4" s="130"/>
      <c r="G4" s="130" t="s">
        <v>20</v>
      </c>
      <c r="H4" s="130"/>
      <c r="I4" s="130"/>
      <c r="J4" s="130"/>
      <c r="K4" s="130"/>
      <c r="L4" s="130"/>
      <c r="M4" s="130"/>
    </row>
    <row r="5" spans="1:15" ht="14.25" customHeight="1" x14ac:dyDescent="0.2">
      <c r="A5" s="129" t="str">
        <f>+Инвойс!A5</f>
        <v xml:space="preserve">LLC «AAZZ GROUP» </v>
      </c>
      <c r="B5" s="129"/>
      <c r="C5" s="129"/>
      <c r="D5" s="129"/>
      <c r="E5" s="129"/>
      <c r="F5" s="6"/>
      <c r="G5" s="131" t="str">
        <f>+Инвойс!G5</f>
        <v>ООО «Гарден Экспорт Новосибирск»</v>
      </c>
      <c r="H5" s="131"/>
      <c r="I5" s="131"/>
      <c r="J5" s="131"/>
      <c r="K5" s="131"/>
      <c r="L5" s="131"/>
      <c r="M5" s="131"/>
    </row>
    <row r="6" spans="1:15" ht="15" x14ac:dyDescent="0.25">
      <c r="A6" s="122" t="str">
        <f>+Инвойс!A6</f>
        <v xml:space="preserve">Респyблика Узбекистан, Хорезмская область, </v>
      </c>
      <c r="B6" s="122"/>
      <c r="C6" s="122"/>
      <c r="D6" s="122"/>
      <c r="E6" s="122"/>
      <c r="F6" s="7"/>
      <c r="G6" s="133" t="str">
        <f>+Инвойс!G6</f>
        <v>633100, Новосибирская область, м.р-н Новосибирский,</v>
      </c>
      <c r="H6" s="134"/>
      <c r="I6" s="134"/>
      <c r="J6" s="134"/>
      <c r="K6" s="134"/>
      <c r="L6" s="134"/>
      <c r="M6" s="134"/>
      <c r="N6" s="4"/>
    </row>
    <row r="7" spans="1:15" ht="15" x14ac:dyDescent="0.25">
      <c r="A7" s="122" t="str">
        <f>+Инвойс!A7</f>
        <v>Ургенчский р-н, Мевазор МФИ, улица Мустакиллик, д.6/2</v>
      </c>
      <c r="B7" s="122"/>
      <c r="C7" s="122"/>
      <c r="D7" s="122"/>
      <c r="E7" s="122"/>
      <c r="F7" s="63"/>
      <c r="G7" s="133" t="str">
        <f>+Инвойс!G7</f>
        <v>с.п. Толмачевский сельсовет, платф. 3307 км, д. 30, к.А1</v>
      </c>
      <c r="H7" s="134"/>
      <c r="I7" s="134"/>
      <c r="J7" s="134"/>
      <c r="K7" s="134"/>
      <c r="L7" s="134"/>
      <c r="M7" s="134"/>
    </row>
    <row r="8" spans="1:15" ht="15" customHeight="1" x14ac:dyDescent="0.25">
      <c r="A8" s="122" t="str">
        <f>+Инвойс!A8</f>
        <v xml:space="preserve">Р/с N 20208840907099612002  (USD)  </v>
      </c>
      <c r="B8" s="8"/>
      <c r="C8" s="8"/>
      <c r="D8" s="8"/>
      <c r="E8" s="8"/>
      <c r="F8" s="63"/>
      <c r="G8" s="133" t="str">
        <f>+Инвойс!G8</f>
        <v>Банк: Азия-Инвест Банк (АО) ИНН / КПП: 5410090342 /541001001</v>
      </c>
      <c r="H8" s="134"/>
      <c r="I8" s="134"/>
      <c r="J8" s="134"/>
      <c r="K8" s="134"/>
      <c r="L8" s="134"/>
      <c r="M8" s="134"/>
    </row>
    <row r="9" spans="1:15" ht="15" x14ac:dyDescent="0.25">
      <c r="A9" s="122" t="str">
        <f>+Инвойс!A9</f>
        <v>Банк: АКИБ «IPOTEKABANK» Ташкентской городской филиал</v>
      </c>
      <c r="B9" s="8"/>
      <c r="C9" s="8"/>
      <c r="D9" s="8"/>
      <c r="E9" s="8"/>
      <c r="F9" s="7"/>
      <c r="G9" s="133" t="str">
        <f>+Инвойс!G9</f>
        <v>Р/Счет: 40702810700000003555 ; БИК:  044525234</v>
      </c>
      <c r="H9" s="134"/>
      <c r="I9" s="134"/>
      <c r="J9" s="134"/>
      <c r="K9" s="134"/>
      <c r="L9" s="134"/>
      <c r="M9" s="134"/>
      <c r="O9" s="7"/>
    </row>
    <row r="10" spans="1:15" ht="15" x14ac:dyDescent="0.25">
      <c r="A10" s="122" t="str">
        <f>+Инвойс!A10</f>
        <v>МФО: 00419 SWIFTCode: UZHOUZ22</v>
      </c>
      <c r="B10" s="122"/>
      <c r="C10" s="122"/>
      <c r="D10" s="122"/>
      <c r="E10" s="122"/>
      <c r="F10" s="7"/>
      <c r="G10" s="133" t="str">
        <f>+Инвойс!G10</f>
        <v>Корр.счет: 30101810445250000234  ОГРН:1215400044760</v>
      </c>
      <c r="H10" s="134"/>
      <c r="I10" s="134"/>
      <c r="J10" s="134"/>
      <c r="K10" s="134"/>
      <c r="L10" s="134"/>
      <c r="M10" s="134"/>
    </row>
    <row r="11" spans="1:15" ht="15" x14ac:dyDescent="0.25">
      <c r="A11" s="122" t="str">
        <f>+Инвойс!A11</f>
        <v xml:space="preserve">ИНН: 311440436; ОКЭД: 46690 </v>
      </c>
      <c r="B11" s="8"/>
      <c r="C11" s="8"/>
      <c r="D11" s="8"/>
      <c r="E11" s="8"/>
      <c r="F11" s="7"/>
      <c r="G11" s="7"/>
      <c r="H11" s="23"/>
      <c r="I11" s="23"/>
      <c r="J11" s="23"/>
      <c r="K11" s="23"/>
      <c r="L11" s="23"/>
      <c r="M11" s="23"/>
    </row>
    <row r="12" spans="1:15" ht="37.5" customHeight="1" x14ac:dyDescent="0.25">
      <c r="A12" s="132" t="str">
        <f>+Инвойс!A12</f>
        <v>Адрес Банка: Республика Узбекистан,
г. Ташкент, ул. Мустакиллик, дом-15</v>
      </c>
      <c r="B12" s="132"/>
      <c r="C12" s="132"/>
      <c r="D12" s="132"/>
      <c r="E12" s="8"/>
      <c r="F12" s="7"/>
      <c r="G12" s="132"/>
      <c r="H12" s="132"/>
      <c r="I12" s="132"/>
      <c r="J12" s="132"/>
      <c r="K12" s="132"/>
      <c r="L12" s="132"/>
      <c r="M12" s="132"/>
    </row>
    <row r="13" spans="1:15" ht="24" customHeight="1" x14ac:dyDescent="0.25">
      <c r="A13" s="130" t="s">
        <v>31</v>
      </c>
      <c r="B13" s="130"/>
      <c r="C13" s="130"/>
      <c r="D13" s="130"/>
      <c r="E13" s="130"/>
      <c r="G13" s="130" t="s">
        <v>21</v>
      </c>
      <c r="H13" s="136"/>
      <c r="I13" s="136"/>
      <c r="J13" s="136"/>
      <c r="K13" s="136"/>
      <c r="L13" s="136"/>
      <c r="M13" s="136"/>
    </row>
    <row r="14" spans="1:15" ht="14.25" customHeight="1" x14ac:dyDescent="0.2">
      <c r="A14" s="129" t="str">
        <f>+Инвойс!A14</f>
        <v xml:space="preserve">LLC «AAZZ GROUP» </v>
      </c>
      <c r="B14" s="129"/>
      <c r="C14" s="129"/>
      <c r="D14" s="129"/>
      <c r="E14" s="129"/>
      <c r="F14" s="6"/>
      <c r="G14" s="131" t="str">
        <f>+Инвойс!G14</f>
        <v>OOO «Сармант-ЮГ»</v>
      </c>
      <c r="H14" s="131"/>
      <c r="I14" s="131"/>
      <c r="J14" s="131"/>
      <c r="K14" s="131"/>
      <c r="L14" s="131"/>
      <c r="M14" s="131"/>
    </row>
    <row r="15" spans="1:15" ht="13.9" customHeight="1" x14ac:dyDescent="0.25">
      <c r="A15" s="122" t="str">
        <f>+Инвойс!A15</f>
        <v xml:space="preserve">Респyблика Узбекистан, Хорезмская область, </v>
      </c>
      <c r="B15" s="122"/>
      <c r="C15" s="122"/>
      <c r="D15" s="122"/>
      <c r="E15" s="122"/>
      <c r="F15" s="7"/>
      <c r="G15" s="162" t="str">
        <f>+Инвойс!G15</f>
        <v xml:space="preserve">196006, город Санкт-Петербург, улица Новорощинская, </v>
      </c>
      <c r="H15" s="162"/>
      <c r="I15" s="162"/>
      <c r="J15" s="162"/>
      <c r="K15" s="162"/>
      <c r="L15" s="162"/>
      <c r="M15" s="162"/>
    </row>
    <row r="16" spans="1:15" ht="15" x14ac:dyDescent="0.25">
      <c r="A16" s="122" t="str">
        <f>+Инвойс!A16</f>
        <v>Ургенчский р-н, Мевазор МФИ, улица Мустакиллик, д.6/2</v>
      </c>
      <c r="B16" s="122"/>
      <c r="C16" s="122"/>
      <c r="D16" s="122"/>
      <c r="E16" s="122"/>
      <c r="F16" s="63"/>
      <c r="G16" s="162" t="str">
        <f>+Инвойс!G16</f>
        <v>дом 4, литер А, 1Н помещение 363 офис 609-1</v>
      </c>
      <c r="H16" s="162"/>
      <c r="I16" s="162"/>
      <c r="J16" s="162"/>
      <c r="K16" s="162"/>
      <c r="L16" s="162"/>
      <c r="M16" s="162"/>
    </row>
    <row r="17" spans="1:17" ht="15" customHeight="1" x14ac:dyDescent="0.25">
      <c r="A17" s="122" t="str">
        <f>+Инвойс!A17</f>
        <v xml:space="preserve">Р/с N 20208840907099612002  (USD)  </v>
      </c>
      <c r="B17" s="8"/>
      <c r="C17" s="8"/>
      <c r="D17" s="8"/>
      <c r="E17" s="8"/>
      <c r="F17" s="63"/>
      <c r="G17" s="162" t="str">
        <f>+Инвойс!G17</f>
        <v>р/с USD 40702810226710000073</v>
      </c>
      <c r="H17" s="162"/>
      <c r="I17" s="162"/>
      <c r="J17" s="162"/>
      <c r="K17" s="162"/>
      <c r="L17" s="162"/>
      <c r="M17" s="162"/>
    </row>
    <row r="18" spans="1:17" ht="15" x14ac:dyDescent="0.25">
      <c r="A18" s="122" t="str">
        <f>+Инвойс!A18</f>
        <v>Банк: АКИБ «IPOTEKABANK» Ташкентской городской филиал</v>
      </c>
      <c r="B18" s="8"/>
      <c r="C18" s="8"/>
      <c r="D18" s="8"/>
      <c r="E18" s="8"/>
      <c r="F18" s="7"/>
      <c r="G18" s="162" t="str">
        <f>+Инвойс!G18</f>
        <v>Банк: Филиал «Центральный» Банка ВТБ (ПАО) в г. Москве</v>
      </c>
      <c r="H18" s="162"/>
      <c r="I18" s="162"/>
      <c r="J18" s="162"/>
      <c r="K18" s="162"/>
      <c r="L18" s="162"/>
      <c r="M18" s="162"/>
    </row>
    <row r="19" spans="1:17" ht="15" x14ac:dyDescent="0.25">
      <c r="A19" s="122" t="str">
        <f>+Инвойс!A19</f>
        <v>МФО: 00419 SWIFTCode: UZHOUZ22</v>
      </c>
      <c r="B19" s="122"/>
      <c r="C19" s="122"/>
      <c r="D19" s="122"/>
      <c r="E19" s="122"/>
      <c r="F19" s="7"/>
      <c r="G19" s="162" t="str">
        <f>+Инвойс!G19</f>
        <v>SWIFT: VTBRRUM2MS2</v>
      </c>
      <c r="H19" s="162"/>
      <c r="I19" s="162"/>
      <c r="J19" s="162"/>
      <c r="K19" s="162"/>
      <c r="L19" s="162"/>
      <c r="M19" s="162"/>
    </row>
    <row r="20" spans="1:17" ht="15" x14ac:dyDescent="0.25">
      <c r="A20" s="122" t="str">
        <f>+Инвойс!A20</f>
        <v xml:space="preserve">ИНН: 311440436; ОКЭД: 46690 </v>
      </c>
      <c r="B20" s="8"/>
      <c r="C20" s="8"/>
      <c r="D20" s="8"/>
      <c r="E20" s="8"/>
      <c r="F20" s="7"/>
      <c r="G20" s="162" t="str">
        <f>+Инвойс!G20</f>
        <v>ИНН/КПП 7805640197/ 781001001 ОГРН 1147847003193</v>
      </c>
      <c r="H20" s="162"/>
      <c r="I20" s="162"/>
      <c r="J20" s="162"/>
      <c r="K20" s="162"/>
      <c r="L20" s="162"/>
      <c r="M20" s="162"/>
    </row>
    <row r="21" spans="1:17" ht="38.25" customHeight="1" x14ac:dyDescent="0.25">
      <c r="A21" s="132" t="str">
        <f>+Инвойс!A21</f>
        <v>Адрес Банка: Республика Узбекистан,
г. Ташкент, ул. Мустакиллик, дом-15</v>
      </c>
      <c r="B21" s="132"/>
      <c r="C21" s="132"/>
      <c r="D21" s="132"/>
      <c r="E21" s="8"/>
      <c r="G21" s="7"/>
      <c r="H21" s="23"/>
      <c r="I21" s="23"/>
      <c r="J21" s="23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165</v>
      </c>
      <c r="B23" s="68"/>
      <c r="C23" s="163" t="s">
        <v>166</v>
      </c>
      <c r="D23" s="163"/>
      <c r="E23" s="163"/>
      <c r="F23" s="163"/>
      <c r="G23" s="163"/>
      <c r="H23" s="163"/>
      <c r="I23" s="163"/>
      <c r="J23" s="163"/>
      <c r="K23" s="163"/>
      <c r="L23" s="163"/>
      <c r="M23" s="163"/>
    </row>
    <row r="24" spans="1:17" ht="15.75" x14ac:dyDescent="0.25">
      <c r="A24" s="20" t="s">
        <v>22</v>
      </c>
      <c r="C24" s="164" t="str">
        <f>+Инвойс!C24</f>
        <v>DAP - г. Соль-Илецк, Российская Федерация (согласно Incoterms 2010)</v>
      </c>
      <c r="D24" s="164"/>
      <c r="E24" s="164"/>
      <c r="F24" s="164"/>
      <c r="G24" s="164"/>
      <c r="H24" s="164"/>
      <c r="I24" s="164"/>
      <c r="J24" s="164"/>
      <c r="K24" s="164"/>
      <c r="L24" s="164"/>
      <c r="M24" s="16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45" t="str">
        <f>+Инвойс!E26</f>
        <v>30066QBA/307828AA</v>
      </c>
      <c r="F26" s="146"/>
      <c r="G26" s="146"/>
      <c r="J26" s="21"/>
    </row>
    <row r="27" spans="1:17" ht="34.5" customHeight="1" x14ac:dyDescent="0.25">
      <c r="A27" s="67" t="s">
        <v>121</v>
      </c>
      <c r="C27" s="18"/>
      <c r="E27" s="22"/>
      <c r="F27" s="22"/>
      <c r="G27" s="22"/>
      <c r="J27" s="21"/>
    </row>
    <row r="28" spans="1:17" ht="24" customHeight="1" x14ac:dyDescent="0.2">
      <c r="A28" s="139" t="s">
        <v>1</v>
      </c>
      <c r="B28" s="139" t="s">
        <v>2</v>
      </c>
      <c r="C28" s="139" t="s">
        <v>3</v>
      </c>
      <c r="D28" s="139" t="s">
        <v>4</v>
      </c>
      <c r="E28" s="139" t="s">
        <v>5</v>
      </c>
      <c r="F28" s="139" t="s">
        <v>6</v>
      </c>
      <c r="G28" s="143" t="s">
        <v>7</v>
      </c>
      <c r="H28" s="144"/>
      <c r="I28" s="139" t="s">
        <v>8</v>
      </c>
      <c r="J28" s="110" t="s">
        <v>9</v>
      </c>
      <c r="K28" s="143" t="s">
        <v>10</v>
      </c>
      <c r="L28" s="144"/>
      <c r="M28" s="139" t="s">
        <v>11</v>
      </c>
    </row>
    <row r="29" spans="1:17" ht="32.25" x14ac:dyDescent="0.2">
      <c r="A29" s="140"/>
      <c r="B29" s="140"/>
      <c r="C29" s="140"/>
      <c r="D29" s="140"/>
      <c r="E29" s="140"/>
      <c r="F29" s="140"/>
      <c r="G29" s="110" t="s">
        <v>12</v>
      </c>
      <c r="H29" s="110" t="s">
        <v>13</v>
      </c>
      <c r="I29" s="140"/>
      <c r="J29" s="111" t="s">
        <v>14</v>
      </c>
      <c r="K29" s="10" t="s">
        <v>15</v>
      </c>
      <c r="L29" s="10" t="s">
        <v>16</v>
      </c>
      <c r="M29" s="140"/>
    </row>
    <row r="30" spans="1:17" ht="30" x14ac:dyDescent="0.2">
      <c r="A30" s="123">
        <f>+Инвойс!A30</f>
        <v>1</v>
      </c>
      <c r="B30" s="100" t="str">
        <f>+Инвойс!B30</f>
        <v>Виноград свежий столовых сортов</v>
      </c>
      <c r="C30" s="106" t="str">
        <f>+Инвойс!C30</f>
        <v>0806101001</v>
      </c>
      <c r="D30" s="108" t="str">
        <f>+Инвойс!D30</f>
        <v>Пласт. ящик</v>
      </c>
      <c r="E30" s="100">
        <f>+Инвойс!E30</f>
        <v>3752</v>
      </c>
      <c r="F30" s="109" t="str">
        <f>+Инвойс!F30</f>
        <v>кг</v>
      </c>
      <c r="G30" s="105">
        <f>+Инвойс!G30</f>
        <v>22700</v>
      </c>
      <c r="H30" s="105">
        <f>+Инвойс!H30</f>
        <v>20075</v>
      </c>
      <c r="I30" s="107">
        <f>+Инвойс!I30</f>
        <v>1.1000000000000001</v>
      </c>
      <c r="J30" s="13">
        <f>+Инвойс!J30</f>
        <v>22082.5</v>
      </c>
      <c r="K30" s="12">
        <v>0</v>
      </c>
      <c r="L30" s="12">
        <v>0</v>
      </c>
      <c r="M30" s="13">
        <f>+Инвойс!M30</f>
        <v>22082.5</v>
      </c>
      <c r="O30" s="99"/>
      <c r="Q30" s="99"/>
    </row>
    <row r="31" spans="1:17" ht="15" x14ac:dyDescent="0.2">
      <c r="A31" s="141" t="s">
        <v>0</v>
      </c>
      <c r="B31" s="142"/>
      <c r="C31" s="14"/>
      <c r="D31" s="15"/>
      <c r="E31" s="64">
        <f>SUM(E30:E30)</f>
        <v>3752</v>
      </c>
      <c r="F31" s="15"/>
      <c r="G31" s="105">
        <f>+Инвойс!G31</f>
        <v>22700</v>
      </c>
      <c r="H31" s="105">
        <f>+Инвойс!H31</f>
        <v>20075</v>
      </c>
      <c r="I31" s="101"/>
      <c r="J31" s="13">
        <f>+Инвойс!J31</f>
        <v>22082.5</v>
      </c>
      <c r="K31" s="16"/>
      <c r="L31" s="16"/>
      <c r="M31" s="13">
        <f>+Инвойс!M31</f>
        <v>22082.5</v>
      </c>
      <c r="P31" s="66"/>
    </row>
    <row r="32" spans="1:17" ht="13.5" x14ac:dyDescent="0.25">
      <c r="A32" s="2" t="s">
        <v>17</v>
      </c>
      <c r="B32" s="3"/>
      <c r="C32" s="11"/>
      <c r="D32" s="11"/>
      <c r="E32" s="137" t="str">
        <f>Лист1!B3</f>
        <v>Двадцать две тысячи восемьдесят два доллара США,50 центов.</v>
      </c>
      <c r="F32" s="138"/>
      <c r="G32" s="138"/>
      <c r="H32" s="138"/>
      <c r="I32" s="138"/>
      <c r="J32" s="138"/>
      <c r="K32" s="138"/>
      <c r="L32" s="138"/>
      <c r="M32" s="138"/>
    </row>
    <row r="33" spans="1:14" ht="20.25" customHeight="1" x14ac:dyDescent="0.2">
      <c r="A33" s="135"/>
      <c r="B33" s="135"/>
      <c r="C33" s="135"/>
      <c r="D33" s="135"/>
      <c r="E33" s="135"/>
      <c r="F33" s="135"/>
      <c r="G33" s="135"/>
      <c r="H33" s="135"/>
      <c r="I33" s="135"/>
      <c r="J33" s="135"/>
      <c r="K33" s="135"/>
      <c r="L33" s="135"/>
      <c r="M33" s="135"/>
    </row>
    <row r="34" spans="1:14" ht="25.5" customHeight="1" x14ac:dyDescent="0.2">
      <c r="A34" s="135"/>
      <c r="B34" s="135"/>
      <c r="C34" s="135"/>
      <c r="D34" s="135"/>
      <c r="E34" s="135"/>
      <c r="F34" s="135"/>
      <c r="G34" s="135"/>
      <c r="H34" s="135"/>
      <c r="I34" s="135"/>
      <c r="J34" s="135"/>
      <c r="K34" s="135"/>
      <c r="L34" s="135"/>
      <c r="M34" s="135"/>
      <c r="N34" s="26"/>
    </row>
    <row r="36" spans="1:14" ht="15" x14ac:dyDescent="0.25">
      <c r="A36" s="7" t="s">
        <v>167</v>
      </c>
      <c r="B36" s="7"/>
      <c r="D36" s="25" t="s">
        <v>157</v>
      </c>
      <c r="E36" s="24"/>
      <c r="G36" s="124" t="s">
        <v>168</v>
      </c>
      <c r="L36" s="25" t="s">
        <v>169</v>
      </c>
    </row>
    <row r="37" spans="1:14" ht="15" x14ac:dyDescent="0.25">
      <c r="A37" s="7" t="str">
        <f>+Инвойс!A5</f>
        <v xml:space="preserve">LLC «AAZZ GROUP» </v>
      </c>
      <c r="B37" s="9"/>
      <c r="G37" t="str">
        <f>+Инвойс!G5</f>
        <v>ООО «Гарден Экспорт Новосибирск»</v>
      </c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  <row r="52" spans="7:12" x14ac:dyDescent="0.2">
      <c r="G52" s="18" t="str">
        <f>+Инвойс!G13</f>
        <v xml:space="preserve">Грузополучатель: </v>
      </c>
      <c r="L52" s="125" t="s">
        <v>170</v>
      </c>
    </row>
    <row r="53" spans="7:12" x14ac:dyDescent="0.2">
      <c r="G53" t="str">
        <f>+Инвойс!G14</f>
        <v>OOO «Сармант-ЮГ»</v>
      </c>
    </row>
  </sheetData>
  <mergeCells count="42">
    <mergeCell ref="A34:M34"/>
    <mergeCell ref="G9:M9"/>
    <mergeCell ref="G10:M10"/>
    <mergeCell ref="G17:M17"/>
    <mergeCell ref="G18:M18"/>
    <mergeCell ref="G19:M19"/>
    <mergeCell ref="G20:M20"/>
    <mergeCell ref="C24:M24"/>
    <mergeCell ref="I28:I29"/>
    <mergeCell ref="K28:L28"/>
    <mergeCell ref="M28:M29"/>
    <mergeCell ref="A31:B31"/>
    <mergeCell ref="E32:M32"/>
    <mergeCell ref="A33:M33"/>
    <mergeCell ref="E26:G26"/>
    <mergeCell ref="A28:A29"/>
    <mergeCell ref="G28:H28"/>
    <mergeCell ref="A14:E14"/>
    <mergeCell ref="G14:M14"/>
    <mergeCell ref="G15:M15"/>
    <mergeCell ref="G16:M16"/>
    <mergeCell ref="A21:D21"/>
    <mergeCell ref="C23:M23"/>
    <mergeCell ref="B28:B29"/>
    <mergeCell ref="C28:C29"/>
    <mergeCell ref="D28:D29"/>
    <mergeCell ref="E28:E29"/>
    <mergeCell ref="F28:F29"/>
    <mergeCell ref="A13:E13"/>
    <mergeCell ref="G13:M13"/>
    <mergeCell ref="C1:E1"/>
    <mergeCell ref="F1:H1"/>
    <mergeCell ref="C2:H2"/>
    <mergeCell ref="A4:E4"/>
    <mergeCell ref="G4:M4"/>
    <mergeCell ref="A5:E5"/>
    <mergeCell ref="G5:M5"/>
    <mergeCell ref="G6:M6"/>
    <mergeCell ref="G7:M7"/>
    <mergeCell ref="G8:M8"/>
    <mergeCell ref="A12:D12"/>
    <mergeCell ref="G12:M12"/>
  </mergeCells>
  <pageMargins left="0.7" right="0.7" top="0.75" bottom="0.75" header="0.3" footer="0.3"/>
  <pageSetup paperSize="9" scale="63" orientation="portrait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6"/>
  <sheetViews>
    <sheetView workbookViewId="0">
      <selection activeCell="A5" sqref="A5:K6"/>
    </sheetView>
  </sheetViews>
  <sheetFormatPr defaultRowHeight="12.75" x14ac:dyDescent="0.2"/>
  <sheetData>
    <row r="1" spans="1:11" ht="28.5" customHeight="1" x14ac:dyDescent="0.2">
      <c r="A1" s="166" t="s">
        <v>123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</row>
    <row r="2" spans="1:11" x14ac:dyDescent="0.2">
      <c r="A2" s="18" t="s">
        <v>124</v>
      </c>
    </row>
    <row r="5" spans="1:11" ht="12.75" customHeight="1" x14ac:dyDescent="0.2">
      <c r="A5" s="166" t="s">
        <v>159</v>
      </c>
      <c r="B5" s="166"/>
      <c r="C5" s="166"/>
      <c r="D5" s="166"/>
      <c r="E5" s="166"/>
      <c r="F5" s="166"/>
      <c r="G5" s="166"/>
      <c r="H5" s="166"/>
      <c r="I5" s="166"/>
      <c r="J5" s="166"/>
      <c r="K5" s="166"/>
    </row>
    <row r="6" spans="1:11" x14ac:dyDescent="0.2">
      <c r="A6" s="18" t="s">
        <v>125</v>
      </c>
    </row>
    <row r="9" spans="1:11" x14ac:dyDescent="0.2">
      <c r="A9" s="166" t="s">
        <v>114</v>
      </c>
      <c r="B9" s="166"/>
      <c r="C9" s="166"/>
      <c r="D9" s="166"/>
      <c r="E9" s="166"/>
      <c r="F9" s="166"/>
      <c r="G9" s="166"/>
      <c r="H9" s="166"/>
      <c r="I9" s="166"/>
      <c r="J9" s="166"/>
      <c r="K9" s="166"/>
    </row>
    <row r="10" spans="1:11" x14ac:dyDescent="0.2">
      <c r="A10" s="18" t="s">
        <v>115</v>
      </c>
    </row>
    <row r="13" spans="1:11" x14ac:dyDescent="0.2">
      <c r="A13" s="166" t="s">
        <v>126</v>
      </c>
      <c r="B13" s="166"/>
      <c r="C13" s="166"/>
      <c r="D13" s="166"/>
      <c r="E13" s="166"/>
      <c r="F13" s="166"/>
      <c r="G13" s="166"/>
      <c r="H13" s="166"/>
      <c r="I13" s="166"/>
      <c r="J13" s="166"/>
      <c r="K13" s="166"/>
    </row>
    <row r="14" spans="1:11" x14ac:dyDescent="0.2">
      <c r="A14" s="18" t="s">
        <v>127</v>
      </c>
    </row>
    <row r="17" spans="1:14" x14ac:dyDescent="0.2">
      <c r="A17" s="166" t="s">
        <v>128</v>
      </c>
      <c r="B17" s="166"/>
      <c r="C17" s="166"/>
      <c r="D17" s="166"/>
      <c r="E17" s="166"/>
      <c r="F17" s="166"/>
      <c r="G17" s="166"/>
      <c r="H17" s="166"/>
      <c r="I17" s="166"/>
      <c r="J17" s="166"/>
      <c r="K17" s="166"/>
      <c r="M17" s="70" t="s">
        <v>135</v>
      </c>
    </row>
    <row r="18" spans="1:14" x14ac:dyDescent="0.2">
      <c r="A18" s="18" t="s">
        <v>129</v>
      </c>
      <c r="M18" s="70" t="s">
        <v>136</v>
      </c>
    </row>
    <row r="20" spans="1:14" x14ac:dyDescent="0.2">
      <c r="N20" s="165" t="s">
        <v>137</v>
      </c>
    </row>
    <row r="21" spans="1:14" x14ac:dyDescent="0.2">
      <c r="A21" s="166" t="s">
        <v>130</v>
      </c>
      <c r="B21" s="166"/>
      <c r="C21" s="166"/>
      <c r="D21" s="166"/>
      <c r="E21" s="166"/>
      <c r="F21" s="166"/>
      <c r="G21" s="166"/>
      <c r="H21" s="166"/>
      <c r="I21" s="166"/>
      <c r="J21" s="166"/>
      <c r="K21" s="166"/>
      <c r="N21" s="150"/>
    </row>
    <row r="22" spans="1:14" x14ac:dyDescent="0.2">
      <c r="A22" s="18" t="s">
        <v>131</v>
      </c>
    </row>
    <row r="25" spans="1:14" x14ac:dyDescent="0.2">
      <c r="A25" s="166" t="s">
        <v>132</v>
      </c>
      <c r="B25" s="166"/>
      <c r="C25" s="166"/>
      <c r="D25" s="166"/>
      <c r="E25" s="166"/>
      <c r="F25" s="166"/>
      <c r="G25" s="166"/>
      <c r="H25" s="166"/>
      <c r="I25" s="166"/>
      <c r="J25" s="166"/>
      <c r="K25" s="166"/>
    </row>
    <row r="26" spans="1:14" x14ac:dyDescent="0.2">
      <c r="A26" s="18" t="s">
        <v>133</v>
      </c>
    </row>
    <row r="29" spans="1:14" x14ac:dyDescent="0.2">
      <c r="A29" s="166" t="s">
        <v>138</v>
      </c>
      <c r="B29" s="166"/>
      <c r="C29" s="166"/>
      <c r="D29" s="166"/>
      <c r="E29" s="166"/>
      <c r="F29" s="166"/>
      <c r="G29" s="166"/>
      <c r="H29" s="166"/>
      <c r="I29" s="166"/>
      <c r="J29" s="166"/>
      <c r="K29" s="166"/>
    </row>
    <row r="30" spans="1:14" x14ac:dyDescent="0.2">
      <c r="A30" s="18" t="s">
        <v>160</v>
      </c>
    </row>
    <row r="32" spans="1:14" x14ac:dyDescent="0.2">
      <c r="A32" s="164" t="s">
        <v>161</v>
      </c>
      <c r="B32" s="164"/>
      <c r="C32" s="164"/>
      <c r="D32" s="164"/>
      <c r="E32" s="164"/>
      <c r="F32" s="164"/>
      <c r="G32" s="164"/>
      <c r="H32" s="164"/>
      <c r="I32" s="164"/>
      <c r="J32" s="164"/>
      <c r="K32" s="164"/>
    </row>
    <row r="33" spans="1:11" x14ac:dyDescent="0.2">
      <c r="A33" s="18" t="s">
        <v>162</v>
      </c>
      <c r="B33" s="113"/>
      <c r="C33" s="113"/>
      <c r="D33" s="113"/>
      <c r="E33" s="113"/>
      <c r="F33" s="113"/>
      <c r="G33" s="113"/>
      <c r="H33" s="113"/>
      <c r="I33" s="113"/>
      <c r="J33" s="113"/>
      <c r="K33" s="113"/>
    </row>
    <row r="35" spans="1:11" x14ac:dyDescent="0.2">
      <c r="A35" s="164" t="s">
        <v>163</v>
      </c>
      <c r="B35" s="164"/>
      <c r="C35" s="164"/>
      <c r="D35" s="164"/>
      <c r="E35" s="164"/>
      <c r="F35" s="164"/>
      <c r="G35" s="164"/>
      <c r="H35" s="164"/>
      <c r="I35" s="164"/>
      <c r="J35" s="164"/>
      <c r="K35" s="164"/>
    </row>
    <row r="36" spans="1:11" x14ac:dyDescent="0.2">
      <c r="A36" s="18" t="s">
        <v>164</v>
      </c>
      <c r="B36" s="113"/>
      <c r="C36" s="113"/>
      <c r="D36" s="113"/>
      <c r="E36" s="113"/>
      <c r="F36" s="113"/>
      <c r="G36" s="113"/>
      <c r="H36" s="113"/>
      <c r="I36" s="113"/>
      <c r="J36" s="113"/>
      <c r="K36" s="113"/>
    </row>
  </sheetData>
  <mergeCells count="11">
    <mergeCell ref="A32:K32"/>
    <mergeCell ref="A35:K35"/>
    <mergeCell ref="A1:K1"/>
    <mergeCell ref="A5:K5"/>
    <mergeCell ref="A9:K9"/>
    <mergeCell ref="N20:N21"/>
    <mergeCell ref="A29:K29"/>
    <mergeCell ref="A13:K13"/>
    <mergeCell ref="A17:K17"/>
    <mergeCell ref="A21:K21"/>
    <mergeCell ref="A25:K2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69" t="s">
        <v>32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</row>
    <row r="2" spans="1:19" ht="15.75" x14ac:dyDescent="0.25">
      <c r="E2" s="27">
        <f>Инвойс!M31</f>
        <v>22082.5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Двадцать две тысячи восемьдесят два доллара США,50 центов.</v>
      </c>
      <c r="E3" s="31"/>
      <c r="H3" s="32"/>
      <c r="J3" s="32"/>
      <c r="K3" s="32"/>
      <c r="L3" s="32"/>
      <c r="M3" s="33" t="s">
        <v>34</v>
      </c>
      <c r="N3" s="170">
        <f ca="1">TODAY()</f>
        <v>45881</v>
      </c>
      <c r="O3" s="170"/>
      <c r="P3">
        <f ca="1">DAY(N3)</f>
        <v>12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Двадцать две тысячи восемьдесят два доллара США,50 центов. (в т.ч. НДС - 357,79)</v>
      </c>
      <c r="H4" s="32"/>
      <c r="I4" s="32"/>
      <c r="J4" s="32"/>
      <c r="K4" s="171" t="str">
        <f ca="1">CONCATENATE(" «  ",P3,"  »  ",Q3,"  ",R3," г.")</f>
        <v xml:space="preserve"> «  12  »  августа  2025 г.</v>
      </c>
      <c r="L4" s="171"/>
      <c r="M4" s="171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двадцать две тысячи восемьдесят два доллара США,50 центов.</v>
      </c>
    </row>
    <row r="6" spans="1:19" s="36" customFormat="1" x14ac:dyDescent="0.2">
      <c r="A6" s="38" t="s">
        <v>37</v>
      </c>
      <c r="B6" s="36" t="str">
        <f>CONCATENATE(A8,A9,A10,A11,A12,B8,B9,C9)</f>
        <v>двадцать две тысячи восемьдесят два доллара США,50 центов. (в т.ч. НДС - 357,79)</v>
      </c>
      <c r="C6"/>
      <c r="D6"/>
      <c r="E6"/>
      <c r="H6" s="39"/>
    </row>
    <row r="7" spans="1:19" x14ac:dyDescent="0.2">
      <c r="D7" s="33"/>
      <c r="H7" s="172" t="s">
        <v>38</v>
      </c>
      <c r="I7" s="172"/>
      <c r="J7" s="172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228</v>
      </c>
      <c r="G8" s="42"/>
      <c r="H8" s="172"/>
      <c r="I8" s="172"/>
      <c r="J8" s="172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д</v>
      </c>
      <c r="G9" s="42"/>
      <c r="H9" s="172"/>
      <c r="I9" s="172"/>
      <c r="J9" s="172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двадцать две тысячи </v>
      </c>
      <c r="D10" s="47"/>
      <c r="E10" s="48"/>
      <c r="F10" s="41" t="str">
        <f>PROPER(F9)</f>
        <v>Д</v>
      </c>
      <c r="G10" s="42"/>
      <c r="H10" s="172"/>
      <c r="I10" s="172"/>
      <c r="J10" s="172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>восемьдесят два доллара США,</v>
      </c>
      <c r="D11" s="47"/>
      <c r="E11" s="48"/>
      <c r="H11" s="172"/>
      <c r="I11" s="172"/>
      <c r="J11" s="172"/>
    </row>
    <row r="12" spans="1:19" s="43" customFormat="1" x14ac:dyDescent="0.2">
      <c r="A12" s="49" t="str">
        <f>CONCATENATE(IF(C31=0,"0",C31),IF(C32=0,"0",C32)," ",F33)</f>
        <v>50 центов.</v>
      </c>
      <c r="D12" s="47"/>
      <c r="E12" s="48"/>
      <c r="M12" s="50">
        <f ca="1">TODAY()</f>
        <v>45881</v>
      </c>
    </row>
    <row r="13" spans="1:19" s="43" customFormat="1" x14ac:dyDescent="0.2">
      <c r="A13" s="49"/>
      <c r="D13" s="51"/>
      <c r="E13" s="52">
        <f>TRUNC(E2)</f>
        <v>22082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2</v>
      </c>
      <c r="B24" s="47">
        <f>TRUNC(RIGHT(A24))</f>
        <v>2</v>
      </c>
      <c r="C24" s="51">
        <f>IF(B24=1,"",B24)</f>
        <v>2</v>
      </c>
      <c r="E24" s="56" t="str">
        <f>IF(OR(C24=0,B24=1),"",IF(B24=2,E35,IF(B24=3,E36,IF(B24=4,E37,IF(B24=5,E38,IF(B24=6,E39,IF(B24=7,E40,IF(B24=8,E41,E42))))))))</f>
        <v xml:space="preserve">двадцать </v>
      </c>
    </row>
    <row r="25" spans="1:9" s="43" customFormat="1" x14ac:dyDescent="0.2">
      <c r="A25" s="54">
        <f>TRUNC(A27/10)</f>
        <v>22</v>
      </c>
      <c r="B25" s="47">
        <f>TRUNC(RIGHT(A25))</f>
        <v>2</v>
      </c>
      <c r="C25" s="51">
        <f>IF(B24=1,B25+10,IF(B25=0,0,B25))</f>
        <v>2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две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22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">
      <c r="A27" s="54">
        <f>TRUNC(A28/10)</f>
        <v>220</v>
      </c>
      <c r="B27" s="47">
        <f>TRUNC(RIGHT(A27))</f>
        <v>0</v>
      </c>
      <c r="C27" s="51">
        <f>B27</f>
        <v>0</v>
      </c>
      <c r="E27" s="55" t="str">
        <f>IF(B27=1,E43,IF(B27=2,G35,IF(B27=3,G36,IF(B27=4,G37,IF(B27=5,G38,IF(B27=6,G39,IF(B27=7,G40,IF(B27=8,G41,G42))))))))</f>
        <v xml:space="preserve">девятьсот </v>
      </c>
    </row>
    <row r="28" spans="1:9" s="43" customFormat="1" x14ac:dyDescent="0.2">
      <c r="A28" s="54">
        <f>TRUNC(A29/10)</f>
        <v>2208</v>
      </c>
      <c r="B28" s="58">
        <f>TRUNC(RIGHT(A28))</f>
        <v>8</v>
      </c>
      <c r="C28" s="51">
        <f>IF(B28=1,"",B28)</f>
        <v>8</v>
      </c>
      <c r="E28" s="56" t="str">
        <f>IF(OR(C28=0,B28=1),"",IF(C28=2,E35,IF(C28=3,E36,IF(C28=4,E37,IF(C28=5,E38,IF(C28=6,E39,IF(C28=7,E40,IF(C28=8,E41,E42))))))))</f>
        <v xml:space="preserve">восемьдесят </v>
      </c>
      <c r="G28" s="47"/>
    </row>
    <row r="29" spans="1:9" s="43" customFormat="1" x14ac:dyDescent="0.2">
      <c r="A29" s="54">
        <f>E13</f>
        <v>22082</v>
      </c>
      <c r="B29" s="47">
        <f>TRUNC(RIGHT(A29))</f>
        <v>2</v>
      </c>
      <c r="C29" s="51">
        <f>IF(B28=1,B29+10,IF(B29=0,0,B29))</f>
        <v>2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два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82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 x14ac:dyDescent="0.2">
      <c r="A31" s="60">
        <f>ROUND(100*(E2-E13),0)</f>
        <v>50</v>
      </c>
      <c r="C31" s="59">
        <f>TRUNC(A31/10)</f>
        <v>5</v>
      </c>
      <c r="E31" s="56" t="str">
        <f>IF(OR(C31=1,C31=0),"",IF(C31=2,E35,IF(C31=3,E36,IF(C31=4,E37,IF(C31=5,E38,IF(C31=6,E39,IF(C31=7,E40,IF(C31=8,E41,E42))))))))</f>
        <v xml:space="preserve">пятьдесят </v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73" t="s">
        <v>81</v>
      </c>
      <c r="B44" s="173"/>
      <c r="C44" s="173"/>
      <c r="D44" s="173"/>
      <c r="E44" s="173"/>
      <c r="F44" s="173"/>
      <c r="G44" s="173"/>
      <c r="H44" s="173"/>
      <c r="I44" s="173"/>
      <c r="J44" s="168" t="s">
        <v>82</v>
      </c>
      <c r="K44" s="168"/>
    </row>
    <row r="45" spans="1:11" s="43" customFormat="1" x14ac:dyDescent="0.2">
      <c r="A45" s="173"/>
      <c r="B45" s="173"/>
      <c r="C45" s="173"/>
      <c r="D45" s="173"/>
      <c r="E45" s="173"/>
      <c r="F45" s="173"/>
      <c r="G45" s="173"/>
      <c r="H45" s="173"/>
      <c r="I45" s="173"/>
      <c r="J45" s="168"/>
      <c r="K45" s="168"/>
    </row>
    <row r="46" spans="1:11" s="43" customFormat="1" x14ac:dyDescent="0.2">
      <c r="B46" s="61"/>
      <c r="C46" s="61"/>
      <c r="G46" s="167" t="s">
        <v>83</v>
      </c>
      <c r="H46" s="167"/>
      <c r="I46" s="167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68" t="s">
        <v>85</v>
      </c>
      <c r="B100" s="168"/>
      <c r="C100" s="168"/>
      <c r="D100" s="168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cp:lastPrinted>2025-08-12T03:19:56Z</cp:lastPrinted>
  <dcterms:created xsi:type="dcterms:W3CDTF">1996-10-14T23:33:28Z</dcterms:created>
  <dcterms:modified xsi:type="dcterms:W3CDTF">2025-08-12T03:20:02Z</dcterms:modified>
</cp:coreProperties>
</file>