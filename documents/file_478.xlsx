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<sst xmlns="http://schemas.openxmlformats.org/spreadsheetml/2006/main" count="201" uniqueCount="163">
  <si>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</si>
  <si>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</si>
  <si>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</si>
  <si>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</si>
  <si>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</si>
  <si>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</si>
  <si>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</si>
  <si>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</si>
  <si>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</si>
  <si>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</si>
  <si>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</si>
  <si>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</si>
  <si>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</si>
  <si>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</si>
  <si>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</si>
  <si>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</si>
  <si>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</si>
  <si>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</si>
  <si>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</si>
  <si>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</si>
  <si>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</si>
  <si>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</si>
  <si>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</si>
  <si>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</si>
  <si>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</si>
  <si>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</si>
  <si>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</si>
  <si>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</si>
  <si>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</si>
  <si>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</si>
  <si>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</si>
  <si>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</si>
  <si>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</si>
  <si>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</si>
  <si>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</si>
  <si>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</si>
  <si>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</si>
  <si>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</si>
  <si>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</si>
  <si>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</si>
  <si>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</si>
  <si>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</si>
  <si>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</si>
  <si>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</si>
  <si>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</si>
  <si>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</si>
  <si>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</si>
  <si>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</si>
  <si>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</si>
  <si>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</si>
  <si>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</si>
  <si>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</si>
  <si>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</si>
  <si>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</si>
  <si>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</si>
  <si>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</si>
  <si>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</si>
  <si>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</si>
  <si>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</si>
  <si>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</si>
  <si>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</si>
  <si>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</si>
  <si>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</si>
  <si>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</si>
  <si>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</si>
  <si>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</si>
  <si>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</si>
  <si>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</si>
  <si>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</si>
  <si>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</si>
  <si>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</si>
  <si>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</si>
  <si>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</si>
  <si>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</si>
  <si>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</si>
  <si>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</si>
  <si>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</si>
  <si>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</si>
  <si>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</si>
  <si>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</si>
  <si>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</si>
  <si>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</si>
  <si>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</si>
  <si>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</si>
  <si>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</si>
  <si>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</si>
  <si>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</si>
  <si>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</si>
  <si>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</si>
  <si>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</si>
  <si>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</si>
  <si>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</si>
  <si>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</si>
  <si>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</si>
  <si>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</si>
  <si>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</si>
  <si>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</si>
  <si>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</si>
  <si>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</si>
  <si>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</si>
  <si>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</si>
  <si>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</si>
  <si>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</si>
  <si>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</si>
  <si>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</si>
  <si>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</si>
  <si>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</si>
  <si>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</si>
  <si>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</si>
  <si>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</si>
  <si>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</si>
  <si>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</si>
  <si>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</si>
  <si>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</si>
  <si>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</si>
  <si>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</si>
  <si>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</si>
  <si>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</si>
  <si>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</si>
  <si>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</si>
  <si>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</si>
  <si>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</si>
  <si>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</si>
  <si>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</si>
  <si>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</si>
  <si>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</si>
  <si>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</si>
  <si>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</si>
  <si>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</si>
  <si>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</si>
  <si>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</si>
  <si>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</si>
  <si>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</si>
  <si>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</si>
  <si>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</si>
  <si>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</si>
  <si>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</si>
  <si>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</si>
  <si>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</si>
  <si>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</si>
  <si>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</si>
  <si>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</si>
  <si>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</si>
  <si>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</si>
  <si>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</si>
  <si>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</si>
  <si>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</si>
  <si>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</si>
  <si>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</si>
  <si>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</si>
  <si>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</si>
  <si>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</si>
  <si>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</si>
  <si>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</si>
  <si>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</si>
  <si>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</si>
  <si>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</si>
  <si>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</si>
  <si>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</si>
  <si>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EXZ-N-12 от </t>
  </si>
  <si>
    <t xml:space="preserve"> 07.09.2025г.</t>
  </si>
  <si>
    <t>75X005WA/758369AA</t>
  </si>
  <si>
    <t xml:space="preserve">СПЕЦИФИКАЦИЯ № EXZ-N-12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</si>
</sst>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0" t="s">
        <v>140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>
      <c r="A5" s="135" t="s">
        <v>129</v>
      </c>
      <c r="B5" s="135"/>
      <c r="C5" s="135"/>
      <c r="D5" s="135"/>
      <c r="E5" s="135"/>
      <c r="F5" s="6"/>
      <c r="G5" s="137" t="s">
        <v>141</v>
      </c>
      <c r="H5" s="137"/>
      <c r="I5" s="137"/>
      <c r="J5" s="137"/>
      <c r="K5" s="137"/>
      <c r="L5" s="137"/>
      <c r="M5" s="137"/>
    </row>
    <row r="6" spans="1:15" ht="15" customHeight="1">
      <c r="A6" s="141" t="s">
        <v>130</v>
      </c>
      <c r="B6" s="142"/>
      <c r="C6" s="142"/>
      <c r="D6" s="142"/>
      <c r="E6" s="142"/>
      <c r="F6" s="7"/>
      <c r="G6" s="139" t="s">
        <v>142</v>
      </c>
      <c r="H6" s="139"/>
      <c r="I6" s="139"/>
      <c r="J6" s="139"/>
      <c r="K6" s="139"/>
      <c r="L6" s="139"/>
      <c r="M6" s="139"/>
      <c r="N6" s="4"/>
    </row>
    <row r="7" spans="1:15" ht="15">
      <c r="A7" s="142" t="s">
        <v>131</v>
      </c>
      <c r="B7" s="142"/>
      <c r="C7" s="142"/>
      <c r="D7" s="142"/>
      <c r="E7" s="142"/>
      <c r="F7" s="63"/>
      <c r="G7" s="139" t="s">
        <v>143</v>
      </c>
      <c r="H7" s="139"/>
      <c r="I7" s="139"/>
      <c r="J7" s="139"/>
      <c r="K7" s="139"/>
      <c r="L7" s="139"/>
      <c r="M7" s="139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4" t="s">
        <v>134</v>
      </c>
      <c r="B10" s="124"/>
      <c r="C10" s="124"/>
      <c r="D10" s="124"/>
      <c r="E10" s="124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>
      <c r="A14" s="135" t="s">
        <v>129</v>
      </c>
      <c r="B14" s="135"/>
      <c r="C14" s="135"/>
      <c r="D14" s="135"/>
      <c r="E14" s="135"/>
      <c r="F14" s="6"/>
      <c r="G14" s="137" t="s">
        <v>148</v>
      </c>
      <c r="H14" s="137"/>
      <c r="I14" s="137"/>
      <c r="J14" s="137"/>
      <c r="K14" s="137"/>
      <c r="L14" s="137"/>
      <c r="M14" s="137"/>
    </row>
    <row r="15" spans="1:15" ht="13.9" customHeight="1">
      <c r="A15" s="141" t="s">
        <v>130</v>
      </c>
      <c r="B15" s="142"/>
      <c r="C15" s="142"/>
      <c r="D15" s="142"/>
      <c r="E15" s="142"/>
      <c r="F15" s="7"/>
      <c r="G15" s="139" t="s">
        <v>149</v>
      </c>
      <c r="H15" s="142"/>
      <c r="I15" s="142"/>
      <c r="J15" s="142"/>
      <c r="K15" s="142"/>
      <c r="L15" s="142"/>
      <c r="M15" s="142"/>
    </row>
    <row r="16" spans="1:15" ht="15">
      <c r="A16" s="142" t="s">
        <v>131</v>
      </c>
      <c r="B16" s="142"/>
      <c r="C16" s="142"/>
      <c r="D16" s="142"/>
      <c r="E16" s="142"/>
      <c r="F16" s="63"/>
      <c r="G16" s="139" t="s">
        <v>150</v>
      </c>
      <c r="H16" s="139"/>
      <c r="I16" s="139"/>
      <c r="J16" s="139"/>
      <c r="K16" s="139"/>
      <c r="L16" s="139"/>
      <c r="M16" s="139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4" t="s">
        <v>134</v>
      </c>
      <c r="B19" s="124"/>
      <c r="C19" s="124"/>
      <c r="D19" s="124"/>
      <c r="E19" s="124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38"/>
      <c r="H21" s="138"/>
      <c r="I21" s="138"/>
      <c r="J21" s="138"/>
      <c r="K21" s="138"/>
      <c r="L21" s="138"/>
      <c r="M21" s="138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>
      <c r="A24" s="20" t="s">
        <v>22</v>
      </c>
      <c r="C24" s="18" t="s">
        <v>158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>
      <c r="A30" s="126">
        <v>1</v>
      </c>
      <c r="B30" s="101" t="s">
        <v>122</v>
      </c>
      <c r="C30" s="107" t="s">
        <v>121</v>
      </c>
      <c r="D30" s="109" t="s">
        <v>110</v>
      </c>
      <c r="E30" s="101">
        <v>2480</v>
      </c>
      <c r="F30" s="115" t="s">
        <v>27</v>
      </c>
      <c r="G30" s="106">
        <v>22700</v>
      </c>
      <c r="H30" s="106">
        <v>20964</v>
      </c>
      <c r="I30" s="108">
        <v>1</v>
      </c>
      <c r="J30" s="13">
        <f t="shared" ref="J30" si="0">H30*I30</f>
        <v>20964</v>
      </c>
      <c r="K30" s="12">
        <v>0</v>
      </c>
      <c r="L30" s="12">
        <v>0</v>
      </c>
      <c r="M30" s="13">
        <f t="shared" ref="M30" si="1">J30</f>
        <v>20964</v>
      </c>
      <c r="O30" s="100"/>
      <c r="Q30" s="100"/>
    </row>
    <row r="31" spans="1:17" ht="14.25">
      <c r="A31" s="149" t="s">
        <v>0</v>
      </c>
      <c r="B31" s="150"/>
      <c r="C31" s="14"/>
      <c r="D31" s="15"/>
      <c r="E31" s="64">
        <f>SUM(E30:E30)</f>
        <v>2480</v>
      </c>
      <c r="F31" s="15"/>
      <c r="G31" s="64">
        <f>SUM(G30:G30)</f>
        <v>22700</v>
      </c>
      <c r="H31" s="64">
        <f>SUM(H30:H30)</f>
        <v>20964</v>
      </c>
      <c r="I31" s="102"/>
      <c r="J31" s="17">
        <f>SUM(J30:J30)</f>
        <v>20964</v>
      </c>
      <c r="K31" s="16"/>
      <c r="L31" s="16"/>
      <c r="M31" s="17">
        <f>SUM(M30:M30)</f>
        <v>20964</v>
      </c>
      <c r="P31" s="66"/>
    </row>
    <row r="32" spans="1:17" ht="13.5">
      <c r="A32" s="2" t="s">
        <v>17</v>
      </c>
      <c r="B32" s="3"/>
      <c r="C32" s="11"/>
      <c r="D32" s="11"/>
      <c r="E32" s="145" t="str">
        <f>Лист1!B3</f>
        <v>двадцать тысяч девятьсот шестьдесят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G56" sqref="G56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6" t="str">
        <f>+CONCATENATE(Инвойс!C1,Инвойс!F1)</f>
        <v>ИНВОЙС № EXZ-N-12 от  07.09.2025г.</v>
      </c>
      <c r="C24" s="156"/>
      <c r="D24" s="156"/>
      <c r="E24" s="73"/>
      <c r="F24" s="73"/>
      <c r="G24" s="73"/>
      <c r="H24" s="73"/>
      <c r="I24" s="73"/>
    </row>
    <row r="25" spans="1:9">
      <c r="B25" s="157" t="s">
        <v>105</v>
      </c>
      <c r="C25" s="157"/>
      <c r="D25" s="157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2480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>
      <c r="B46" s="158"/>
      <c r="C46" s="158"/>
      <c r="D46" s="158"/>
    </row>
    <row r="47" spans="1:9" ht="21" customHeight="1"/>
    <row r="48" spans="1:9" ht="17.25" customHeight="1"/>
    <row r="49" spans="1:6" ht="27" customHeight="1">
      <c r="B49" s="70" t="s">
        <v>113</v>
      </c>
      <c r="D49" s="159" t="str">
        <f>+C22</f>
        <v xml:space="preserve"> 07.09.2025г.</v>
      </c>
      <c r="E49" s="159"/>
      <c r="F49" s="159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75X005WA/758369AA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H54" sqref="H54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2" t="s">
        <v>96</v>
      </c>
      <c r="C2" s="162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3" t="str">
        <f>+Инвойс!E26</f>
        <v>75X005WA/758369AA</v>
      </c>
      <c r="C14" s="163"/>
      <c r="D14" s="163"/>
      <c r="E14" s="163"/>
      <c r="F14" s="163"/>
      <c r="G14" s="163"/>
      <c r="H14" s="164" t="s">
        <v>106</v>
      </c>
      <c r="I14" s="164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EXZ-N-12 от  07.09.2025г.</v>
      </c>
      <c r="I15" s="165"/>
      <c r="J15" s="165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6"/>
      <c r="F18" s="117">
        <f>+Инвойс!E30</f>
        <v>2480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22700</v>
      </c>
    </row>
    <row r="20" spans="2:10" ht="13.5" customHeight="1">
      <c r="B20" s="83"/>
      <c r="E20" s="122"/>
      <c r="F20" s="117"/>
      <c r="G20" s="166"/>
      <c r="H20" s="166"/>
      <c r="I20" s="118"/>
      <c r="J20" s="119"/>
    </row>
    <row r="21" spans="2:10" ht="13.5" customHeight="1">
      <c r="B21" s="83"/>
      <c r="E21" s="122"/>
      <c r="F21" s="120"/>
      <c r="G21" s="160"/>
      <c r="H21" s="161"/>
      <c r="I21" s="121"/>
      <c r="J21" s="119"/>
    </row>
    <row r="22" spans="2:10" ht="12.75" customHeight="1">
      <c r="B22" s="83"/>
      <c r="E22" s="122"/>
      <c r="F22" s="117"/>
      <c r="G22" s="166"/>
      <c r="H22" s="166"/>
      <c r="I22" s="118"/>
      <c r="J22" s="119"/>
    </row>
    <row r="23" spans="2:10" ht="14.25" customHeight="1">
      <c r="B23" s="83"/>
      <c r="E23" s="122"/>
      <c r="F23" s="120"/>
      <c r="G23" s="160"/>
      <c r="H23" s="161"/>
      <c r="I23" s="121"/>
      <c r="J23" s="119"/>
    </row>
    <row r="24" spans="2:10" ht="12.75" customHeight="1">
      <c r="B24" s="87"/>
      <c r="E24" s="122"/>
      <c r="F24" s="117"/>
      <c r="G24" s="166"/>
      <c r="H24" s="166"/>
      <c r="I24" s="118"/>
      <c r="J24" s="119"/>
    </row>
    <row r="25" spans="2:10" ht="12.75" customHeight="1">
      <c r="B25" s="87"/>
      <c r="E25" s="122"/>
      <c r="F25" s="120"/>
      <c r="G25" s="160"/>
      <c r="H25" s="161"/>
      <c r="I25" s="121"/>
      <c r="J25" s="119"/>
    </row>
    <row r="26" spans="2:10" ht="12" customHeight="1">
      <c r="B26" s="87"/>
      <c r="E26" s="122"/>
      <c r="F26" s="117"/>
      <c r="G26" s="166"/>
      <c r="H26" s="166"/>
      <c r="I26" s="118"/>
      <c r="J26" s="119"/>
    </row>
    <row r="27" spans="2:10" ht="14.25" customHeight="1">
      <c r="B27" s="87"/>
      <c r="E27" s="122"/>
      <c r="F27" s="120"/>
      <c r="G27" s="160"/>
      <c r="H27" s="161"/>
      <c r="I27" s="121"/>
      <c r="J27" s="119"/>
    </row>
    <row r="28" spans="2:10" ht="12.75" customHeight="1">
      <c r="B28" s="87"/>
      <c r="E28" s="122"/>
      <c r="F28" s="117"/>
      <c r="G28" s="166"/>
      <c r="H28" s="166"/>
      <c r="I28" s="118"/>
      <c r="J28" s="119"/>
    </row>
    <row r="29" spans="2:10" ht="12.75" customHeight="1">
      <c r="B29" s="87"/>
      <c r="E29" s="122"/>
      <c r="F29" s="120"/>
      <c r="G29" s="160"/>
      <c r="H29" s="161"/>
      <c r="I29" s="121"/>
      <c r="J29" s="119"/>
    </row>
    <row r="30" spans="2:10" ht="12.75" customHeight="1">
      <c r="B30" s="87"/>
      <c r="E30" s="122"/>
      <c r="F30" s="117"/>
      <c r="G30" s="166"/>
      <c r="H30" s="166"/>
      <c r="I30" s="118"/>
      <c r="J30" s="119"/>
    </row>
    <row r="31" spans="2:10" ht="13.5" customHeight="1">
      <c r="B31" s="87"/>
      <c r="E31" s="122"/>
      <c r="F31" s="120"/>
      <c r="G31" s="160"/>
      <c r="H31" s="161"/>
      <c r="I31" s="121"/>
      <c r="J31" s="119"/>
    </row>
    <row r="32" spans="2:10" ht="13.5" customHeight="1">
      <c r="B32" s="87"/>
      <c r="E32" s="122"/>
      <c r="F32" s="117"/>
      <c r="G32" s="166"/>
      <c r="H32" s="166"/>
      <c r="I32" s="118"/>
      <c r="J32" s="119"/>
    </row>
    <row r="33" spans="2:10" ht="13.5" customHeight="1">
      <c r="B33" s="87"/>
      <c r="E33" s="122"/>
      <c r="F33" s="120"/>
      <c r="G33" s="160"/>
      <c r="H33" s="161"/>
      <c r="I33" s="121"/>
      <c r="J33" s="119"/>
    </row>
    <row r="34" spans="2:10" ht="13.5" customHeight="1">
      <c r="B34" s="87"/>
      <c r="E34" s="122"/>
      <c r="F34" s="117"/>
      <c r="G34" s="166"/>
      <c r="H34" s="166"/>
      <c r="I34" s="118"/>
      <c r="J34" s="119"/>
    </row>
    <row r="35" spans="2:10" ht="12.75" customHeight="1">
      <c r="B35" s="87"/>
      <c r="E35" s="122"/>
      <c r="F35" s="120"/>
      <c r="G35" s="160"/>
      <c r="H35" s="161"/>
      <c r="I35" s="121"/>
      <c r="J35" s="119"/>
    </row>
    <row r="36" spans="2:10">
      <c r="B36" s="87"/>
      <c r="E36" s="122"/>
      <c r="F36" s="117"/>
      <c r="G36" s="166"/>
      <c r="H36" s="166"/>
      <c r="I36" s="118"/>
      <c r="J36" s="119"/>
    </row>
    <row r="37" spans="2:10" ht="13.5" customHeight="1">
      <c r="B37" s="87"/>
      <c r="E37" s="122"/>
      <c r="F37" s="120"/>
      <c r="G37" s="160"/>
      <c r="H37" s="161"/>
      <c r="I37" s="121"/>
      <c r="J37" s="119"/>
    </row>
    <row r="38" spans="2:10">
      <c r="B38" s="87"/>
      <c r="E38" s="122"/>
      <c r="F38" s="117"/>
      <c r="G38" s="166"/>
      <c r="H38" s="166"/>
      <c r="I38" s="118"/>
      <c r="J38" s="119"/>
    </row>
    <row r="39" spans="2:10" ht="13.5" customHeight="1">
      <c r="B39" s="87"/>
      <c r="E39" s="122"/>
      <c r="F39" s="120"/>
      <c r="G39" s="160"/>
      <c r="H39" s="161"/>
      <c r="I39" s="121"/>
      <c r="J39" s="119"/>
    </row>
    <row r="40" spans="2:10" ht="14.25" hidden="1" customHeight="1">
      <c r="B40" s="87"/>
      <c r="E40" s="122"/>
      <c r="F40" s="117"/>
      <c r="G40" s="166"/>
      <c r="H40" s="166"/>
      <c r="I40" s="118"/>
      <c r="J40" s="119"/>
    </row>
    <row r="41" spans="2:10" ht="14.25" hidden="1" customHeight="1">
      <c r="B41" s="87"/>
      <c r="E41" s="122"/>
      <c r="F41" s="120"/>
      <c r="G41" s="160"/>
      <c r="H41" s="161"/>
      <c r="I41" s="121"/>
      <c r="J41" s="119"/>
    </row>
    <row r="42" spans="2:10" hidden="1">
      <c r="B42" s="87"/>
      <c r="E42" s="122"/>
      <c r="F42" s="117"/>
      <c r="G42" s="166"/>
      <c r="H42" s="166"/>
      <c r="I42" s="118"/>
      <c r="J42" s="119"/>
    </row>
    <row r="43" spans="2:10">
      <c r="B43" s="87"/>
      <c r="E43" s="122"/>
      <c r="F43" s="120"/>
      <c r="G43" s="160"/>
      <c r="H43" s="161"/>
      <c r="I43" s="121"/>
      <c r="J43" s="119"/>
    </row>
    <row r="44" spans="2:10" ht="9" customHeight="1">
      <c r="B44" s="87"/>
      <c r="E44" s="95"/>
      <c r="F44" s="92"/>
      <c r="G44" s="168"/>
      <c r="H44" s="168"/>
      <c r="I44" s="94"/>
      <c r="J44" s="123"/>
    </row>
    <row r="45" spans="2:10" ht="15" customHeight="1">
      <c r="B45" s="87"/>
      <c r="E45" s="95"/>
      <c r="F45" s="92"/>
      <c r="G45" s="93"/>
      <c r="H45" s="94"/>
      <c r="I45" s="121"/>
      <c r="J45" s="119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9">
        <f>+F18+F20+F22+F24+F26+F28+F30+F32+F34+F36+F38+F40+F42</f>
        <v>2480</v>
      </c>
      <c r="E47" s="170"/>
    </row>
    <row r="48" spans="2:10" ht="17.25" customHeight="1">
      <c r="B48" s="167" t="s">
        <v>104</v>
      </c>
      <c r="C48" s="167"/>
      <c r="D48" s="167"/>
      <c r="E48" s="167"/>
    </row>
    <row r="49" spans="2:5" ht="21.75" customHeight="1">
      <c r="B49" s="167"/>
      <c r="C49" s="167"/>
      <c r="D49" s="167"/>
      <c r="E49" s="167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3" t="s">
        <v>162</v>
      </c>
      <c r="C1" s="173"/>
      <c r="D1" s="173"/>
      <c r="E1" s="173"/>
      <c r="F1" s="133" t="str">
        <f>+Инвойс!F1</f>
        <v xml:space="preserve"> 07.09.2025г.</v>
      </c>
      <c r="G1" s="133"/>
      <c r="H1" s="13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0" t="str">
        <f>+Инвойс!C2</f>
        <v>к контракту № EG-AZ-01 от 05.09.2025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«Аспект»</v>
      </c>
      <c r="H5" s="137"/>
      <c r="I5" s="137"/>
      <c r="J5" s="137"/>
      <c r="K5" s="137"/>
      <c r="L5" s="137"/>
      <c r="M5" s="137"/>
    </row>
    <row r="6" spans="1:15" ht="1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107497, Россия, г. Москва, вн.тер.г. муниципальный </v>
      </c>
      <c r="H6" s="171"/>
      <c r="I6" s="171"/>
      <c r="J6" s="171"/>
      <c r="K6" s="171"/>
      <c r="L6" s="171"/>
      <c r="M6" s="171"/>
      <c r="N6" s="4"/>
    </row>
    <row r="7" spans="1:15" ht="1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 xml:space="preserve">округ Гольяново, 2-й Иртышский пр-в, д. 4Б, стр. 3 </v>
      </c>
      <c r="H7" s="171"/>
      <c r="I7" s="171"/>
      <c r="J7" s="171"/>
      <c r="K7" s="171"/>
      <c r="L7" s="171"/>
      <c r="M7" s="171"/>
    </row>
    <row r="8" spans="1:15" ht="15" customHeight="1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9718239835  / 771801001</v>
      </c>
      <c r="H8" s="171"/>
      <c r="I8" s="171"/>
      <c r="J8" s="171"/>
      <c r="K8" s="171"/>
      <c r="L8" s="171"/>
      <c r="M8" s="171"/>
    </row>
    <row r="9" spans="1:15" ht="1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 xml:space="preserve">Валютный счет доллары  40702840100000005715 </v>
      </c>
      <c r="H9" s="171"/>
      <c r="I9" s="171"/>
      <c r="J9" s="171"/>
      <c r="K9" s="171"/>
      <c r="L9" s="171"/>
      <c r="M9" s="171"/>
      <c r="O9" s="7"/>
    </row>
    <row r="10" spans="1:15" ht="1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КБ "Максима"(ООО), г. Москва РФ</v>
      </c>
      <c r="H10" s="171"/>
      <c r="I10" s="171"/>
      <c r="J10" s="171"/>
      <c r="K10" s="171"/>
      <c r="L10" s="171"/>
      <c r="M10" s="171"/>
    </row>
    <row r="11" spans="1:15" ht="1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(SWIFT code: MAXMRUM1XXX)</v>
      </c>
      <c r="H11" s="171"/>
      <c r="I11" s="171"/>
      <c r="J11" s="171"/>
      <c r="K11" s="171"/>
      <c r="L11" s="171"/>
      <c r="M11" s="171"/>
    </row>
    <row r="12" spans="1:15" ht="36" customHeight="1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" customHeight="1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>
      <c r="A22" s="1" t="s">
        <v>124</v>
      </c>
      <c r="C22" s="65"/>
      <c r="F22" s="1"/>
    </row>
    <row r="23" spans="1:17" ht="26.25" hidden="1" customHeight="1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4" t="str">
        <f>+Инвойс!E26</f>
        <v>75X005WA/758369AA</v>
      </c>
      <c r="F26" s="155"/>
      <c r="G26" s="155"/>
      <c r="J26" s="21"/>
    </row>
    <row r="27" spans="1:17" ht="34.5" customHeight="1">
      <c r="A27" s="67" t="s">
        <v>125</v>
      </c>
      <c r="C27" s="18"/>
      <c r="E27" s="22"/>
      <c r="F27" s="22"/>
      <c r="G27" s="22"/>
      <c r="J27" s="21"/>
    </row>
    <row r="28" spans="1:17" ht="24" customHeight="1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2480</v>
      </c>
      <c r="F30" s="115" t="str">
        <f>+Инвойс!F30</f>
        <v>кг</v>
      </c>
      <c r="G30" s="106">
        <f>+Инвойс!G30</f>
        <v>22700</v>
      </c>
      <c r="H30" s="106">
        <f>+Инвойс!H30</f>
        <v>20964</v>
      </c>
      <c r="I30" s="108">
        <f>+Инвойс!I30</f>
        <v>1</v>
      </c>
      <c r="J30" s="13">
        <f>+Инвойс!J30</f>
        <v>20964</v>
      </c>
      <c r="K30" s="12">
        <v>0</v>
      </c>
      <c r="L30" s="12">
        <v>0</v>
      </c>
      <c r="M30" s="13">
        <f>+Инвойс!M30</f>
        <v>20964</v>
      </c>
      <c r="O30" s="100"/>
      <c r="Q30" s="100"/>
    </row>
    <row r="31" spans="1:17" ht="14.25">
      <c r="A31" s="149" t="s">
        <v>0</v>
      </c>
      <c r="B31" s="150"/>
      <c r="C31" s="14"/>
      <c r="D31" s="15"/>
      <c r="E31" s="64">
        <f>SUM(E30:E30)</f>
        <v>2480</v>
      </c>
      <c r="F31" s="15"/>
      <c r="G31" s="64">
        <f>SUM(G30:G30)</f>
        <v>22700</v>
      </c>
      <c r="H31" s="64">
        <f>SUM(H30:H30)</f>
        <v>20964</v>
      </c>
      <c r="I31" s="102"/>
      <c r="J31" s="17">
        <f>SUM(J30:J30)</f>
        <v>20964</v>
      </c>
      <c r="K31" s="16"/>
      <c r="L31" s="16"/>
      <c r="M31" s="17">
        <f>SUM(M30:M30)</f>
        <v>20964</v>
      </c>
      <c r="P31" s="66"/>
    </row>
    <row r="32" spans="1:17" ht="13.5">
      <c r="A32" s="2" t="s">
        <v>17</v>
      </c>
      <c r="B32" s="3"/>
      <c r="C32" s="11"/>
      <c r="D32" s="11"/>
      <c r="E32" s="145" t="str">
        <f>Лист1!B3</f>
        <v>двадцать тысяч девятьсот шестьдесят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>
      <c r="A36" s="130" t="s">
        <v>138</v>
      </c>
      <c r="B36" s="130"/>
      <c r="D36" s="18" t="str">
        <f>+Инвойс!D36</f>
        <v>АБДИЛАКИМОВ А.А</v>
      </c>
      <c r="E36" s="131"/>
      <c r="G36" s="128" t="s">
        <v>127</v>
      </c>
      <c r="H36" s="18" t="str">
        <f>Инвойс!G5</f>
        <v>ООО «Аспект»</v>
      </c>
      <c r="K36" s="132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5" t="s">
        <v>115</v>
      </c>
    </row>
    <row r="3" spans="1:10" ht="51">
      <c r="A3" s="129" t="s">
        <v>126</v>
      </c>
    </row>
    <row r="5" spans="1:10" ht="89.25">
      <c r="A5" s="125" t="s">
        <v>139</v>
      </c>
    </row>
    <row r="6" spans="1:10">
      <c r="E6" s="18"/>
      <c r="J6" s="25"/>
    </row>
    <row r="7" spans="1:10" ht="51">
      <c r="A7" s="125" t="s">
        <v>116</v>
      </c>
    </row>
    <row r="8" spans="1:10">
      <c r="E8" s="18"/>
      <c r="J8" s="25"/>
    </row>
    <row r="9" spans="1:10" ht="51">
      <c r="A9" s="125" t="s">
        <v>117</v>
      </c>
    </row>
    <row r="10" spans="1:10">
      <c r="A10" s="125"/>
      <c r="E10" s="18"/>
      <c r="J10" s="25"/>
    </row>
    <row r="11" spans="1:10" ht="51">
      <c r="A11" s="125" t="s">
        <v>157</v>
      </c>
    </row>
    <row r="12" spans="1:10">
      <c r="E12" s="18"/>
      <c r="J12" s="25"/>
    </row>
    <row r="13" spans="1:10" ht="51">
      <c r="A13" s="125" t="s">
        <v>118</v>
      </c>
    </row>
    <row r="15" spans="1:10" ht="38.25">
      <c r="A15" s="125" t="s">
        <v>119</v>
      </c>
    </row>
    <row r="17" spans="1:1" ht="38.25">
      <c r="A17" s="125" t="s">
        <v>120</v>
      </c>
    </row>
    <row r="19" spans="1:1" ht="38.25">
      <c r="A19" s="127" t="s">
        <v>123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>
      <c r="E2" s="27">
        <f>Инвойс!M31</f>
        <v>20964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двадцать тысяч девятьсот шестьдесят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двадцать тысяч девятьсот шестьдесят четыре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двадцать тысяч девятьсот шестьдесят четыре доллара США,00 центов.</v>
      </c>
    </row>
    <row r="6" spans="1:19" s="36" customFormat="1">
      <c r="A6" s="38" t="s">
        <v>37</v>
      </c>
      <c r="B6" s="36" t="str">
        <f>CONCATENATE(A8,A9,A10,A11,A12,B8,B9,C9)</f>
        <v>двадцать тысяч девятьсот шестьдесят четыре доллара США,00 центов. (в т.ч. НДС - 357,79)</v>
      </c>
      <c r="C6"/>
      <c r="D6"/>
      <c r="E6"/>
      <c r="H6" s="39"/>
    </row>
    <row r="7" spans="1:19">
      <c r="D7" s="33"/>
      <c r="H7" s="179" t="s">
        <v>38</v>
      </c>
      <c r="I7" s="179"/>
      <c r="J7" s="179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224</v>
      </c>
      <c r="G8" s="42"/>
      <c r="H8" s="179"/>
      <c r="I8" s="179"/>
      <c r="J8" s="179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79"/>
      <c r="I9" s="179"/>
      <c r="J9" s="179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�</v>
      </c>
      <c r="G10" s="42"/>
      <c r="H10" s="179"/>
      <c r="I10" s="179"/>
      <c r="J10" s="179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девятьсот шестьдесят четыре доллара США,</v>
      </c>
      <c r="D11" s="47"/>
      <c r="E11" s="48"/>
      <c r="H11" s="179"/>
      <c r="I11" s="179"/>
      <c r="J11" s="179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20964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>
      <c r="A28" s="54">
        <f>TRUNC(A29/10)</f>
        <v>2096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>
      <c r="A29" s="54">
        <f>E13</f>
        <v>20964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964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5" t="s">
        <v>85</v>
      </c>
      <c r="B100" s="175"/>
      <c r="C100" s="175"/>
      <c r="D100" s="175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2025-09-07T17:29:32Z</cp:lastPrinted>
  <dcterms:created xsi:type="dcterms:W3CDTF">1996-10-14T23:33:28Z</dcterms:created>
  <dcterms:modified xsi:type="dcterms:W3CDTF">2025-09-07T17:29:36Z</dcterms:modified>
</cp:coreProperties>
</file>