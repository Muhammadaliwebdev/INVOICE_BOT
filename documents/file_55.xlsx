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0457554-58B3-49B9-BDAE-1C7E848B85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<sst xmlns="http://schemas.openxmlformats.org/spreadsheetml/2006/main" count="207" uniqueCount="162">
  <si>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</si>
  <si>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</si>
  <si>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</si>
  <si>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</si>
  <si>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</si>
  <si>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</si>
  <si>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</si>
  <si>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</si>
  <si>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</si>
  <si>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</si>
  <si>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</si>
  <si>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</si>
  <si>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</si>
  <si>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</si>
  <si>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</si>
  <si>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</si>
  <si>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</si>
  <si>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</si>
  <si>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</si>
  <si>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</si>
  <si>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</si>
  <si>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</si>
  <si>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</si>
  <si>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</si>
  <si>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</si>
  <si>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</si>
  <si>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</si>
  <si>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</si>
  <si>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</si>
  <si>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</si>
  <si>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</si>
  <si>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</si>
  <si>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</si>
  <si>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</si>
  <si>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</si>
  <si>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</si>
  <si>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</si>
  <si>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</si>
  <si>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</si>
  <si>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</si>
  <si>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</si>
  <si>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</si>
  <si>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</si>
  <si>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</si>
  <si>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</si>
  <si>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</si>
  <si>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</si>
  <si>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</si>
  <si>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</si>
  <si>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</si>
  <si>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</si>
  <si>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</si>
  <si>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</si>
  <si>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</si>
  <si>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</si>
  <si>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</si>
  <si>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</si>
  <si>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</si>
  <si>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</si>
  <si>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</si>
  <si>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</si>
  <si>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</si>
  <si>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</si>
  <si>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</si>
  <si>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</si>
  <si>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</si>
  <si>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</si>
  <si>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</si>
  <si>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</si>
  <si>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</si>
  <si>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</si>
  <si>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</si>
  <si>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</si>
  <si>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</si>
  <si>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</si>
  <si>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</si>
  <si>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</si>
  <si>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</si>
  <si>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</si>
  <si>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</si>
  <si>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</si>
  <si>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</si>
  <si>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</si>
  <si>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</si>
  <si>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</si>
  <si>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</si>
  <si>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</si>
  <si>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</si>
  <si>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</si>
  <si>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</si>
  <si>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</si>
  <si>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</si>
  <si>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</si>
  <si>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</si>
  <si>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</si>
  <si>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</si>
  <si>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</si>
  <si>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</si>
  <si>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</si>
  <si>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</si>
  <si>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</si>
  <si>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</si>
  <si>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</si>
  <si>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</si>
  <si>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</si>
  <si>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</si>
  <si>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</si>
  <si>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</si>
  <si>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</si>
  <si>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</si>
  <si>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</si>
  <si>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</si>
  <si>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</si>
  <si>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</si>
  <si>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</si>
  <si>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</si>
  <si>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</si>
  <si>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</si>
  <si>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</si>
  <si>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</si>
  <si>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</si>
  <si>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</si>
  <si>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</si>
  <si>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</si>
  <si>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</si>
  <si>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</si>
  <si>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</si>
  <si>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</si>
  <si>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</si>
  <si>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</si>
  <si>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</si>
  <si>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</si>
  <si>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</si>
  <si>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</si>
  <si>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</si>
  <si>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</si>
  <si>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</si>
  <si>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</si>
  <si>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</si>
  <si>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</si>
  <si>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</si>
  <si>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</si>
  <si>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</si>
  <si>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</si>
  <si>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</si>
  <si>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</si>
  <si>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</si>
  <si>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</si>
  <si>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</si>
  <si>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</si>
  <si>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</si>
  <si>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</si>
  <si>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</si>
  <si>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</si>
  <si>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</si>
  <si>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</si>
  <si>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</si>
  <si>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</si>
  <si>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ИНВОЙС № MEG-O-8 от </t>
  </si>
  <si>
    <t xml:space="preserve"> 26.08.2025г.</t>
  </si>
  <si>
    <t>30622NBA/306551AA</t>
  </si>
  <si>
    <t xml:space="preserve">СПЕЦИФИКАЦИЯ № MEG-O-8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</si>
</sst>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36</xdr:row>
      <xdr:rowOff>78441</xdr:rowOff>
    </xdr:from>
    <xdr:to>
      <xdr:col>9</xdr:col>
      <xdr:colOff>589990</xdr:colOff>
      <xdr:row>48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F25" sqref="F2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158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138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130</v>
      </c>
      <c r="B5" s="154"/>
      <c r="C5" s="154"/>
      <c r="D5" s="154"/>
      <c r="E5" s="154"/>
      <c r="F5" s="6"/>
      <c r="G5" s="147" t="s">
        <v>139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131</v>
      </c>
      <c r="B6" s="125"/>
      <c r="C6" s="125"/>
      <c r="D6" s="125"/>
      <c r="E6" s="125"/>
      <c r="F6" s="7"/>
      <c r="G6" s="142" t="s">
        <v>140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136</v>
      </c>
      <c r="B7" s="125"/>
      <c r="C7" s="125"/>
      <c r="D7" s="125"/>
      <c r="E7" s="125"/>
      <c r="F7" s="63"/>
      <c r="G7" s="142" t="s">
        <v>141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134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130</v>
      </c>
      <c r="B14" s="154"/>
      <c r="C14" s="154"/>
      <c r="D14" s="154"/>
      <c r="E14" s="154"/>
      <c r="F14" s="6"/>
      <c r="G14" s="147" t="s">
        <v>139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131</v>
      </c>
      <c r="B15" s="125"/>
      <c r="C15" s="125"/>
      <c r="D15" s="125"/>
      <c r="E15" s="125"/>
      <c r="F15" s="7"/>
      <c r="G15" s="142" t="s">
        <v>140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136</v>
      </c>
      <c r="B16" s="125"/>
      <c r="C16" s="125"/>
      <c r="D16" s="125"/>
      <c r="E16" s="125"/>
      <c r="F16" s="63"/>
      <c r="G16" s="142" t="s">
        <v>141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134</v>
      </c>
      <c r="B19" s="125"/>
      <c r="C19" s="125"/>
      <c r="D19" s="125"/>
      <c r="E19" s="125"/>
      <c r="F19" s="7"/>
      <c r="G19" s="7" t="s">
        <v>144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116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151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160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1000</v>
      </c>
      <c r="F30" s="110" t="s">
        <v>27</v>
      </c>
      <c r="G30" s="106">
        <v>22800</v>
      </c>
      <c r="H30" s="106">
        <v>21000</v>
      </c>
      <c r="I30" s="108">
        <v>0.25</v>
      </c>
      <c r="J30" s="13">
        <f t="shared" ref="J30" si="0">H30*I30</f>
        <v>5250</v>
      </c>
      <c r="K30" s="12">
        <v>0</v>
      </c>
      <c r="L30" s="12">
        <v>0</v>
      </c>
      <c r="M30" s="13">
        <f t="shared" ref="M30" si="1">J30</f>
        <v>5250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22800</v>
      </c>
      <c r="H31" s="64">
        <f>SUM(H30:H30)</f>
        <v>21000</v>
      </c>
      <c r="I31" s="102"/>
      <c r="J31" s="17">
        <f>SUM(J30:J30)</f>
        <v>5250</v>
      </c>
      <c r="K31" s="16"/>
      <c r="L31" s="16"/>
      <c r="M31" s="17">
        <f>SUM(M30:M30)</f>
        <v>5250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пятьдесят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135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G34" sqref="G3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MEG-O-8 от  26.08.2025г.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59" t="str">
        <f>+C22</f>
        <v xml:space="preserve"> 26.08.2025г.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30622NBA/306551AA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29" sqref="G29:H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30622NBA/306551AA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26.08.2025г.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MEG-O-8 от  26.08.2025г.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22800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1000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52" t="str">
        <f>+Инвойс!F1</f>
        <v xml:space="preserve"> 26.08.2025г.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GR-MG-01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«MEGA EXIMPORT»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Ферганская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Кува Район, Гулобод МФЙ, Сарбоз улитца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 xml:space="preserve">Р/с N 20208840607249418001   (USD)    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 xml:space="preserve">в АКБ «KAPITAL BANK» МФО: 01088 Swift: KACHUZ22  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 xml:space="preserve"> ИНН: 312169146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/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«MEGA EXIMPORT»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Ферганская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Кува Район, Гулобод МФЙ, Сарбоз улитца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 xml:space="preserve">Р/с N 20208840607249418001   (USD)    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 xml:space="preserve">в АКБ «KAPITAL BANK» МФО: 01088 Swift: KACHUZ22  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 xml:space="preserve"> ИНН: 312169146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/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30622NBA/306551AA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30.6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22800</v>
      </c>
      <c r="H30" s="106">
        <f>+Инвойс!H30</f>
        <v>21000</v>
      </c>
      <c r="I30" s="108">
        <f>+Инвойс!I30</f>
        <v>0.25</v>
      </c>
      <c r="J30" s="13">
        <f>+Инвойс!J30</f>
        <v>5250</v>
      </c>
      <c r="K30" s="12">
        <v>0</v>
      </c>
      <c r="L30" s="12">
        <v>0</v>
      </c>
      <c r="M30" s="13">
        <f>+Инвойс!M30</f>
        <v>5250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22800</v>
      </c>
      <c r="H31" s="64">
        <f>SUM(H30:H30)</f>
        <v>21000</v>
      </c>
      <c r="I31" s="102"/>
      <c r="J31" s="17">
        <f>SUM(J30:J30)</f>
        <v>5250</v>
      </c>
      <c r="K31" s="16"/>
      <c r="L31" s="16"/>
      <c r="M31" s="17">
        <f>SUM(M30:M30)</f>
        <v>5250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пятьдесят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137</v>
      </c>
      <c r="B36" s="132"/>
      <c r="D36" s="18" t="str">
        <f>+Инвойс!D36</f>
        <v>Эргашев О.Р</v>
      </c>
      <c r="E36" s="133"/>
      <c r="G36" s="130" t="s">
        <v>128</v>
      </c>
      <c r="H36" s="18" t="str">
        <f>Инвойс!G5</f>
        <v>ООО «ГРИН ВОРЛД»</v>
      </c>
      <c r="K36" s="134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150</v>
      </c>
    </row>
    <row r="7" spans="1:10" ht="52.8" x14ac:dyDescent="0.25">
      <c r="A7" s="127" t="s">
        <v>116</v>
      </c>
    </row>
    <row r="8" spans="1:10" x14ac:dyDescent="0.25">
      <c r="E8" s="18" t="s">
        <v>151</v>
      </c>
      <c r="J8" s="25" t="s">
        <v>152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153</v>
      </c>
      <c r="J10" s="25" t="s">
        <v>154</v>
      </c>
    </row>
    <row r="11" spans="1:10" ht="52.8" x14ac:dyDescent="0.25">
      <c r="A11" s="127" t="s">
        <v>155</v>
      </c>
    </row>
    <row r="12" spans="1:10" x14ac:dyDescent="0.25">
      <c r="E12" s="18" t="s">
        <v>156</v>
      </c>
      <c r="J12" s="25" t="s">
        <v>157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5250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пятьдесят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45895</v>
      </c>
      <c r="O3" s="178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пятьдесят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26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пятьдесят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пятьдесят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45895</v>
      </c>
    </row>
    <row r="13" spans="1:19" s="43" customFormat="1" x14ac:dyDescent="0.25">
      <c r="A13" s="49"/>
      <c r="D13" s="51"/>
      <c r="E13" s="52">
        <f>TRUNC(E2)</f>
        <v>5250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5250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2025-08-26T05:50:02Z</cp:lastPrinted>
  <dcterms:created xsi:type="dcterms:W3CDTF">1996-10-14T23:33:28Z</dcterms:created>
  <dcterms:modified xsi:type="dcterms:W3CDTF">2025-08-26T05:50:10Z</dcterms:modified>
</cp:coreProperties>
</file>