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1929893-CC64-4C86-A3DB-03E5636642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<sst xmlns="http://schemas.openxmlformats.org/spreadsheetml/2006/main" count="201" uniqueCount="163">
  <si>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</si>
  <si>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</si>
  <si>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</si>
  <si>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</si>
  <si>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</si>
  <si>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</si>
  <si>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</si>
  <si>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</si>
  <si>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</si>
  <si>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</si>
  <si>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</si>
  <si>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</si>
  <si>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</si>
  <si>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</si>
  <si>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</si>
  <si>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</si>
  <si>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</si>
  <si>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</si>
  <si>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</si>
  <si>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</si>
  <si>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</si>
  <si>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</si>
  <si>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</si>
  <si>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</si>
  <si>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</si>
  <si>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</si>
  <si>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</si>
  <si>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</si>
  <si>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</si>
  <si>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</si>
  <si>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</si>
  <si>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</si>
  <si>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</si>
  <si>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</si>
  <si>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</si>
  <si>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</si>
  <si>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</si>
  <si>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</si>
  <si>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</si>
  <si>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</si>
  <si>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</si>
  <si>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</si>
  <si>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</si>
  <si>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</si>
  <si>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</si>
  <si>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</si>
  <si>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</si>
  <si>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</si>
  <si>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</si>
  <si>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</si>
  <si>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</si>
  <si>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</si>
  <si>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</si>
  <si>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</si>
  <si>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</si>
  <si>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</si>
  <si>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</si>
  <si>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</si>
  <si>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</si>
  <si>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</si>
  <si>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</si>
  <si>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</si>
  <si>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</si>
  <si>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</si>
  <si>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</si>
  <si>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</si>
  <si>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</si>
  <si>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</si>
  <si>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</si>
  <si>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</si>
  <si>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</si>
  <si>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</si>
  <si>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</si>
  <si>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</si>
  <si>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</si>
  <si>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</si>
  <si>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</si>
  <si>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</si>
  <si>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</si>
  <si>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</si>
  <si>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</si>
  <si>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</si>
  <si>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</si>
  <si>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</si>
  <si>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</si>
  <si>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</si>
  <si>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</si>
  <si>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</si>
  <si>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</si>
  <si>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</si>
  <si>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</si>
  <si>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</si>
  <si>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</si>
  <si>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</si>
  <si>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</si>
  <si>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</si>
  <si>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</si>
  <si>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</si>
  <si>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</si>
  <si>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</si>
  <si>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</si>
  <si>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</si>
  <si>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</si>
  <si>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</si>
  <si>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</si>
  <si>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</si>
  <si>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</si>
  <si>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</si>
  <si>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</si>
  <si>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</si>
  <si>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</si>
  <si>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</si>
  <si>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</si>
  <si>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</si>
  <si>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</si>
  <si>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</si>
  <si>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</si>
  <si>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</si>
  <si>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</si>
  <si>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</si>
  <si>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</si>
  <si>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</si>
  <si>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</si>
  <si>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</si>
  <si>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</si>
  <si>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</si>
  <si>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</si>
  <si>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</si>
  <si>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</si>
  <si>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</si>
  <si>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</si>
  <si>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</si>
  <si>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</si>
  <si>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</si>
  <si>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</si>
  <si>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</si>
  <si>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</si>
  <si>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</si>
  <si>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</si>
  <si>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</si>
  <si>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</si>
  <si>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</si>
  <si>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</si>
  <si>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</si>
  <si>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</si>
  <si>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</si>
  <si>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</si>
  <si>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</si>
  <si>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</si>
  <si>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</si>
  <si>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</si>
  <si>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</si>
  <si>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</si>
  <si>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</si>
  <si>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</si>
  <si>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</si>
  <si>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</si>
  <si>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</si>
  <si>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</si>
  <si>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BEZ-A-64 от </t>
  </si>
  <si>
    <t xml:space="preserve"> 11.08.2025г.</t>
  </si>
  <si>
    <t>80N311RA/803480BA</t>
  </si>
  <si>
    <t xml:space="preserve">СПЕЦИФИКАЦИЯ № BEZ-A-64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</si>
</sst>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6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0" t="s">
        <v>159</v>
      </c>
      <c r="D1" s="150"/>
      <c r="E1" s="150"/>
      <c r="F1" s="149" t="s">
        <v>160</v>
      </c>
      <c r="G1" s="149"/>
      <c r="H1" s="149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3" t="s">
        <v>149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5">
      <c r="A5" s="151" t="s">
        <v>150</v>
      </c>
      <c r="B5" s="151"/>
      <c r="C5" s="151"/>
      <c r="D5" s="151"/>
      <c r="E5" s="151"/>
      <c r="F5" s="6"/>
      <c r="G5" s="144" t="s">
        <v>139</v>
      </c>
      <c r="H5" s="144"/>
      <c r="I5" s="144"/>
      <c r="J5" s="144"/>
      <c r="K5" s="144"/>
      <c r="L5" s="144"/>
      <c r="M5" s="144"/>
    </row>
    <row r="6" spans="1:15" ht="13.8" x14ac:dyDescent="0.25">
      <c r="A6" s="125" t="s">
        <v>151</v>
      </c>
      <c r="B6" s="125"/>
      <c r="C6" s="125"/>
      <c r="D6" s="125"/>
      <c r="E6" s="125"/>
      <c r="F6" s="7"/>
      <c r="G6" s="139" t="s">
        <v>140</v>
      </c>
      <c r="H6" s="139"/>
      <c r="I6" s="139"/>
      <c r="J6" s="139"/>
      <c r="K6" s="139"/>
      <c r="L6" s="139"/>
      <c r="M6" s="139"/>
      <c r="N6" s="4"/>
    </row>
    <row r="7" spans="1:15" ht="13.8" x14ac:dyDescent="0.25">
      <c r="A7" s="125" t="s">
        <v>152</v>
      </c>
      <c r="B7" s="125"/>
      <c r="C7" s="125"/>
      <c r="D7" s="125"/>
      <c r="E7" s="125"/>
      <c r="F7" s="63"/>
      <c r="G7" s="139" t="s">
        <v>141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154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155</v>
      </c>
      <c r="B10" s="125"/>
      <c r="C10" s="125"/>
      <c r="D10" s="125"/>
      <c r="E10" s="125"/>
      <c r="F10" s="7"/>
      <c r="G10" s="7" t="s">
        <v>144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156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3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51" t="s">
        <v>150</v>
      </c>
      <c r="B14" s="151"/>
      <c r="C14" s="151"/>
      <c r="D14" s="151"/>
      <c r="E14" s="151"/>
      <c r="F14" s="6"/>
      <c r="G14" s="144" t="s">
        <v>125</v>
      </c>
      <c r="H14" s="144"/>
      <c r="I14" s="144"/>
      <c r="J14" s="144"/>
      <c r="K14" s="144"/>
      <c r="L14" s="144"/>
      <c r="M14" s="144"/>
    </row>
    <row r="15" spans="1:15" ht="13.95" customHeight="1" x14ac:dyDescent="0.25">
      <c r="A15" s="125" t="s">
        <v>151</v>
      </c>
      <c r="B15" s="125"/>
      <c r="C15" s="125"/>
      <c r="D15" s="125"/>
      <c r="E15" s="125"/>
      <c r="F15" s="7"/>
      <c r="G15" s="139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152</v>
      </c>
      <c r="B16" s="125"/>
      <c r="C16" s="125"/>
      <c r="D16" s="125"/>
      <c r="E16" s="125"/>
      <c r="F16" s="63"/>
      <c r="G16" s="139" t="s">
        <v>127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154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155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156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6" t="s">
        <v>137</v>
      </c>
      <c r="D23" s="136"/>
      <c r="E23" s="136"/>
      <c r="F23" s="136"/>
      <c r="G23" s="136"/>
      <c r="H23" s="136"/>
      <c r="I23" s="136"/>
      <c r="J23" s="136"/>
      <c r="K23" s="136"/>
      <c r="L23" s="136"/>
      <c r="M23" s="136"/>
    </row>
    <row r="24" spans="1:17" ht="15.6" x14ac:dyDescent="0.3">
      <c r="A24" s="20" t="s">
        <v>22</v>
      </c>
      <c r="C24" s="18" t="s">
        <v>138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7" t="s">
        <v>161</v>
      </c>
      <c r="F26" s="138"/>
      <c r="G26" s="138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1.8" x14ac:dyDescent="0.25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950</v>
      </c>
      <c r="F30" s="110" t="s">
        <v>27</v>
      </c>
      <c r="G30" s="106">
        <v>23000</v>
      </c>
      <c r="H30" s="106">
        <v>21290</v>
      </c>
      <c r="I30" s="108">
        <v>0.2</v>
      </c>
      <c r="J30" s="13">
        <f t="shared" ref="J30" si="0">H30*I30</f>
        <v>4258</v>
      </c>
      <c r="K30" s="12">
        <v>0</v>
      </c>
      <c r="L30" s="12">
        <v>0</v>
      </c>
      <c r="M30" s="13">
        <f t="shared" ref="M30" si="1">J30</f>
        <v>4258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950</v>
      </c>
      <c r="F31" s="15"/>
      <c r="G31" s="64">
        <f>SUM(G30:G30)</f>
        <v>23000</v>
      </c>
      <c r="H31" s="64">
        <f>SUM(H30:H30)</f>
        <v>21290</v>
      </c>
      <c r="I31" s="102"/>
      <c r="J31" s="17">
        <f>SUM(J30:J30)</f>
        <v>4258</v>
      </c>
      <c r="K31" s="16"/>
      <c r="L31" s="16"/>
      <c r="M31" s="17">
        <f>SUM(M30:M30)</f>
        <v>4258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Четыре тысячи двести пятьдесят восемь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J24" sqref="J24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BEZ-A-64 от  11.08.2025г.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11.08.2025г.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80N311RA/803480BA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0" zoomScaleNormal="100" workbookViewId="0">
      <selection activeCell="L27" sqref="L2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5" t="s">
        <v>96</v>
      </c>
      <c r="C2" s="165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6" t="str">
        <f>+Инвойс!E26</f>
        <v>80N311RA/803480BA</v>
      </c>
      <c r="C14" s="166"/>
      <c r="D14" s="166"/>
      <c r="E14" s="166"/>
      <c r="F14" s="166"/>
      <c r="G14" s="166"/>
      <c r="H14" s="167" t="s">
        <v>108</v>
      </c>
      <c r="I14" s="167"/>
      <c r="J14" s="88" t="str">
        <f>+Инвойс!F1</f>
        <v xml:space="preserve"> 11.08.2025г.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8" t="str">
        <f>+CMR!B24</f>
        <v>ИНВОЙС № BEZ-A-64 от  11.08.2025г.</v>
      </c>
      <c r="I15" s="168"/>
      <c r="J15" s="168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950</v>
      </c>
      <c r="G18" s="160" t="str">
        <f>+CMR!F30</f>
        <v>Дыни свежие</v>
      </c>
      <c r="H18" s="160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0"/>
      <c r="H20" s="160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0"/>
      <c r="H22" s="160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0"/>
      <c r="H24" s="160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0"/>
      <c r="H26" s="160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0"/>
      <c r="H28" s="160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0"/>
      <c r="H30" s="160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0"/>
      <c r="H32" s="160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0"/>
      <c r="H34" s="160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0"/>
      <c r="H36" s="160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0"/>
      <c r="H38" s="160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0"/>
      <c r="H40" s="160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0"/>
      <c r="H42" s="160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2"/>
      <c r="H44" s="162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3">
        <f>+F18+F20+F22+F24+F26+F28+F30+F32+F34+F36+F38+F40+F42</f>
        <v>950</v>
      </c>
      <c r="E47" s="164"/>
    </row>
    <row r="48" spans="2:10" ht="17.25" customHeight="1" x14ac:dyDescent="0.3">
      <c r="B48" s="161" t="s">
        <v>105</v>
      </c>
      <c r="C48" s="161"/>
      <c r="D48" s="161"/>
      <c r="E48" s="161"/>
    </row>
    <row r="49" spans="2:5" ht="21.75" customHeight="1" x14ac:dyDescent="0.3">
      <c r="B49" s="161"/>
      <c r="C49" s="161"/>
      <c r="D49" s="161"/>
      <c r="E49" s="161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2"/>
  <sheetViews>
    <sheetView topLeftCell="A4" zoomScale="85" zoomScaleNormal="85" workbookViewId="0">
      <selection activeCell="S27" sqref="S27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69" t="s">
        <v>162</v>
      </c>
      <c r="C1" s="169"/>
      <c r="D1" s="169"/>
      <c r="E1" s="169"/>
      <c r="F1" s="149" t="str">
        <f>+Инвойс!F1</f>
        <v xml:space="preserve"> 11.08.2025г.</v>
      </c>
      <c r="G1" s="149"/>
      <c r="H1" s="149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3" t="str">
        <f>+Инвойс!C2</f>
        <v>к контракту № EX1607 от 16.07.2025 года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5">
      <c r="A5" s="151" t="str">
        <f>+Инвойс!A5</f>
        <v>OOO “BMB EXIM”</v>
      </c>
      <c r="B5" s="151"/>
      <c r="C5" s="151"/>
      <c r="D5" s="151"/>
      <c r="E5" s="151"/>
      <c r="F5" s="6"/>
      <c r="G5" s="144" t="str">
        <f>+Инвойс!G5</f>
        <v>ООО ТД «РЕСУРС»</v>
      </c>
      <c r="H5" s="144"/>
      <c r="I5" s="144"/>
      <c r="J5" s="144"/>
      <c r="K5" s="144"/>
      <c r="L5" s="144"/>
      <c r="M5" s="144"/>
    </row>
    <row r="6" spans="1:15" ht="13.8" x14ac:dyDescent="0.25">
      <c r="A6" s="172" t="str">
        <f>+Инвойс!A6</f>
        <v>Республика Узбекистан, Джизакская область,</v>
      </c>
      <c r="B6" s="172"/>
      <c r="C6" s="172"/>
      <c r="D6" s="172"/>
      <c r="E6" s="172"/>
      <c r="F6" s="7"/>
      <c r="G6" s="170" t="str">
        <f>+Инвойс!G6</f>
        <v xml:space="preserve">125362, Город Москва, вн.тер.г. муниципальный округ </v>
      </c>
      <c r="H6" s="170"/>
      <c r="I6" s="170"/>
      <c r="J6" s="170"/>
      <c r="K6" s="170"/>
      <c r="L6" s="170"/>
      <c r="M6" s="170"/>
      <c r="N6" s="4"/>
    </row>
    <row r="7" spans="1:15" ht="13.8" x14ac:dyDescent="0.25">
      <c r="A7" s="172" t="str">
        <f>+Инвойс!A7</f>
        <v>Шароф Рашидовский район, Токчилик МФЙ, ул Мустакиллик дом 92а</v>
      </c>
      <c r="B7" s="172"/>
      <c r="C7" s="172"/>
      <c r="D7" s="172"/>
      <c r="E7" s="172"/>
      <c r="F7" s="63"/>
      <c r="G7" s="170" t="str">
        <f>+Инвойс!G7</f>
        <v xml:space="preserve">Южное Тушино, ул Свободы, д. 35, стр. 43, помещ. 92/3 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2" t="str">
        <f>+Инвойс!A8</f>
        <v>Р/с N 20208840905433267001   (USD)</v>
      </c>
      <c r="B8" s="172"/>
      <c r="C8" s="172"/>
      <c r="D8" s="172"/>
      <c r="E8" s="172"/>
      <c r="F8" s="63"/>
      <c r="G8" s="170" t="str">
        <f>+Инвойс!G8</f>
        <v>Банк: Азия-Инвест Банк (АО) ИНН: 9705116064 КПП: 770501001</v>
      </c>
      <c r="H8" s="170"/>
      <c r="I8" s="170"/>
      <c r="J8" s="170"/>
      <c r="K8" s="170"/>
      <c r="L8" s="170"/>
      <c r="M8" s="170"/>
    </row>
    <row r="9" spans="1:15" ht="13.8" x14ac:dyDescent="0.25">
      <c r="A9" s="172" t="str">
        <f>+Инвойс!A9</f>
        <v xml:space="preserve">в “Узсаноаткурилиш” Банк операционный </v>
      </c>
      <c r="B9" s="172"/>
      <c r="C9" s="172"/>
      <c r="D9" s="172"/>
      <c r="E9" s="172"/>
      <c r="F9" s="7"/>
      <c r="G9" s="170" t="str">
        <f>+Инвойс!G9</f>
        <v xml:space="preserve">Р/Счет: 40702840100000019384 ; БИК:  044525234 </v>
      </c>
      <c r="H9" s="170"/>
      <c r="I9" s="170"/>
      <c r="J9" s="170"/>
      <c r="K9" s="170"/>
      <c r="L9" s="170"/>
      <c r="M9" s="170"/>
      <c r="O9" s="7"/>
    </row>
    <row r="10" spans="1:15" ht="13.8" x14ac:dyDescent="0.25">
      <c r="A10" s="172" t="str">
        <f>+Инвойс!A10</f>
        <v>МФО 00440</v>
      </c>
      <c r="B10" s="172"/>
      <c r="C10" s="172"/>
      <c r="D10" s="172"/>
      <c r="E10" s="172"/>
      <c r="F10" s="7"/>
      <c r="G10" s="170" t="str">
        <f>+Инвойс!G10</f>
        <v xml:space="preserve">Корр.счет: 30101810445250000234  </v>
      </c>
      <c r="H10" s="170"/>
      <c r="I10" s="170"/>
      <c r="J10" s="170"/>
      <c r="K10" s="170"/>
      <c r="L10" s="170"/>
      <c r="M10" s="170"/>
    </row>
    <row r="11" spans="1:15" ht="13.8" x14ac:dyDescent="0.25">
      <c r="A11" s="172" t="str">
        <f>+Инвойс!A11</f>
        <v>ИНН: 308822933</v>
      </c>
      <c r="B11" s="172"/>
      <c r="C11" s="172"/>
      <c r="D11" s="172"/>
      <c r="E11" s="172"/>
      <c r="F11" s="7"/>
      <c r="G11" s="170" t="str">
        <f>+Инвойс!G11</f>
        <v>(SWIFT code: ASIJRUMM)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52"/>
      <c r="B12" s="152"/>
      <c r="C12" s="152"/>
      <c r="D12" s="152"/>
      <c r="E12" s="152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3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51" t="str">
        <f>+Инвойс!A14</f>
        <v>OOO “BMB EXIM”</v>
      </c>
      <c r="B14" s="151"/>
      <c r="C14" s="151"/>
      <c r="D14" s="151"/>
      <c r="E14" s="151"/>
      <c r="F14" s="6"/>
      <c r="G14" s="144" t="str">
        <f>+Инвойс!G14</f>
        <v>OOO «Западные ворота»</v>
      </c>
      <c r="H14" s="144"/>
      <c r="I14" s="144"/>
      <c r="J14" s="144"/>
      <c r="K14" s="144"/>
      <c r="L14" s="144"/>
      <c r="M14" s="144"/>
    </row>
    <row r="15" spans="1:15" ht="13.95" customHeight="1" x14ac:dyDescent="0.25">
      <c r="A15" s="172" t="str">
        <f>+Инвойс!A15</f>
        <v>Республика Узбекистан, Джизакская область,</v>
      </c>
      <c r="B15" s="172"/>
      <c r="C15" s="172"/>
      <c r="D15" s="172"/>
      <c r="E15" s="172"/>
      <c r="F15" s="7"/>
      <c r="G15" s="170" t="str">
        <f>+Инвойс!G15</f>
        <v>108811, г. Москва, вн.тер.г. муниципальный округ</v>
      </c>
      <c r="H15" s="170"/>
      <c r="I15" s="170"/>
      <c r="J15" s="170"/>
      <c r="K15" s="170"/>
      <c r="L15" s="170"/>
      <c r="M15" s="170"/>
    </row>
    <row r="16" spans="1:15" ht="13.8" x14ac:dyDescent="0.25">
      <c r="A16" s="172" t="str">
        <f>+Инвойс!A16</f>
        <v>Шароф Рашидовский район, Токчилик МФЙ, ул Мустакиллик дом 92а</v>
      </c>
      <c r="B16" s="172"/>
      <c r="C16" s="172"/>
      <c r="D16" s="172"/>
      <c r="E16" s="172"/>
      <c r="F16" s="63"/>
      <c r="G16" s="170" t="str">
        <f>+Инвойс!G16</f>
        <v>Солнцево, Киевское шоссе, 23-й км, д.8, стр.1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2" t="str">
        <f>+Инвойс!A17</f>
        <v>Р/с N 20208840905433267001   (USD)</v>
      </c>
      <c r="B17" s="172"/>
      <c r="C17" s="172"/>
      <c r="D17" s="172"/>
      <c r="E17" s="172"/>
      <c r="F17" s="63"/>
      <c r="G17" s="170" t="str">
        <f>+Инвойс!G17</f>
        <v xml:space="preserve">р/с USD 40702810501400013450 </v>
      </c>
      <c r="H17" s="170"/>
      <c r="I17" s="170"/>
      <c r="J17" s="170"/>
      <c r="K17" s="170"/>
      <c r="L17" s="170"/>
      <c r="M17" s="170"/>
    </row>
    <row r="18" spans="1:17" ht="13.8" x14ac:dyDescent="0.25">
      <c r="A18" s="172" t="str">
        <f>+Инвойс!A18</f>
        <v xml:space="preserve">в “Узсаноаткурилиш” Банк операционный </v>
      </c>
      <c r="B18" s="172"/>
      <c r="C18" s="172"/>
      <c r="D18" s="172"/>
      <c r="E18" s="172"/>
      <c r="F18" s="7"/>
      <c r="G18" s="170" t="str">
        <f>+Инвойс!G18</f>
        <v>Банк: Филиал АО «АЛЬФА-БАНК»</v>
      </c>
      <c r="H18" s="170"/>
      <c r="I18" s="170"/>
      <c r="J18" s="170"/>
      <c r="K18" s="170"/>
      <c r="L18" s="170"/>
      <c r="M18" s="170"/>
    </row>
    <row r="19" spans="1:17" ht="13.8" x14ac:dyDescent="0.25">
      <c r="A19" s="172" t="str">
        <f>+Инвойс!A19</f>
        <v>МФО 00440</v>
      </c>
      <c r="B19" s="172"/>
      <c r="C19" s="172"/>
      <c r="D19" s="172"/>
      <c r="E19" s="172"/>
      <c r="F19" s="7"/>
      <c r="G19" s="170" t="str">
        <f>+Инвойс!G19</f>
        <v>к/с:  30101810200000000593</v>
      </c>
      <c r="H19" s="170"/>
      <c r="I19" s="170"/>
      <c r="J19" s="170"/>
      <c r="K19" s="170"/>
      <c r="L19" s="170"/>
      <c r="M19" s="170"/>
    </row>
    <row r="20" spans="1:17" ht="13.8" x14ac:dyDescent="0.25">
      <c r="A20" s="172" t="str">
        <f>+Инвойс!A20</f>
        <v>ИНН: 308822933</v>
      </c>
      <c r="B20" s="172"/>
      <c r="C20" s="172"/>
      <c r="D20" s="172"/>
      <c r="E20" s="172"/>
      <c r="F20" s="7"/>
      <c r="G20" s="170" t="str">
        <f>+Инвойс!G20</f>
        <v>ИНН/КПП 5004025693/775101001 ОГРН 1135004001802</v>
      </c>
      <c r="H20" s="170"/>
      <c r="I20" s="170"/>
      <c r="J20" s="170"/>
      <c r="K20" s="170"/>
      <c r="L20" s="170"/>
      <c r="M20" s="170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Казыгурт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7" t="str">
        <f>+Инвойс!E26</f>
        <v>80N311RA/803480BA</v>
      </c>
      <c r="F26" s="138"/>
      <c r="G26" s="138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1.8" x14ac:dyDescent="0.25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21.6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950</v>
      </c>
      <c r="F30" s="116" t="str">
        <f>+Инвойс!F30</f>
        <v>кг</v>
      </c>
      <c r="G30" s="106">
        <f>+Инвойс!G30</f>
        <v>23000</v>
      </c>
      <c r="H30" s="106">
        <f>+Инвойс!H30</f>
        <v>21290</v>
      </c>
      <c r="I30" s="108">
        <f>+Инвойс!I30</f>
        <v>0.2</v>
      </c>
      <c r="J30" s="13">
        <f>+Инвойс!J30</f>
        <v>4258</v>
      </c>
      <c r="K30" s="12">
        <v>0</v>
      </c>
      <c r="L30" s="12">
        <v>0</v>
      </c>
      <c r="M30" s="13">
        <f>+Инвойс!M30</f>
        <v>4258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950</v>
      </c>
      <c r="F31" s="15"/>
      <c r="G31" s="64">
        <f>SUM(G30:G30)</f>
        <v>23000</v>
      </c>
      <c r="H31" s="64">
        <f>SUM(H30:H30)</f>
        <v>21290</v>
      </c>
      <c r="I31" s="102"/>
      <c r="J31" s="17">
        <f>SUM(J30:J30)</f>
        <v>4258</v>
      </c>
      <c r="K31" s="16"/>
      <c r="L31" s="16"/>
      <c r="M31" s="17">
        <f>SUM(M30:M30)</f>
        <v>4258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Четыре тысячи двести пятьдесят восемь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158</v>
      </c>
      <c r="B36" s="7"/>
      <c r="D36" s="25" t="s">
        <v>157</v>
      </c>
      <c r="E36" s="24"/>
      <c r="G36" s="129" t="s">
        <v>146</v>
      </c>
      <c r="H36" t="str">
        <f>Инвойс!G5</f>
        <v>ООО ТД «РЕСУРС»</v>
      </c>
      <c r="K36" s="130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4258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пятьдесят восемь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45880</v>
      </c>
      <c r="O3" s="176"/>
      <c r="P3">
        <f ca="1">DAY(N3)</f>
        <v>11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пятьдесят восемь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11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пятьдесят восемь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пятьдесят восемь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пятьдесят восемь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45880</v>
      </c>
    </row>
    <row r="13" spans="1:19" s="43" customFormat="1" x14ac:dyDescent="0.25">
      <c r="A13" s="49"/>
      <c r="D13" s="51"/>
      <c r="E13" s="52">
        <f>TRUNC(E2)</f>
        <v>4258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4258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258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2025-08-11T06:42:21Z</cp:lastPrinted>
  <dcterms:created xsi:type="dcterms:W3CDTF">1996-10-14T23:33:28Z</dcterms:created>
  <dcterms:modified xsi:type="dcterms:W3CDTF">2025-08-11T06:42:31Z</dcterms:modified>
</cp:coreProperties>
</file>