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56C112B-D4D2-4BEE-A22C-48F10167AE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<sst xmlns="http://schemas.openxmlformats.org/spreadsheetml/2006/main" count="207" uniqueCount="161">
  <si>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</si>
  <si>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</si>
  <si>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</si>
  <si>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</si>
  <si>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</si>
  <si>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</si>
  <si>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</si>
  <si>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</si>
  <si>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</si>
  <si>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</si>
  <si>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</si>
  <si>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</si>
  <si>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</si>
  <si>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</si>
  <si>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</si>
  <si>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</si>
  <si>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</si>
  <si>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</si>
  <si>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</si>
  <si>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</si>
  <si>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</si>
  <si>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</si>
  <si>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</si>
  <si>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</si>
  <si>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</si>
  <si>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</si>
  <si>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</si>
  <si>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</si>
  <si>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</si>
  <si>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</si>
  <si>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</si>
  <si>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</si>
  <si>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</si>
  <si>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</si>
  <si>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</si>
  <si>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</si>
  <si>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</si>
  <si>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</si>
  <si>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</si>
  <si>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</si>
  <si>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</si>
  <si>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</si>
  <si>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</si>
  <si>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</si>
  <si>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</si>
  <si>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</si>
  <si>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</si>
  <si>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</si>
  <si>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</si>
  <si>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</si>
  <si>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</si>
  <si>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</si>
  <si>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</si>
  <si>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</si>
  <si>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</si>
  <si>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</si>
  <si>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</si>
  <si>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</si>
  <si>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</si>
  <si>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</si>
  <si>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</si>
  <si>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</si>
  <si>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</si>
  <si>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</si>
  <si>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</si>
  <si>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</si>
  <si>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</si>
  <si>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</si>
  <si>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</si>
  <si>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</si>
  <si>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</si>
  <si>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</si>
  <si>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</si>
  <si>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</si>
  <si>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</si>
  <si>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</si>
  <si>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</si>
  <si>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</si>
  <si>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</si>
  <si>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</si>
  <si>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</si>
  <si>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</si>
  <si>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</si>
  <si>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</si>
  <si>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</si>
  <si>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</si>
  <si>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</si>
  <si>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</si>
  <si>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</si>
  <si>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</si>
  <si>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</si>
  <si>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</si>
  <si>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</si>
  <si>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</si>
  <si>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</si>
  <si>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</si>
  <si>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</si>
  <si>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</si>
  <si>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</si>
  <si>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</si>
  <si>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</si>
  <si>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</si>
  <si>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</si>
  <si>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</si>
  <si>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</si>
  <si>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</si>
  <si>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</si>
  <si>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</si>
  <si>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</si>
  <si>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</si>
  <si>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</si>
  <si>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</si>
  <si>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</si>
  <si>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</si>
  <si>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</si>
  <si>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</si>
  <si>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</si>
  <si>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</si>
  <si>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</si>
  <si>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</si>
  <si>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</si>
  <si>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</si>
  <si>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</si>
  <si>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</si>
  <si>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</si>
  <si>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</si>
  <si>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</si>
  <si>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</si>
  <si>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</si>
  <si>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</si>
  <si>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</si>
  <si>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</si>
  <si>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</si>
  <si>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</si>
  <si>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</si>
  <si>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</si>
  <si>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</si>
  <si>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</si>
  <si>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</si>
  <si>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</si>
  <si>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</si>
  <si>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</si>
  <si>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</si>
  <si>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</si>
  <si>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</si>
  <si>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</si>
  <si>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</si>
  <si>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</si>
  <si>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</si>
  <si>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ILICH</t>
  </si>
  <si>
    <t>YALLAMA</t>
  </si>
  <si>
    <t>DOUT-OTA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</si>
  <si>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</si>
  <si>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</si>
  <si>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</si>
  <si>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</si>
  <si>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</si>
  <si>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MEG-O-70 от </t>
  </si>
  <si>
    <t xml:space="preserve"> 06.09.2025г.</t>
  </si>
  <si>
    <t>30X627CB/301146BA</t>
  </si>
  <si>
    <t xml:space="preserve">СПЕЦИФИКАЦИЯ № MEG-O-70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</si>
</sst>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36</xdr:row>
      <xdr:rowOff>78441</xdr:rowOff>
    </xdr:from>
    <xdr:to>
      <xdr:col>9</xdr:col>
      <xdr:colOff>589990</xdr:colOff>
      <xdr:row>48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157</v>
      </c>
      <c r="D1" s="136"/>
      <c r="E1" s="136"/>
      <c r="F1" s="135" t="s">
        <v>158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136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128</v>
      </c>
      <c r="B5" s="137"/>
      <c r="C5" s="137"/>
      <c r="D5" s="137"/>
      <c r="E5" s="137"/>
      <c r="F5" s="6"/>
      <c r="G5" s="139" t="s">
        <v>137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129</v>
      </c>
      <c r="B6" s="125"/>
      <c r="C6" s="125"/>
      <c r="D6" s="125"/>
      <c r="E6" s="125"/>
      <c r="F6" s="7"/>
      <c r="G6" s="141" t="s">
        <v>138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134</v>
      </c>
      <c r="B7" s="125"/>
      <c r="C7" s="125"/>
      <c r="D7" s="125"/>
      <c r="E7" s="125"/>
      <c r="F7" s="63"/>
      <c r="G7" s="141" t="s">
        <v>139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131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130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132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144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128</v>
      </c>
      <c r="B14" s="137"/>
      <c r="C14" s="137"/>
      <c r="D14" s="137"/>
      <c r="E14" s="137"/>
      <c r="F14" s="6"/>
      <c r="G14" s="139" t="s">
        <v>137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129</v>
      </c>
      <c r="B15" s="125"/>
      <c r="C15" s="125"/>
      <c r="D15" s="125"/>
      <c r="E15" s="125"/>
      <c r="F15" s="7"/>
      <c r="G15" s="141" t="s">
        <v>138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134</v>
      </c>
      <c r="B16" s="125"/>
      <c r="C16" s="125"/>
      <c r="D16" s="125"/>
      <c r="E16" s="125"/>
      <c r="F16" s="63"/>
      <c r="G16" s="141" t="s">
        <v>139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131</v>
      </c>
      <c r="B17" s="8"/>
      <c r="C17" s="8"/>
      <c r="D17" s="8"/>
      <c r="E17" s="8"/>
      <c r="F17" s="63"/>
      <c r="G17" s="7" t="s">
        <v>140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130</v>
      </c>
      <c r="B18" s="8"/>
      <c r="C18" s="8"/>
      <c r="D18" s="8"/>
      <c r="E18" s="8"/>
      <c r="F18" s="7"/>
      <c r="G18" s="7" t="s">
        <v>141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132</v>
      </c>
      <c r="B19" s="125"/>
      <c r="C19" s="125"/>
      <c r="D19" s="125"/>
      <c r="E19" s="125"/>
      <c r="F19" s="7"/>
      <c r="G19" s="7" t="s">
        <v>142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143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144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115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155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159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123</v>
      </c>
      <c r="C30" s="107" t="s">
        <v>124</v>
      </c>
      <c r="D30" s="109" t="s">
        <v>112</v>
      </c>
      <c r="E30" s="101">
        <v>1000</v>
      </c>
      <c r="F30" s="110" t="s">
        <v>27</v>
      </c>
      <c r="G30" s="106">
        <v>22800</v>
      </c>
      <c r="H30" s="106">
        <v>21000</v>
      </c>
      <c r="I30" s="108">
        <v>0.25</v>
      </c>
      <c r="J30" s="13">
        <f t="shared" ref="J30" si="0">H30*I30</f>
        <v>5250</v>
      </c>
      <c r="K30" s="12">
        <v>0</v>
      </c>
      <c r="L30" s="12">
        <v>0</v>
      </c>
      <c r="M30" s="13">
        <f t="shared" ref="M30" si="1">J30</f>
        <v>5250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22800</v>
      </c>
      <c r="H31" s="64">
        <f>SUM(H30:H30)</f>
        <v>21000</v>
      </c>
      <c r="I31" s="102"/>
      <c r="J31" s="17">
        <f>SUM(J30:J30)</f>
        <v>5250</v>
      </c>
      <c r="K31" s="16"/>
      <c r="L31" s="16"/>
      <c r="M31" s="17">
        <f>SUM(M30:M30)</f>
        <v>5250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пятьдесят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133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146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06.09.2025г.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MEG-O-70 от  06.09.2025г.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147</v>
      </c>
      <c r="D49" s="159" t="str">
        <f>+C22</f>
        <v xml:space="preserve"> 06.09.2025г.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30X627CB/301146BA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G32" sqref="G32:H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30X627CB/301146BA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06.09.2025г.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MEG-O-70 от  06.09.2025г.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22800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1000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160</v>
      </c>
      <c r="C1" s="173"/>
      <c r="D1" s="173"/>
      <c r="E1" s="173"/>
      <c r="F1" s="135" t="str">
        <f>+Инвойс!F1</f>
        <v xml:space="preserve"> 06.09.2025г.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GR-MG-01 от 22.08.2025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>ООО «MEGA EXIMPORT»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Ферганская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Кува Район, Гулобод МФЙ, Сарбоз улитца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 xml:space="preserve">Р/с N 20208840607249418001   (USD)    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 xml:space="preserve">в АКБ «KAPITAL BANK» МФО: 01088 Swift: KACHUZ22  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 xml:space="preserve"> ИНН: 312169146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/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>ООО «MEGA EXIMPORT»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Ферганская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Кува Район, Гулобод МФЙ, Сарбоз улитца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 xml:space="preserve">Р/с N 20208840607249418001   (USD)    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 xml:space="preserve">в АКБ «KAPITAL BANK» МФО: 01088 Swift: KACHUZ22  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 xml:space="preserve"> ИНН: 312169146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/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53" t="s">
        <v>113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30X627CB/301146BA</v>
      </c>
      <c r="F26" s="155"/>
      <c r="G26" s="155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4.799999999999997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22800</v>
      </c>
      <c r="H30" s="106">
        <f>+Инвойс!H30</f>
        <v>21000</v>
      </c>
      <c r="I30" s="108">
        <f>+Инвойс!I30</f>
        <v>0.25</v>
      </c>
      <c r="J30" s="13">
        <f>+Инвойс!J30</f>
        <v>5250</v>
      </c>
      <c r="K30" s="12">
        <v>0</v>
      </c>
      <c r="L30" s="12">
        <v>0</v>
      </c>
      <c r="M30" s="13">
        <f>+Инвойс!M30</f>
        <v>5250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22800</v>
      </c>
      <c r="H31" s="64">
        <f>SUM(H30:H30)</f>
        <v>21000</v>
      </c>
      <c r="I31" s="102"/>
      <c r="J31" s="17">
        <f>SUM(J30:J30)</f>
        <v>5250</v>
      </c>
      <c r="K31" s="16"/>
      <c r="L31" s="16"/>
      <c r="M31" s="17">
        <f>SUM(M30:M30)</f>
        <v>5250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пятьдесят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135</v>
      </c>
      <c r="B36" s="132"/>
      <c r="D36" s="18" t="str">
        <f>+Инвойс!D36</f>
        <v>Эргашев О.Р</v>
      </c>
      <c r="E36" s="133"/>
      <c r="G36" s="130" t="s">
        <v>126</v>
      </c>
      <c r="H36" s="18" t="str">
        <f>Инвойс!G5</f>
        <v>ООО «ГРИН ВОРЛД»</v>
      </c>
      <c r="K36" s="134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125</v>
      </c>
    </row>
    <row r="5" spans="1:10" ht="92.4" x14ac:dyDescent="0.25">
      <c r="A5" s="127" t="s">
        <v>153</v>
      </c>
    </row>
    <row r="6" spans="1:10" x14ac:dyDescent="0.25">
      <c r="E6" s="18" t="s">
        <v>154</v>
      </c>
      <c r="J6" s="25" t="s">
        <v>148</v>
      </c>
    </row>
    <row r="7" spans="1:10" ht="52.8" x14ac:dyDescent="0.25">
      <c r="A7" s="127" t="s">
        <v>115</v>
      </c>
    </row>
    <row r="8" spans="1:10" x14ac:dyDescent="0.25">
      <c r="E8" s="18" t="s">
        <v>155</v>
      </c>
      <c r="J8" s="25" t="s">
        <v>149</v>
      </c>
    </row>
    <row r="9" spans="1:10" ht="52.8" x14ac:dyDescent="0.25">
      <c r="A9" s="127" t="s">
        <v>116</v>
      </c>
    </row>
    <row r="10" spans="1:10" x14ac:dyDescent="0.25">
      <c r="A10" s="127"/>
      <c r="E10" s="18" t="s">
        <v>155</v>
      </c>
      <c r="J10" s="25" t="s">
        <v>150</v>
      </c>
    </row>
    <row r="11" spans="1:10" ht="52.8" x14ac:dyDescent="0.25">
      <c r="A11" s="127" t="s">
        <v>152</v>
      </c>
    </row>
    <row r="12" spans="1:10" x14ac:dyDescent="0.25">
      <c r="E12" s="18" t="s">
        <v>156</v>
      </c>
      <c r="J12" s="25" t="s">
        <v>151</v>
      </c>
    </row>
    <row r="13" spans="1:10" ht="52.8" x14ac:dyDescent="0.25">
      <c r="A13" s="127" t="s">
        <v>117</v>
      </c>
    </row>
    <row r="15" spans="1:10" ht="39.6" x14ac:dyDescent="0.25">
      <c r="A15" s="127" t="s">
        <v>118</v>
      </c>
    </row>
    <row r="17" spans="1:1" ht="39.6" x14ac:dyDescent="0.25">
      <c r="A17" s="127" t="s">
        <v>119</v>
      </c>
    </row>
    <row r="19" spans="1:1" ht="39.6" x14ac:dyDescent="0.25">
      <c r="A19" s="129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5250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пятьдесят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45906</v>
      </c>
      <c r="O3" s="177"/>
      <c r="P3">
        <f ca="1">DAY(N3)</f>
        <v>6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пятьдесят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6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пятьдесят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пятьдесят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пятьдесят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45906</v>
      </c>
    </row>
    <row r="13" spans="1:19" s="43" customFormat="1" x14ac:dyDescent="0.25">
      <c r="A13" s="49"/>
      <c r="D13" s="51"/>
      <c r="E13" s="52">
        <f>TRUNC(E2)</f>
        <v>5250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5250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2025-09-06T07:03:46Z</cp:lastPrinted>
  <dcterms:created xsi:type="dcterms:W3CDTF">1996-10-14T23:33:28Z</dcterms:created>
  <dcterms:modified xsi:type="dcterms:W3CDTF">2025-09-06T07:03:53Z</dcterms:modified>
</cp:coreProperties>
</file>