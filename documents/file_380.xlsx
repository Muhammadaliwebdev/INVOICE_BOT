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<sst xmlns="http://schemas.openxmlformats.org/spreadsheetml/2006/main" count="216" uniqueCount="166">
  <si>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</si>
  <si>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</si>
  <si>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</si>
  <si>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</si>
  <si>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</si>
  <si>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</si>
  <si>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</si>
  <si>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</si>
  <si>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</si>
  <si>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</si>
  <si>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</si>
  <si>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</si>
  <si>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</si>
  <si>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</si>
  <si>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</si>
  <si>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</si>
  <si>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</si>
  <si>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</si>
  <si>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</si>
  <si>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</si>
  <si>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</si>
  <si>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</si>
  <si>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</si>
  <si>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</si>
  <si>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</si>
  <si>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</si>
  <si>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</si>
  <si>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</si>
  <si>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</si>
  <si>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</si>
  <si>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</si>
  <si>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</si>
  <si>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</si>
  <si>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</si>
  <si>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</si>
  <si>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</si>
  <si>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</si>
  <si>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</si>
  <si>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</si>
  <si>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</si>
  <si>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</si>
  <si>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</si>
  <si>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</si>
  <si>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</si>
  <si>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</si>
  <si>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</si>
  <si>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</si>
  <si>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</si>
  <si>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</si>
  <si>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</si>
  <si>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</si>
  <si>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</si>
  <si>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</si>
  <si>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</si>
  <si>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</si>
  <si>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</si>
  <si>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</si>
  <si>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</si>
  <si>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</si>
  <si>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</si>
  <si>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</si>
  <si>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</si>
  <si>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</si>
  <si>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</si>
  <si>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</si>
  <si>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</si>
  <si>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</si>
  <si>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</si>
  <si>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</si>
  <si>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</si>
  <si>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</si>
  <si>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</si>
  <si>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</si>
  <si>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</si>
  <si>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</si>
  <si>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</si>
  <si>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</si>
  <si>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</si>
  <si>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</si>
  <si>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</si>
  <si>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</si>
  <si>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</si>
  <si>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</si>
  <si>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</si>
  <si>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</si>
  <si>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</si>
  <si>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</si>
  <si>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</si>
  <si>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</si>
  <si>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</si>
  <si>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</si>
  <si>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</si>
  <si>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</si>
  <si>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</si>
  <si>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</si>
  <si>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</si>
  <si>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</si>
  <si>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</si>
  <si>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</si>
  <si>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</si>
  <si>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</si>
  <si>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</si>
  <si>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</si>
  <si>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</si>
  <si>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</si>
  <si>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</si>
  <si>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</si>
  <si>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</si>
  <si>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</si>
  <si>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</si>
  <si>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</si>
  <si>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</si>
  <si>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</si>
  <si>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</si>
  <si>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</si>
  <si>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</si>
  <si>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</si>
  <si>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</si>
  <si>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</si>
  <si>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</si>
  <si>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</si>
  <si>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</si>
  <si>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</si>
  <si>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</si>
  <si>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</si>
  <si>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</si>
  <si>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</si>
  <si>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</si>
  <si>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</si>
  <si>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</si>
  <si>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</si>
  <si>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</si>
  <si>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</si>
  <si>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</si>
  <si>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</si>
  <si>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</si>
  <si>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</si>
  <si>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</si>
  <si>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</si>
  <si>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</si>
  <si>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</si>
  <si>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</si>
  <si>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</si>
  <si>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</si>
  <si>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</si>
  <si>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</si>
  <si>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</si>
  <si>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</si>
  <si>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</si>
  <si>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</si>
  <si>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</si>
  <si>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</si>
  <si>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</si>
  <si>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</si>
  <si>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</si>
  <si>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</si>
  <si>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</si>
  <si>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</si>
  <si>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</si>
  <si>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</si>
  <si>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EXG-F-37 от </t>
  </si>
  <si>
    <t xml:space="preserve"> 02.09.2025г.</t>
  </si>
  <si>
    <t>г.Челябинский таможенный пост г.Челябинск ул. Енисейская, 87А код поста 10504080   ООО "ГРИН ВОРЛД" RU/0237/2 от 27.12.2024</t>
  </si>
  <si>
    <t>30N225QA/302200AA</t>
  </si>
  <si>
    <t xml:space="preserve">СПЕЦИФИКАЦИЯ № EXG-F-37 от 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</si>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</sst>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37</xdr:row>
      <xdr:rowOff>44824</xdr:rowOff>
    </xdr:from>
    <xdr:to>
      <xdr:col>9</xdr:col>
      <xdr:colOff>578784</xdr:colOff>
      <xdr:row>48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149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150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151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149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150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151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162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163</v>
      </c>
      <c r="F26" s="156"/>
      <c r="G26" s="156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124</v>
      </c>
      <c r="C30" s="107" t="s">
        <v>123</v>
      </c>
      <c r="D30" s="109" t="s">
        <v>112</v>
      </c>
      <c r="E30" s="101">
        <v>500</v>
      </c>
      <c r="F30" s="110" t="s">
        <v>27</v>
      </c>
      <c r="G30" s="106">
        <v>4700</v>
      </c>
      <c r="H30" s="106">
        <v>4000</v>
      </c>
      <c r="I30" s="108">
        <v>1</v>
      </c>
      <c r="J30" s="13">
        <f t="shared" ref="J30:J31" si="0">H30*I30</f>
        <v>4000</v>
      </c>
      <c r="K30" s="12">
        <v>0</v>
      </c>
      <c r="L30" s="12">
        <v>0</v>
      </c>
      <c r="M30" s="13">
        <f t="shared" ref="M30:M31" si="1">J30</f>
        <v>4000</v>
      </c>
      <c r="O30" s="100"/>
      <c r="Q30" s="100"/>
    </row>
    <row r="31" spans="1:17" ht="30" x14ac:dyDescent="0.2">
      <c r="A31" s="127">
        <v>2</v>
      </c>
      <c r="B31" s="101" t="s">
        <v>124</v>
      </c>
      <c r="C31" s="107" t="s">
        <v>123</v>
      </c>
      <c r="D31" s="109" t="s">
        <v>110</v>
      </c>
      <c r="E31" s="101">
        <v>2830</v>
      </c>
      <c r="F31" s="110" t="s">
        <v>27</v>
      </c>
      <c r="G31" s="106">
        <v>18000</v>
      </c>
      <c r="H31" s="106">
        <v>16019</v>
      </c>
      <c r="I31" s="108">
        <v>1</v>
      </c>
      <c r="J31" s="13">
        <f t="shared" si="0"/>
        <v>16019</v>
      </c>
      <c r="K31" s="12">
        <v>0</v>
      </c>
      <c r="L31" s="12">
        <v>0</v>
      </c>
      <c r="M31" s="13">
        <f t="shared" si="1"/>
        <v>16019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3330</v>
      </c>
      <c r="F32" s="15"/>
      <c r="G32" s="64">
        <f>SUM(G30:G31)</f>
        <v>22700</v>
      </c>
      <c r="H32" s="64">
        <f>SUM(H30:H31)</f>
        <v>20019</v>
      </c>
      <c r="I32" s="102"/>
      <c r="J32" s="17">
        <f>SUM(J30:J31)</f>
        <v>20019</v>
      </c>
      <c r="K32" s="16"/>
      <c r="L32" s="16"/>
      <c r="M32" s="17">
        <f>SUM(M30:M31)</f>
        <v>20019</v>
      </c>
      <c r="P32" s="66"/>
    </row>
    <row r="33" spans="1:14" ht="13.5" x14ac:dyDescent="0.25">
      <c r="A33" s="2" t="s">
        <v>17</v>
      </c>
      <c r="B33" s="3"/>
      <c r="C33" s="11"/>
      <c r="D33" s="11"/>
      <c r="E33" s="146" t="str">
        <f>Лист1!B3</f>
        <v>Двадцать тысяч девятнадцать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 t="s">
        <v>165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5" x14ac:dyDescent="0.25">
      <c r="A37" s="7" t="s">
        <v>28</v>
      </c>
      <c r="B37" s="7"/>
      <c r="D37" s="25" t="s">
        <v>157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2" sqref="B32:I41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EXG-F-37 от  02.09.2025г.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500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4700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2830</v>
      </c>
      <c r="D31" s="103" t="str">
        <f>+Инвойс!D31</f>
        <v>Пласт.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18000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Енисейская, 87А код поста 10504080   ООО "ГРИН ВОРЛД" 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02.09.2025г.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30N225QA/302200AA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2" sqref="F22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30N225QA/302200AA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EXG-F-37 от  02.09.2025г.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500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4700</v>
      </c>
    </row>
    <row r="20" spans="2:10" ht="13.5" customHeight="1" x14ac:dyDescent="0.25">
      <c r="B20" s="83"/>
      <c r="E20" s="123"/>
      <c r="F20" s="118">
        <f>+Инвойс!E31</f>
        <v>2830</v>
      </c>
      <c r="G20" s="167" t="str">
        <f>+CMR!F31</f>
        <v>Виноград свежий столовых сортов</v>
      </c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Пласт. ящик</v>
      </c>
      <c r="G21" s="161" t="str">
        <f>+Инвойс!C31</f>
        <v>0806101001</v>
      </c>
      <c r="H21" s="162"/>
      <c r="I21" s="122" t="s">
        <v>103</v>
      </c>
      <c r="J21" s="120">
        <f>+Инвойс!G31</f>
        <v>18000</v>
      </c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3330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164</v>
      </c>
      <c r="C1" s="174"/>
      <c r="D1" s="174"/>
      <c r="E1" s="174"/>
      <c r="F1" s="134" t="str">
        <f>+Инвойс!F1</f>
        <v xml:space="preserve"> 02.09.2025г.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126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30N225QA/302200AA</v>
      </c>
      <c r="F26" s="156"/>
      <c r="G26" s="156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500</v>
      </c>
      <c r="F30" s="116" t="str">
        <f>+Инвойс!F30</f>
        <v>кг</v>
      </c>
      <c r="G30" s="106">
        <f>+Инвойс!G30</f>
        <v>4700</v>
      </c>
      <c r="H30" s="106">
        <f>+Инвойс!H30</f>
        <v>4000</v>
      </c>
      <c r="I30" s="108">
        <f>+Инвойс!I30</f>
        <v>1</v>
      </c>
      <c r="J30" s="13">
        <f>+Инвойс!J30</f>
        <v>4000</v>
      </c>
      <c r="K30" s="12">
        <v>0</v>
      </c>
      <c r="L30" s="12">
        <v>0</v>
      </c>
      <c r="M30" s="13">
        <f>+Инвойс!M30</f>
        <v>4000</v>
      </c>
      <c r="O30" s="100"/>
      <c r="Q30" s="100"/>
    </row>
    <row r="31" spans="1:17" ht="30" x14ac:dyDescent="0.2">
      <c r="A31" s="127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Пласт. ящик</v>
      </c>
      <c r="E31" s="101">
        <f>+Инвойс!E31</f>
        <v>2830</v>
      </c>
      <c r="F31" s="116" t="str">
        <f>+Инвойс!F31</f>
        <v>кг</v>
      </c>
      <c r="G31" s="106">
        <f>+Инвойс!G31</f>
        <v>18000</v>
      </c>
      <c r="H31" s="106">
        <f>+Инвойс!H31</f>
        <v>16019</v>
      </c>
      <c r="I31" s="108">
        <f>+Инвойс!I31</f>
        <v>1</v>
      </c>
      <c r="J31" s="13">
        <f>+Инвойс!J31</f>
        <v>16019</v>
      </c>
      <c r="K31" s="12">
        <v>0</v>
      </c>
      <c r="L31" s="12">
        <v>0</v>
      </c>
      <c r="M31" s="13">
        <f>+Инвойс!M31</f>
        <v>16019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3330</v>
      </c>
      <c r="F32" s="15"/>
      <c r="G32" s="64">
        <f>SUM(G30:G31)</f>
        <v>22700</v>
      </c>
      <c r="H32" s="64">
        <f>SUM(H30:H31)</f>
        <v>20019</v>
      </c>
      <c r="I32" s="102"/>
      <c r="J32" s="17">
        <f>SUM(J30:J31)</f>
        <v>20019</v>
      </c>
      <c r="K32" s="16"/>
      <c r="L32" s="16"/>
      <c r="M32" s="17">
        <f>SUM(M30:M31)</f>
        <v>20019</v>
      </c>
      <c r="P32" s="66"/>
    </row>
    <row r="33" spans="1:14" ht="13.5" x14ac:dyDescent="0.25">
      <c r="A33" s="2" t="s">
        <v>17</v>
      </c>
      <c r="B33" s="3"/>
      <c r="C33" s="11"/>
      <c r="D33" s="11"/>
      <c r="E33" s="146" t="str">
        <f>Лист1!B3</f>
        <v>Двадцать тысяч девятнадцать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75" x14ac:dyDescent="0.25">
      <c r="A37" s="131" t="s">
        <v>158</v>
      </c>
      <c r="B37" s="131"/>
      <c r="D37" s="18" t="str">
        <f>+Инвойс!D37</f>
        <v>АБДИЛАКИМОВ А.А</v>
      </c>
      <c r="E37" s="132"/>
      <c r="G37" s="129" t="s">
        <v>130</v>
      </c>
      <c r="H37" s="18" t="str">
        <f>Инвойс!G5</f>
        <v>ООО «ГРИН ВОРЛД»</v>
      </c>
      <c r="K37" s="133" t="s">
        <v>147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12" sqref="A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125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Инвойс!M32</f>
        <v>20019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девятнадцать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Двадцать тысяч девятнадцать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девятнадцать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девятнадцать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девятнадцать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20019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2001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20019</v>
      </c>
      <c r="B29" s="47">
        <f>TRUNC(RIGHT(A29))</f>
        <v>9</v>
      </c>
      <c r="C29" s="51">
        <f>IF(B28=1,B29+10,IF(B29=0,0,B29))</f>
        <v>19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 xml:space="preserve">девятнадцать </v>
      </c>
      <c r="G29" s="47"/>
    </row>
    <row r="30" spans="1:9" s="43" customFormat="1" x14ac:dyDescent="0.2">
      <c r="A30" s="49"/>
      <c r="B30" s="58"/>
      <c r="C30" s="59"/>
      <c r="E30" s="57">
        <f>B27*100+B28*10+B29</f>
        <v>19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2025-09-02T17:50:10Z</cp:lastPrinted>
  <dcterms:created xsi:type="dcterms:W3CDTF">1996-10-14T23:33:28Z</dcterms:created>
  <dcterms:modified xsi:type="dcterms:W3CDTF">2025-09-02T17:50:11Z</dcterms:modified>
</cp:coreProperties>
</file>