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updateLinks="never" defaultThemeVersion="124226"/>
  <bookViews>
    <workbookView xWindow="-120" yWindow="-120" windowWidth="20730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25725" calcMode="autoNoTable"/>
</workbook>
</file>

<file path=xl/calcChain.xml><?xml version="1.0" encoding="utf-8"?>
<calcChain xmlns="http://schemas.openxmlformats.org/spreadsheetml/2006/main">
  <c r="H30" i="2"/>
  <c r="D36" i="7" l="1"/>
  <c r="H36" l="1"/>
  <c r="G20" l="1"/>
  <c r="G19"/>
  <c r="G18"/>
  <c r="G17"/>
  <c r="G16"/>
  <c r="G15"/>
  <c r="G14"/>
  <c r="G11"/>
  <c r="G10"/>
  <c r="G9"/>
  <c r="G8"/>
  <c r="G7"/>
  <c r="G6"/>
  <c r="G5"/>
  <c r="A15"/>
  <c r="A16"/>
  <c r="A17"/>
  <c r="A18"/>
  <c r="A19"/>
  <c r="A20"/>
  <c r="A14"/>
  <c r="A6"/>
  <c r="A7"/>
  <c r="A8"/>
  <c r="A9"/>
  <c r="A10"/>
  <c r="A11"/>
  <c r="A5"/>
  <c r="C2"/>
  <c r="C30" l="1"/>
  <c r="I30"/>
  <c r="H30"/>
  <c r="F30"/>
  <c r="G30"/>
  <c r="E30"/>
  <c r="D30"/>
  <c r="B30"/>
  <c r="A30"/>
  <c r="E26"/>
  <c r="C24"/>
  <c r="F1"/>
  <c r="G31" l="1"/>
  <c r="E31"/>
  <c r="H31" l="1"/>
  <c r="E31" i="2" l="1"/>
  <c r="G31" l="1"/>
  <c r="H31"/>
  <c r="G19" i="5"/>
  <c r="F19"/>
  <c r="F18"/>
  <c r="J19"/>
  <c r="G30" i="4"/>
  <c r="I30"/>
  <c r="F30"/>
  <c r="G18" i="5" s="1"/>
  <c r="D30" i="4"/>
  <c r="C30"/>
  <c r="B30"/>
  <c r="D47" i="5" l="1"/>
  <c r="M12" i="3" l="1"/>
  <c r="B9"/>
  <c r="N3"/>
  <c r="Q4" s="1"/>
  <c r="J14" i="5"/>
  <c r="B14"/>
  <c r="C57" i="4"/>
  <c r="B45"/>
  <c r="B24"/>
  <c r="H15" i="5" s="1"/>
  <c r="C22" i="4"/>
  <c r="D49" s="1"/>
  <c r="B9"/>
  <c r="B8"/>
  <c r="B7"/>
  <c r="B4"/>
  <c r="B3"/>
  <c r="B2"/>
  <c r="J30" i="2"/>
  <c r="M30" l="1"/>
  <c r="M30" i="7" s="1"/>
  <c r="J30"/>
  <c r="J31" i="2"/>
  <c r="S3" i="3"/>
  <c r="S4"/>
  <c r="P3"/>
  <c r="R3"/>
  <c r="Q3" l="1"/>
  <c r="K4" s="1"/>
  <c r="J31" i="7"/>
  <c r="M31"/>
  <c r="M31" i="2"/>
  <c r="E2" i="3" s="1"/>
  <c r="E13" s="1"/>
  <c r="A29" s="1"/>
  <c r="A28" s="1"/>
  <c r="A31" l="1"/>
  <c r="C31" s="1"/>
  <c r="C32" s="1"/>
  <c r="E32" s="1"/>
  <c r="B29"/>
  <c r="E29" s="1"/>
  <c r="B28"/>
  <c r="A27"/>
  <c r="C28" l="1"/>
  <c r="E28" s="1"/>
  <c r="C29"/>
  <c r="A25"/>
  <c r="B27"/>
  <c r="A12"/>
  <c r="E31"/>
  <c r="B25" l="1"/>
  <c r="E25" s="1"/>
  <c r="A24"/>
  <c r="E27"/>
  <c r="E30"/>
  <c r="C27"/>
  <c r="F29"/>
  <c r="D29"/>
  <c r="B24" l="1"/>
  <c r="A23"/>
  <c r="A21" l="1"/>
  <c r="B23"/>
  <c r="C24"/>
  <c r="E24" s="1"/>
  <c r="C25"/>
  <c r="F25" l="1"/>
  <c r="D25"/>
  <c r="E23"/>
  <c r="E26"/>
  <c r="C23"/>
  <c r="B21"/>
  <c r="A20"/>
  <c r="E21" l="1"/>
  <c r="F26"/>
  <c r="A10" s="1"/>
  <c r="A19"/>
  <c r="B20"/>
  <c r="C21" l="1"/>
  <c r="C20"/>
  <c r="E20" s="1"/>
  <c r="B19"/>
  <c r="A17"/>
  <c r="E19" l="1"/>
  <c r="C19"/>
  <c r="E22"/>
  <c r="A16"/>
  <c r="B17"/>
  <c r="F21"/>
  <c r="D21"/>
  <c r="B16" l="1"/>
  <c r="A15"/>
  <c r="E17"/>
  <c r="F22"/>
  <c r="A9" s="1"/>
  <c r="B15" l="1"/>
  <c r="A14"/>
  <c r="C17"/>
  <c r="C16"/>
  <c r="E16" s="1"/>
  <c r="F17" l="1"/>
  <c r="D17"/>
  <c r="C15"/>
  <c r="E15"/>
  <c r="E18"/>
  <c r="F18" l="1"/>
  <c r="A8" s="1"/>
  <c r="F30"/>
  <c r="A11" s="1"/>
  <c r="B6" l="1"/>
  <c r="B5"/>
  <c r="F8" l="1"/>
  <c r="F9" s="1"/>
  <c r="F10" s="1"/>
  <c r="B4" l="1"/>
  <c r="B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<sst xmlns="http://schemas.openxmlformats.org/spreadsheetml/2006/main" count="210" uniqueCount="162">
  <si>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</si>
  <si>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</si>
  <si>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</si>
  <si>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</si>
  <si>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</si>
  <si>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</si>
  <si>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</si>
  <si>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</si>
  <si>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</si>
  <si>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</si>
  <si>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</si>
  <si>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</si>
  <si>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</si>
  <si>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</si>
  <si>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</si>
  <si>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</si>
  <si>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</si>
  <si>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</si>
  <si>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</si>
  <si>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</si>
  <si>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</si>
  <si>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</si>
  <si>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</si>
  <si>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</si>
  <si>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</si>
  <si>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</si>
  <si>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</si>
  <si>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</si>
  <si>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</si>
  <si>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</si>
  <si>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</si>
  <si>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</si>
  <si>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</si>
  <si>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</si>
  <si>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</si>
  <si>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</si>
  <si>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</si>
  <si>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</si>
  <si>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</si>
  <si>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</si>
  <si>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</si>
  <si>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</si>
  <si>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</si>
  <si>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</si>
  <si>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</si>
  <si>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</si>
  <si>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</si>
  <si>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</si>
  <si>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</si>
  <si>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</si>
  <si>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</si>
  <si>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</si>
  <si>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</si>
  <si>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</si>
  <si>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</si>
  <si>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</si>
  <si>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</si>
  <si>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</si>
  <si>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</si>
  <si>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</si>
  <si>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</si>
  <si>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</si>
  <si>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</si>
  <si>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</si>
  <si>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</si>
  <si>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</si>
  <si>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</si>
  <si>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</si>
  <si>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</si>
  <si>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</si>
  <si>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</si>
  <si>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</si>
  <si>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</si>
  <si>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</si>
  <si>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</si>
  <si>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</si>
  <si>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</si>
  <si>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</si>
  <si>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</si>
  <si>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</si>
  <si>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</si>
  <si>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</si>
  <si>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</si>
  <si>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</si>
  <si>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</si>
  <si>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</si>
  <si>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</si>
  <si>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</si>
  <si>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</si>
  <si>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</si>
  <si>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</si>
  <si>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</si>
  <si>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</si>
  <si>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</si>
  <si>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</si>
  <si>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</si>
  <si>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</si>
  <si>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</si>
  <si>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</si>
  <si>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</si>
  <si>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</si>
  <si>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</si>
  <si>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</si>
  <si>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</si>
  <si>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</si>
  <si>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</si>
  <si>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</si>
  <si>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</si>
  <si>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</si>
  <si>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</si>
  <si>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</si>
  <si>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</si>
  <si>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</si>
  <si>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</si>
  <si>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</si>
  <si>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</si>
  <si>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</si>
  <si>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</si>
  <si>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</si>
  <si>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</si>
  <si>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</si>
  <si>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</si>
  <si>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</si>
  <si>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</si>
  <si>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</si>
  <si>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</si>
  <si>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</si>
  <si>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</si>
  <si>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</si>
  <si>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</si>
  <si>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</si>
  <si>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</si>
  <si>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</si>
  <si>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</si>
  <si>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</si>
  <si>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</si>
  <si>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</si>
  <si>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</si>
  <si>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</si>
  <si>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</si>
  <si>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</si>
  <si>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</si>
  <si>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</si>
  <si>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</si>
  <si>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</si>
  <si>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</si>
  <si>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</si>
  <si>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</si>
  <si>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</si>
  <si>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</si>
  <si>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</si>
  <si>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</si>
  <si>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</si>
  <si>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</si>
  <si>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</si>
  <si>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 xml:space="preserve"> 05.09.2025г.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</si>
  <si>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</si>
  <si>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</si>
  <si>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</si>
  <si>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EXG-F-46 от </t>
  </si>
  <si>
    <t>40634MCA/406085BA</t>
  </si>
  <si>
    <t xml:space="preserve">СПЕЦИФИКАЦИЯ № EXG-F-46 от 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</si>
</sst>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5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=""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9"/>
      <c r="C1" s="135" t="s">
        <v>159</v>
      </c>
      <c r="D1" s="135"/>
      <c r="E1" s="135"/>
      <c r="F1" s="134" t="s">
        <v>155</v>
      </c>
      <c r="G1" s="134"/>
      <c r="H1" s="134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41" t="s">
        <v>142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>
      <c r="A5" s="136" t="s">
        <v>143</v>
      </c>
      <c r="B5" s="136"/>
      <c r="C5" s="136"/>
      <c r="D5" s="136"/>
      <c r="E5" s="136"/>
      <c r="F5" s="6"/>
      <c r="G5" s="138" t="s">
        <v>134</v>
      </c>
      <c r="H5" s="138"/>
      <c r="I5" s="138"/>
      <c r="J5" s="138"/>
      <c r="K5" s="138"/>
      <c r="L5" s="138"/>
      <c r="M5" s="138"/>
    </row>
    <row r="6" spans="1:15" ht="15" customHeight="1">
      <c r="A6" s="142" t="s">
        <v>144</v>
      </c>
      <c r="B6" s="143"/>
      <c r="C6" s="143"/>
      <c r="D6" s="143"/>
      <c r="E6" s="143"/>
      <c r="F6" s="7"/>
      <c r="G6" s="140" t="s">
        <v>135</v>
      </c>
      <c r="H6" s="140"/>
      <c r="I6" s="140"/>
      <c r="J6" s="140"/>
      <c r="K6" s="140"/>
      <c r="L6" s="140"/>
      <c r="M6" s="140"/>
      <c r="N6" s="4"/>
    </row>
    <row r="7" spans="1:15" ht="15">
      <c r="A7" s="143" t="s">
        <v>145</v>
      </c>
      <c r="B7" s="143"/>
      <c r="C7" s="143"/>
      <c r="D7" s="143"/>
      <c r="E7" s="143"/>
      <c r="F7" s="63"/>
      <c r="G7" s="140" t="s">
        <v>136</v>
      </c>
      <c r="H7" s="140"/>
      <c r="I7" s="140"/>
      <c r="J7" s="140"/>
      <c r="K7" s="140"/>
      <c r="L7" s="140"/>
      <c r="M7" s="140"/>
    </row>
    <row r="8" spans="1:15" ht="15" customHeight="1">
      <c r="A8" s="8" t="s">
        <v>146</v>
      </c>
      <c r="B8" s="8"/>
      <c r="C8" s="8"/>
      <c r="D8" s="8"/>
      <c r="E8" s="8"/>
      <c r="F8" s="63"/>
      <c r="G8" s="7" t="s">
        <v>137</v>
      </c>
      <c r="H8" s="23"/>
      <c r="I8" s="23"/>
      <c r="J8" s="23"/>
      <c r="K8" s="23"/>
      <c r="L8" s="23"/>
      <c r="M8" s="23"/>
    </row>
    <row r="9" spans="1:15" ht="15">
      <c r="A9" s="8" t="s">
        <v>147</v>
      </c>
      <c r="B9" s="8"/>
      <c r="C9" s="8"/>
      <c r="D9" s="8"/>
      <c r="E9" s="8"/>
      <c r="F9" s="7"/>
      <c r="G9" s="7" t="s">
        <v>138</v>
      </c>
      <c r="H9" s="23"/>
      <c r="I9" s="23"/>
      <c r="J9" s="23"/>
      <c r="K9" s="23"/>
      <c r="L9" s="23"/>
      <c r="M9" s="23"/>
      <c r="O9" s="7"/>
    </row>
    <row r="10" spans="1:15" ht="15">
      <c r="A10" s="125" t="s">
        <v>148</v>
      </c>
      <c r="B10" s="125"/>
      <c r="C10" s="125"/>
      <c r="D10" s="125"/>
      <c r="E10" s="125"/>
      <c r="F10" s="7"/>
      <c r="G10" s="7" t="s">
        <v>133</v>
      </c>
      <c r="H10" s="23"/>
      <c r="I10" s="23"/>
      <c r="J10" s="23"/>
      <c r="K10" s="23"/>
      <c r="L10" s="23"/>
      <c r="M10" s="23"/>
    </row>
    <row r="11" spans="1:15" ht="15">
      <c r="A11" s="8" t="s">
        <v>149</v>
      </c>
      <c r="B11" s="8"/>
      <c r="C11" s="8"/>
      <c r="D11" s="8"/>
      <c r="E11" s="8"/>
      <c r="F11" s="7"/>
      <c r="G11" s="7" t="s">
        <v>139</v>
      </c>
      <c r="H11" s="23"/>
      <c r="I11" s="23"/>
      <c r="J11" s="23"/>
      <c r="K11" s="23"/>
      <c r="L11" s="23"/>
      <c r="M11" s="23"/>
    </row>
    <row r="12" spans="1:15" ht="36" customHeight="1">
      <c r="A12" s="99" t="s">
        <v>150</v>
      </c>
      <c r="B12" s="8"/>
      <c r="C12" s="8"/>
      <c r="D12" s="8"/>
      <c r="E12" s="8"/>
      <c r="F12" s="7"/>
      <c r="G12" s="139" t="s">
        <v>140</v>
      </c>
      <c r="H12" s="139"/>
      <c r="I12" s="139"/>
      <c r="J12" s="139"/>
      <c r="K12" s="139"/>
      <c r="L12" s="139"/>
      <c r="M12" s="139"/>
    </row>
    <row r="13" spans="1:15" ht="24" customHeight="1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>
      <c r="A14" s="136" t="s">
        <v>143</v>
      </c>
      <c r="B14" s="136"/>
      <c r="C14" s="136"/>
      <c r="D14" s="136"/>
      <c r="E14" s="136"/>
      <c r="F14" s="6"/>
      <c r="G14" s="138" t="s">
        <v>134</v>
      </c>
      <c r="H14" s="138"/>
      <c r="I14" s="138"/>
      <c r="J14" s="138"/>
      <c r="K14" s="138"/>
      <c r="L14" s="138"/>
      <c r="M14" s="138"/>
    </row>
    <row r="15" spans="1:15" ht="13.9" customHeight="1">
      <c r="A15" s="142" t="s">
        <v>144</v>
      </c>
      <c r="B15" s="143"/>
      <c r="C15" s="143"/>
      <c r="D15" s="143"/>
      <c r="E15" s="143"/>
      <c r="F15" s="7"/>
      <c r="G15" s="140" t="s">
        <v>135</v>
      </c>
      <c r="H15" s="140"/>
      <c r="I15" s="140"/>
      <c r="J15" s="140"/>
      <c r="K15" s="140"/>
      <c r="L15" s="140"/>
      <c r="M15" s="140"/>
    </row>
    <row r="16" spans="1:15" ht="15">
      <c r="A16" s="143" t="s">
        <v>145</v>
      </c>
      <c r="B16" s="143"/>
      <c r="C16" s="143"/>
      <c r="D16" s="143"/>
      <c r="E16" s="143"/>
      <c r="F16" s="63"/>
      <c r="G16" s="140" t="s">
        <v>136</v>
      </c>
      <c r="H16" s="140"/>
      <c r="I16" s="140"/>
      <c r="J16" s="140"/>
      <c r="K16" s="140"/>
      <c r="L16" s="140"/>
      <c r="M16" s="140"/>
    </row>
    <row r="17" spans="1:17" ht="15" customHeight="1">
      <c r="A17" s="8" t="s">
        <v>146</v>
      </c>
      <c r="B17" s="8"/>
      <c r="C17" s="8"/>
      <c r="D17" s="8"/>
      <c r="E17" s="8"/>
      <c r="F17" s="63"/>
      <c r="G17" s="7" t="s">
        <v>137</v>
      </c>
      <c r="H17" s="23"/>
      <c r="I17" s="23"/>
      <c r="J17" s="23"/>
      <c r="K17" s="23"/>
      <c r="L17" s="23"/>
      <c r="M17" s="23"/>
    </row>
    <row r="18" spans="1:17" ht="15">
      <c r="A18" s="8" t="s">
        <v>147</v>
      </c>
      <c r="B18" s="8"/>
      <c r="C18" s="8"/>
      <c r="D18" s="8"/>
      <c r="E18" s="8"/>
      <c r="F18" s="7"/>
      <c r="G18" s="7" t="s">
        <v>138</v>
      </c>
      <c r="H18" s="23"/>
      <c r="I18" s="23"/>
      <c r="J18" s="23"/>
      <c r="K18" s="23"/>
      <c r="L18" s="23"/>
      <c r="M18" s="23"/>
    </row>
    <row r="19" spans="1:17" ht="15">
      <c r="A19" s="125" t="s">
        <v>148</v>
      </c>
      <c r="B19" s="125"/>
      <c r="C19" s="125"/>
      <c r="D19" s="125"/>
      <c r="E19" s="125"/>
      <c r="F19" s="7"/>
      <c r="G19" s="7" t="s">
        <v>133</v>
      </c>
      <c r="H19" s="23"/>
      <c r="I19" s="23"/>
      <c r="J19" s="23"/>
      <c r="K19" s="23"/>
      <c r="L19" s="23"/>
      <c r="M19" s="23"/>
    </row>
    <row r="20" spans="1:17" ht="15">
      <c r="A20" s="8" t="s">
        <v>149</v>
      </c>
      <c r="B20" s="8"/>
      <c r="C20" s="8"/>
      <c r="D20" s="8"/>
      <c r="E20" s="8"/>
      <c r="F20" s="7"/>
      <c r="G20" s="7" t="s">
        <v>139</v>
      </c>
      <c r="H20" s="23"/>
      <c r="I20" s="23"/>
      <c r="J20" s="23"/>
      <c r="K20" s="23"/>
      <c r="L20" s="23"/>
      <c r="M20" s="23"/>
    </row>
    <row r="21" spans="1:17" ht="15">
      <c r="A21" s="99" t="s">
        <v>150</v>
      </c>
      <c r="B21" s="8"/>
      <c r="C21" s="8"/>
      <c r="D21" s="8"/>
      <c r="E21" s="8"/>
      <c r="G21" s="139" t="s">
        <v>140</v>
      </c>
      <c r="H21" s="139"/>
      <c r="I21" s="139"/>
      <c r="J21" s="139"/>
      <c r="K21" s="139"/>
      <c r="L21" s="139"/>
      <c r="M21" s="139"/>
    </row>
    <row r="22" spans="1:17" ht="43.5" customHeight="1">
      <c r="A22" s="1" t="s">
        <v>88</v>
      </c>
      <c r="C22" s="65" t="s">
        <v>89</v>
      </c>
      <c r="F22" s="1"/>
    </row>
    <row r="23" spans="1:17" ht="26.25" customHeight="1">
      <c r="A23" s="69" t="s">
        <v>87</v>
      </c>
      <c r="B23" s="68"/>
      <c r="C23" s="154" t="s">
        <v>126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75">
      <c r="A24" s="20" t="s">
        <v>22</v>
      </c>
      <c r="C24" s="18" t="s">
        <v>157</v>
      </c>
      <c r="G24" s="114"/>
      <c r="H24" s="114"/>
      <c r="I24" s="114"/>
      <c r="J24" s="114"/>
      <c r="K24" s="114"/>
      <c r="L24" s="114"/>
      <c r="M24" s="114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55" t="s">
        <v>160</v>
      </c>
      <c r="F26" s="156"/>
      <c r="G26" s="156"/>
      <c r="J26" s="21"/>
    </row>
    <row r="27" spans="1:17" ht="34.5" customHeight="1">
      <c r="A27" s="67" t="s">
        <v>109</v>
      </c>
      <c r="C27" s="18"/>
      <c r="E27" s="22"/>
      <c r="F27" s="22"/>
      <c r="G27" s="22"/>
      <c r="J27" s="21"/>
    </row>
    <row r="28" spans="1:17" ht="24" customHeight="1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>
      <c r="A30" s="127">
        <v>1</v>
      </c>
      <c r="B30" s="101" t="s">
        <v>124</v>
      </c>
      <c r="C30" s="107" t="s">
        <v>125</v>
      </c>
      <c r="D30" s="109" t="s">
        <v>111</v>
      </c>
      <c r="E30" s="101">
        <v>980</v>
      </c>
      <c r="F30" s="110" t="s">
        <v>27</v>
      </c>
      <c r="G30" s="106">
        <v>22816</v>
      </c>
      <c r="H30" s="106">
        <f>+G30-E30*1.8</f>
        <v>21052</v>
      </c>
      <c r="I30" s="108">
        <v>0.25</v>
      </c>
      <c r="J30" s="13">
        <f t="shared" ref="J30" si="0">H30*I30</f>
        <v>5263</v>
      </c>
      <c r="K30" s="12">
        <v>0</v>
      </c>
      <c r="L30" s="12">
        <v>0</v>
      </c>
      <c r="M30" s="13">
        <f t="shared" ref="M30" si="1">J30</f>
        <v>5263</v>
      </c>
      <c r="O30" s="100"/>
      <c r="Q30" s="100"/>
    </row>
    <row r="31" spans="1:17" ht="14.25">
      <c r="A31" s="150" t="s">
        <v>0</v>
      </c>
      <c r="B31" s="151"/>
      <c r="C31" s="14"/>
      <c r="D31" s="15"/>
      <c r="E31" s="64">
        <f>SUM(E30:E30)</f>
        <v>980</v>
      </c>
      <c r="F31" s="15"/>
      <c r="G31" s="64">
        <f>SUM(G30:G30)</f>
        <v>22816</v>
      </c>
      <c r="H31" s="64">
        <f>SUM(H30:H30)</f>
        <v>21052</v>
      </c>
      <c r="I31" s="102"/>
      <c r="J31" s="17">
        <f>SUM(J30:J30)</f>
        <v>5263</v>
      </c>
      <c r="K31" s="16"/>
      <c r="L31" s="16"/>
      <c r="M31" s="17">
        <f>SUM(M30:M30)</f>
        <v>5263</v>
      </c>
      <c r="P31" s="66"/>
    </row>
    <row r="32" spans="1:17" ht="13.5">
      <c r="A32" s="2" t="s">
        <v>17</v>
      </c>
      <c r="B32" s="3"/>
      <c r="C32" s="11"/>
      <c r="D32" s="11"/>
      <c r="E32" s="146" t="str">
        <f>Лист1!B3</f>
        <v>пять тысяч двести шестьдесят три доллара США,00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>
      <c r="A34" s="144" t="s">
        <v>108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>
      <c r="A36" s="7" t="s">
        <v>28</v>
      </c>
      <c r="B36" s="7"/>
      <c r="D36" s="25" t="s">
        <v>151</v>
      </c>
      <c r="E36" s="24"/>
    </row>
    <row r="37" spans="1:14" ht="15">
      <c r="A37" s="7"/>
      <c r="B37" s="9"/>
    </row>
    <row r="38" spans="1:14" ht="15">
      <c r="A38" s="7" t="s">
        <v>18</v>
      </c>
      <c r="B38" s="9"/>
    </row>
    <row r="39" spans="1:14" ht="15">
      <c r="A39" s="7"/>
      <c r="B39" s="9"/>
    </row>
    <row r="40" spans="1:14" ht="15">
      <c r="A40" s="7" t="s">
        <v>29</v>
      </c>
      <c r="B40" s="9"/>
    </row>
    <row r="41" spans="1:14" ht="15">
      <c r="A41" s="8"/>
      <c r="B41" s="9"/>
    </row>
    <row r="42" spans="1:14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3"/>
  <sheetViews>
    <sheetView zoomScale="115" zoomScaleNormal="115" workbookViewId="0">
      <selection activeCell="J45" sqref="J45"/>
    </sheetView>
  </sheetViews>
  <sheetFormatPr defaultRowHeight="11.25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/>
    <row r="2" spans="1:11" ht="20.25" customHeight="1">
      <c r="B2" s="70" t="str">
        <f>+Инвойс!A5</f>
        <v>OOO “EXACT GROUP”</v>
      </c>
    </row>
    <row r="3" spans="1:11" ht="11.25" customHeight="1">
      <c r="B3" s="70" t="str">
        <f>+Инвойс!A6</f>
        <v>РЕСПУБЛИКА УЗБЕКИСТАН. СУРХАНДАРЬИНСКАЯ ОБЛАСТЬ,</v>
      </c>
    </row>
    <row r="4" spans="1:11" ht="11.25" customHeight="1">
      <c r="B4" s="70" t="str">
        <f>+Инвойс!A7</f>
        <v>ШЕРАБАДСКИЙ РАЙОН, МФЙ «БАХОР», УЛИЦА ШЕРЖАН, ДОМ 19Б</v>
      </c>
    </row>
    <row r="5" spans="1:11" ht="12.75" customHeight="1"/>
    <row r="6" spans="1:11" ht="26.25" customHeight="1"/>
    <row r="7" spans="1:11" ht="12" customHeight="1">
      <c r="B7" s="70" t="str">
        <f>+Инвойс!G14</f>
        <v>ООО «ГРИН ВОРЛД»</v>
      </c>
    </row>
    <row r="8" spans="1:11">
      <c r="B8" s="70" t="str">
        <f>+Инвойс!G15</f>
        <v xml:space="preserve">454106, ЧЕЛЯБИНСКАЯ ОБЛАСТЬ, Г ЧЕЛЯБИНСК, </v>
      </c>
    </row>
    <row r="9" spans="1:11" ht="12.75" customHeight="1">
      <c r="B9" s="70" t="str">
        <f>+Инвойс!G16</f>
        <v>УЛ ОСТРОВСКОГО, Д. 36, КВ. 176</v>
      </c>
    </row>
    <row r="10" spans="1:11" ht="13.5" customHeight="1"/>
    <row r="11" spans="1:11" ht="3.75" hidden="1" customHeight="1"/>
    <row r="12" spans="1:11" ht="24" customHeight="1"/>
    <row r="13" spans="1:11" ht="9.75" customHeight="1">
      <c r="A13" s="70" t="s">
        <v>90</v>
      </c>
      <c r="B13" s="113" t="s">
        <v>110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>
      <c r="A14" s="70" t="s">
        <v>91</v>
      </c>
      <c r="B14" s="70" t="s">
        <v>107</v>
      </c>
    </row>
    <row r="15" spans="1:11" ht="7.5" hidden="1" customHeight="1"/>
    <row r="16" spans="1:11" ht="12" customHeight="1">
      <c r="B16" s="70" t="s">
        <v>128</v>
      </c>
    </row>
    <row r="17" spans="1:9" ht="25.5" customHeight="1"/>
    <row r="18" spans="1:9" ht="13.5" customHeight="1">
      <c r="A18" s="70" t="s">
        <v>92</v>
      </c>
      <c r="B18" s="70" t="s">
        <v>112</v>
      </c>
    </row>
    <row r="19" spans="1:9" ht="1.5" hidden="1" customHeight="1"/>
    <row r="20" spans="1:9" ht="12" hidden="1" customHeight="1"/>
    <row r="21" spans="1:9" ht="11.25" hidden="1" customHeight="1"/>
    <row r="22" spans="1:9">
      <c r="A22" s="70" t="s">
        <v>93</v>
      </c>
      <c r="C22" s="70" t="str">
        <f>+Инвойс!F1</f>
        <v xml:space="preserve"> 05.09.2025г.</v>
      </c>
      <c r="F22" s="71"/>
      <c r="G22" s="71"/>
    </row>
    <row r="23" spans="1:9" ht="25.5" customHeight="1">
      <c r="E23" s="72"/>
      <c r="F23" s="72"/>
      <c r="G23" s="72"/>
    </row>
    <row r="24" spans="1:9" ht="11.25" customHeight="1">
      <c r="B24" s="157" t="str">
        <f>+CONCATENATE(Инвойс!C1,Инвойс!F1)</f>
        <v>ИНВОЙС № EXG-F-46 от  05.09.2025г.</v>
      </c>
      <c r="C24" s="157"/>
      <c r="D24" s="157"/>
      <c r="E24" s="73"/>
      <c r="F24" s="73"/>
      <c r="G24" s="73"/>
      <c r="H24" s="73"/>
      <c r="I24" s="73"/>
    </row>
    <row r="25" spans="1:9">
      <c r="B25" s="158" t="s">
        <v>105</v>
      </c>
      <c r="C25" s="158"/>
      <c r="D25" s="158"/>
    </row>
    <row r="26" spans="1:9" ht="22.5" hidden="1" customHeight="1"/>
    <row r="27" spans="1:9" ht="11.25" hidden="1" customHeight="1"/>
    <row r="28" spans="1:9" ht="11.25" hidden="1" customHeight="1"/>
    <row r="29" spans="1:9" ht="14.25" customHeight="1">
      <c r="A29" s="74"/>
    </row>
    <row r="30" spans="1:9" ht="9" customHeight="1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22816</v>
      </c>
    </row>
    <row r="31" spans="1:9" ht="9" customHeight="1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>
      <c r="B35" s="103"/>
      <c r="C35" s="103"/>
      <c r="D35" s="103"/>
      <c r="E35" s="103"/>
      <c r="F35" s="103"/>
      <c r="G35" s="104"/>
      <c r="H35" s="103"/>
      <c r="I35" s="105"/>
    </row>
    <row r="36" spans="1:9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>
      <c r="B44" s="76"/>
      <c r="C44" s="77"/>
      <c r="D44" s="75"/>
      <c r="E44" s="75"/>
      <c r="F44" s="75"/>
      <c r="G44" s="75"/>
      <c r="H44" s="75"/>
      <c r="I44" s="78"/>
    </row>
    <row r="45" spans="1:9" ht="51.75" customHeight="1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>
      <c r="B46" s="159"/>
      <c r="C46" s="159"/>
      <c r="D46" s="159"/>
    </row>
    <row r="47" spans="1:9" ht="21" customHeight="1"/>
    <row r="48" spans="1:9" ht="17.25" customHeight="1"/>
    <row r="49" spans="1:6" ht="27" customHeight="1">
      <c r="B49" s="70" t="s">
        <v>113</v>
      </c>
      <c r="D49" s="160" t="str">
        <f>+C22</f>
        <v xml:space="preserve"> 05.09.2025г.</v>
      </c>
      <c r="E49" s="160"/>
      <c r="F49" s="160"/>
    </row>
    <row r="50" spans="1:6" ht="29.25" customHeight="1"/>
    <row r="51" spans="1:6" ht="10.5" customHeight="1"/>
    <row r="52" spans="1:6" ht="10.5" customHeight="1"/>
    <row r="53" spans="1:6" ht="34.5" customHeight="1"/>
    <row r="54" spans="1:6" ht="0.75" hidden="1" customHeight="1"/>
    <row r="55" spans="1:6" ht="11.25" hidden="1" customHeight="1"/>
    <row r="56" spans="1:6" ht="24.75" customHeight="1"/>
    <row r="57" spans="1:6" ht="11.25" customHeight="1">
      <c r="A57" s="70" t="s">
        <v>95</v>
      </c>
      <c r="C57" s="80" t="str">
        <f>+Инвойс!E26</f>
        <v>40634MCA/406085BA</v>
      </c>
    </row>
    <row r="59" spans="1:6" ht="39.75" customHeight="1">
      <c r="B59" s="79"/>
    </row>
    <row r="60" spans="1:6" ht="11.25" hidden="1" customHeight="1"/>
    <row r="61" spans="1:6" ht="11.25" hidden="1" customHeight="1"/>
    <row r="62" spans="1:6" ht="11.25" hidden="1" customHeight="1"/>
    <row r="63" spans="1:6" ht="23.25" customHeight="1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K51"/>
  <sheetViews>
    <sheetView zoomScaleNormal="100" workbookViewId="0">
      <selection activeCell="H46" sqref="H46"/>
    </sheetView>
  </sheetViews>
  <sheetFormatPr defaultRowHeight="1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/>
    <row r="2" spans="2:11" ht="21" customHeight="1">
      <c r="B2" s="163" t="s">
        <v>96</v>
      </c>
      <c r="C2" s="163"/>
    </row>
    <row r="3" spans="2:11" ht="20.25">
      <c r="B3" s="82"/>
    </row>
    <row r="4" spans="2:11" ht="15.75">
      <c r="B4" s="83"/>
    </row>
    <row r="5" spans="2:11" ht="15.75">
      <c r="B5" s="83"/>
    </row>
    <row r="6" spans="2:11" ht="15.75">
      <c r="B6" s="83"/>
    </row>
    <row r="7" spans="2:11" ht="16.5">
      <c r="B7" s="83"/>
      <c r="D7" s="84" t="s">
        <v>97</v>
      </c>
      <c r="F7" s="84"/>
      <c r="G7" s="85" t="s">
        <v>98</v>
      </c>
    </row>
    <row r="8" spans="2:11" ht="15.75">
      <c r="B8" s="83"/>
    </row>
    <row r="9" spans="2:11" ht="15.75" customHeight="1">
      <c r="B9" s="86"/>
    </row>
    <row r="10" spans="2:11" ht="4.5" customHeight="1">
      <c r="B10" s="83"/>
    </row>
    <row r="11" spans="2:11" ht="2.25" customHeight="1">
      <c r="I11" s="84"/>
      <c r="J11" s="85"/>
      <c r="K11" s="85"/>
    </row>
    <row r="12" spans="2:11" ht="4.5" customHeight="1">
      <c r="B12" s="87"/>
    </row>
    <row r="13" spans="2:11" ht="4.5" hidden="1" customHeight="1">
      <c r="F13" s="83" t="s">
        <v>99</v>
      </c>
    </row>
    <row r="14" spans="2:11" ht="21" customHeight="1">
      <c r="B14" s="164" t="str">
        <f>+Инвойс!E26</f>
        <v>40634MCA/406085BA</v>
      </c>
      <c r="C14" s="164"/>
      <c r="D14" s="164"/>
      <c r="E14" s="164"/>
      <c r="F14" s="164"/>
      <c r="G14" s="164"/>
      <c r="H14" s="165" t="s">
        <v>106</v>
      </c>
      <c r="I14" s="165"/>
      <c r="J14" s="88" t="str">
        <f>+Инвойс!F1</f>
        <v xml:space="preserve"> 05.09.2025г.</v>
      </c>
      <c r="K14" s="89"/>
    </row>
    <row r="15" spans="2:11" ht="21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EXG-F-46 от  05.09.2025г.</v>
      </c>
      <c r="I15" s="166"/>
      <c r="J15" s="166"/>
      <c r="K15" s="89"/>
    </row>
    <row r="16" spans="2:11" ht="15.75">
      <c r="B16" s="83"/>
    </row>
    <row r="17" spans="2:10" ht="23.25" customHeight="1">
      <c r="B17" s="83" t="s">
        <v>102</v>
      </c>
    </row>
    <row r="18" spans="2:10" ht="13.5" customHeight="1">
      <c r="B18" s="91"/>
      <c r="E18" s="117"/>
      <c r="F18" s="118">
        <f>+Инвойс!E30</f>
        <v>980</v>
      </c>
      <c r="G18" s="167" t="str">
        <f>+CMR!F30</f>
        <v>Дыни свежие</v>
      </c>
      <c r="H18" s="167"/>
      <c r="I18" s="119"/>
      <c r="J18" s="120"/>
    </row>
    <row r="19" spans="2:10" ht="11.25" customHeight="1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22816</v>
      </c>
    </row>
    <row r="20" spans="2:10" ht="13.5" customHeight="1">
      <c r="B20" s="83"/>
      <c r="E20" s="123"/>
      <c r="F20" s="118"/>
      <c r="G20" s="167"/>
      <c r="H20" s="167"/>
      <c r="I20" s="119"/>
      <c r="J20" s="120"/>
    </row>
    <row r="21" spans="2:10" ht="13.5" customHeight="1">
      <c r="B21" s="83"/>
      <c r="E21" s="123"/>
      <c r="F21" s="121"/>
      <c r="G21" s="161"/>
      <c r="H21" s="162"/>
      <c r="I21" s="122"/>
      <c r="J21" s="120"/>
    </row>
    <row r="22" spans="2:10" ht="12.75" customHeight="1">
      <c r="B22" s="83"/>
      <c r="E22" s="123"/>
      <c r="F22" s="118"/>
      <c r="G22" s="167"/>
      <c r="H22" s="167"/>
      <c r="I22" s="119"/>
      <c r="J22" s="120"/>
    </row>
    <row r="23" spans="2:10" ht="14.25" customHeight="1">
      <c r="B23" s="83"/>
      <c r="E23" s="123"/>
      <c r="F23" s="121"/>
      <c r="G23" s="161"/>
      <c r="H23" s="162"/>
      <c r="I23" s="122"/>
      <c r="J23" s="120"/>
    </row>
    <row r="24" spans="2:10" ht="12.75" customHeight="1">
      <c r="B24" s="87"/>
      <c r="E24" s="123"/>
      <c r="F24" s="118"/>
      <c r="G24" s="167"/>
      <c r="H24" s="167"/>
      <c r="I24" s="119"/>
      <c r="J24" s="120"/>
    </row>
    <row r="25" spans="2:10" ht="12.75" customHeight="1">
      <c r="B25" s="87"/>
      <c r="E25" s="123"/>
      <c r="F25" s="121"/>
      <c r="G25" s="161"/>
      <c r="H25" s="162"/>
      <c r="I25" s="122"/>
      <c r="J25" s="120"/>
    </row>
    <row r="26" spans="2:10" ht="12" customHeight="1">
      <c r="B26" s="87"/>
      <c r="E26" s="123"/>
      <c r="F26" s="118"/>
      <c r="G26" s="167"/>
      <c r="H26" s="167"/>
      <c r="I26" s="119"/>
      <c r="J26" s="120"/>
    </row>
    <row r="27" spans="2:10" ht="14.25" customHeight="1">
      <c r="B27" s="87"/>
      <c r="E27" s="123"/>
      <c r="F27" s="121"/>
      <c r="G27" s="161"/>
      <c r="H27" s="162"/>
      <c r="I27" s="122"/>
      <c r="J27" s="120"/>
    </row>
    <row r="28" spans="2:10" ht="12.75" customHeight="1">
      <c r="B28" s="87"/>
      <c r="E28" s="123"/>
      <c r="F28" s="118"/>
      <c r="G28" s="167"/>
      <c r="H28" s="167"/>
      <c r="I28" s="119"/>
      <c r="J28" s="120"/>
    </row>
    <row r="29" spans="2:10" ht="12.75" customHeight="1">
      <c r="B29" s="87"/>
      <c r="E29" s="123"/>
      <c r="F29" s="121"/>
      <c r="G29" s="161"/>
      <c r="H29" s="162"/>
      <c r="I29" s="122"/>
      <c r="J29" s="120"/>
    </row>
    <row r="30" spans="2:10" ht="12.75" customHeight="1">
      <c r="B30" s="87"/>
      <c r="E30" s="123"/>
      <c r="F30" s="118"/>
      <c r="G30" s="167"/>
      <c r="H30" s="167"/>
      <c r="I30" s="119"/>
      <c r="J30" s="120"/>
    </row>
    <row r="31" spans="2:10" ht="13.5" customHeight="1">
      <c r="B31" s="87"/>
      <c r="E31" s="123"/>
      <c r="F31" s="121"/>
      <c r="G31" s="161"/>
      <c r="H31" s="162"/>
      <c r="I31" s="122"/>
      <c r="J31" s="120"/>
    </row>
    <row r="32" spans="2:10" ht="13.5" customHeight="1">
      <c r="B32" s="87"/>
      <c r="E32" s="123"/>
      <c r="F32" s="118"/>
      <c r="G32" s="167"/>
      <c r="H32" s="167"/>
      <c r="I32" s="119"/>
      <c r="J32" s="120"/>
    </row>
    <row r="33" spans="2:10" ht="13.5" customHeight="1">
      <c r="B33" s="87"/>
      <c r="E33" s="123"/>
      <c r="F33" s="121"/>
      <c r="G33" s="161"/>
      <c r="H33" s="162"/>
      <c r="I33" s="122"/>
      <c r="J33" s="120"/>
    </row>
    <row r="34" spans="2:10" ht="13.5" customHeight="1">
      <c r="B34" s="87"/>
      <c r="E34" s="123"/>
      <c r="F34" s="118"/>
      <c r="G34" s="167"/>
      <c r="H34" s="167"/>
      <c r="I34" s="119"/>
      <c r="J34" s="120"/>
    </row>
    <row r="35" spans="2:10" ht="12.75" customHeight="1">
      <c r="B35" s="87"/>
      <c r="E35" s="123"/>
      <c r="F35" s="121"/>
      <c r="G35" s="161"/>
      <c r="H35" s="162"/>
      <c r="I35" s="122"/>
      <c r="J35" s="120"/>
    </row>
    <row r="36" spans="2:10">
      <c r="B36" s="87"/>
      <c r="E36" s="123"/>
      <c r="F36" s="118"/>
      <c r="G36" s="167"/>
      <c r="H36" s="167"/>
      <c r="I36" s="119"/>
      <c r="J36" s="120"/>
    </row>
    <row r="37" spans="2:10" ht="13.5" customHeight="1">
      <c r="B37" s="87"/>
      <c r="E37" s="123"/>
      <c r="F37" s="121"/>
      <c r="G37" s="161"/>
      <c r="H37" s="162"/>
      <c r="I37" s="122"/>
      <c r="J37" s="120"/>
    </row>
    <row r="38" spans="2:10">
      <c r="B38" s="87"/>
      <c r="E38" s="123"/>
      <c r="F38" s="118"/>
      <c r="G38" s="167"/>
      <c r="H38" s="167"/>
      <c r="I38" s="119"/>
      <c r="J38" s="120"/>
    </row>
    <row r="39" spans="2:10" ht="13.5" customHeight="1">
      <c r="B39" s="87"/>
      <c r="E39" s="123"/>
      <c r="F39" s="121"/>
      <c r="G39" s="161"/>
      <c r="H39" s="162"/>
      <c r="I39" s="122"/>
      <c r="J39" s="120"/>
    </row>
    <row r="40" spans="2:10" ht="14.25" hidden="1" customHeight="1">
      <c r="B40" s="87"/>
      <c r="E40" s="123"/>
      <c r="F40" s="118"/>
      <c r="G40" s="167"/>
      <c r="H40" s="167"/>
      <c r="I40" s="119"/>
      <c r="J40" s="120"/>
    </row>
    <row r="41" spans="2:10" ht="14.25" hidden="1" customHeight="1">
      <c r="B41" s="87"/>
      <c r="E41" s="123"/>
      <c r="F41" s="121"/>
      <c r="G41" s="161"/>
      <c r="H41" s="162"/>
      <c r="I41" s="122"/>
      <c r="J41" s="120"/>
    </row>
    <row r="42" spans="2:10" hidden="1">
      <c r="B42" s="87"/>
      <c r="E42" s="123"/>
      <c r="F42" s="118"/>
      <c r="G42" s="167"/>
      <c r="H42" s="167"/>
      <c r="I42" s="119"/>
      <c r="J42" s="120"/>
    </row>
    <row r="43" spans="2:10">
      <c r="B43" s="87"/>
      <c r="E43" s="123"/>
      <c r="F43" s="121"/>
      <c r="G43" s="161"/>
      <c r="H43" s="162"/>
      <c r="I43" s="122"/>
      <c r="J43" s="120"/>
    </row>
    <row r="44" spans="2:10" ht="9" customHeight="1">
      <c r="B44" s="87"/>
      <c r="E44" s="95"/>
      <c r="F44" s="92"/>
      <c r="G44" s="169"/>
      <c r="H44" s="169"/>
      <c r="I44" s="94"/>
      <c r="J44" s="124"/>
    </row>
    <row r="45" spans="2:10" ht="15" customHeight="1">
      <c r="B45" s="87"/>
      <c r="E45" s="95"/>
      <c r="F45" s="92"/>
      <c r="G45" s="93"/>
      <c r="H45" s="94"/>
      <c r="I45" s="122"/>
      <c r="J45" s="120"/>
    </row>
    <row r="46" spans="2:10" ht="30" customHeight="1">
      <c r="B46" s="87"/>
      <c r="F46" s="95"/>
      <c r="G46" s="95"/>
      <c r="H46" s="95"/>
      <c r="I46" s="96"/>
      <c r="J46" s="97"/>
    </row>
    <row r="47" spans="2:10" ht="20.25" customHeight="1">
      <c r="B47" s="98"/>
      <c r="D47" s="170">
        <f>+F18+F20+F22+F24+F26+F28+F30+F32+F34+F36+F38+F40+F42</f>
        <v>980</v>
      </c>
      <c r="E47" s="171"/>
    </row>
    <row r="48" spans="2:10" ht="17.25" customHeight="1">
      <c r="B48" s="168" t="s">
        <v>104</v>
      </c>
      <c r="C48" s="168"/>
      <c r="D48" s="168"/>
      <c r="E48" s="168"/>
    </row>
    <row r="49" spans="2:5" ht="21.75" customHeight="1">
      <c r="B49" s="168"/>
      <c r="C49" s="168"/>
      <c r="D49" s="168"/>
      <c r="E49" s="168"/>
    </row>
    <row r="50" spans="2:5">
      <c r="B50" s="98"/>
    </row>
    <row r="51" spans="2: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42"/>
  <sheetViews>
    <sheetView zoomScale="85" zoomScaleNormal="85" workbookViewId="0">
      <selection activeCell="O34" sqref="O34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74" t="s">
        <v>161</v>
      </c>
      <c r="C1" s="174"/>
      <c r="D1" s="174"/>
      <c r="E1" s="174"/>
      <c r="F1" s="134" t="str">
        <f>+Инвойс!F1</f>
        <v xml:space="preserve"> 05.09.2025г.</v>
      </c>
      <c r="G1" s="134"/>
      <c r="H1" s="134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41" t="str">
        <f>+Инвойс!C2</f>
        <v>к контракту № GR-EX-01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" customHeight="1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>
      <c r="A22" s="1" t="s">
        <v>122</v>
      </c>
      <c r="C22" s="65"/>
      <c r="F22" s="1"/>
    </row>
    <row r="23" spans="1:17" ht="26.25" hidden="1" customHeight="1">
      <c r="A23" s="69" t="s">
        <v>87</v>
      </c>
      <c r="B23" s="68"/>
      <c r="C23" s="173" t="s">
        <v>114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55" t="str">
        <f>+Инвойс!E26</f>
        <v>40634MCA/406085BA</v>
      </c>
      <c r="F26" s="156"/>
      <c r="G26" s="156"/>
      <c r="J26" s="21"/>
    </row>
    <row r="27" spans="1:17" ht="34.5" customHeight="1">
      <c r="A27" s="67" t="s">
        <v>123</v>
      </c>
      <c r="C27" s="18"/>
      <c r="E27" s="22"/>
      <c r="F27" s="22"/>
      <c r="G27" s="22"/>
      <c r="J27" s="21"/>
    </row>
    <row r="28" spans="1:17" ht="24" customHeight="1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5.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980</v>
      </c>
      <c r="F30" s="116" t="str">
        <f>+Инвойс!F30</f>
        <v>кг</v>
      </c>
      <c r="G30" s="106">
        <f>+Инвойс!G30</f>
        <v>22816</v>
      </c>
      <c r="H30" s="106">
        <f>+Инвойс!H30</f>
        <v>21052</v>
      </c>
      <c r="I30" s="108">
        <f>+Инвойс!I30</f>
        <v>0.25</v>
      </c>
      <c r="J30" s="13">
        <f>+Инвойс!J30</f>
        <v>5263</v>
      </c>
      <c r="K30" s="12">
        <v>0</v>
      </c>
      <c r="L30" s="12">
        <v>0</v>
      </c>
      <c r="M30" s="13">
        <f>+Инвойс!M30</f>
        <v>5263</v>
      </c>
      <c r="O30" s="100"/>
      <c r="Q30" s="100"/>
    </row>
    <row r="31" spans="1:17" ht="14.25">
      <c r="A31" s="150" t="s">
        <v>0</v>
      </c>
      <c r="B31" s="151"/>
      <c r="C31" s="14"/>
      <c r="D31" s="15"/>
      <c r="E31" s="64">
        <f>SUM(E30:E30)</f>
        <v>980</v>
      </c>
      <c r="F31" s="15"/>
      <c r="G31" s="64">
        <f>SUM(G30:G30)</f>
        <v>22816</v>
      </c>
      <c r="H31" s="64">
        <f>SUM(H30:H30)</f>
        <v>21052</v>
      </c>
      <c r="I31" s="102"/>
      <c r="J31" s="17">
        <f>SUM(J30:J30)</f>
        <v>5263</v>
      </c>
      <c r="K31" s="16"/>
      <c r="L31" s="16"/>
      <c r="M31" s="17">
        <f>SUM(M30:M30)</f>
        <v>5263</v>
      </c>
      <c r="P31" s="66"/>
    </row>
    <row r="32" spans="1:17" ht="13.5">
      <c r="A32" s="2" t="s">
        <v>17</v>
      </c>
      <c r="B32" s="3"/>
      <c r="C32" s="11"/>
      <c r="D32" s="11"/>
      <c r="E32" s="146" t="str">
        <f>Лист1!B3</f>
        <v>пять тысяч двести шестьдесят три доллара США,00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>
      <c r="A36" s="131" t="s">
        <v>152</v>
      </c>
      <c r="B36" s="131"/>
      <c r="D36" s="18" t="str">
        <f>+Инвойс!D36</f>
        <v>АБДИЛАКИМОВ А.А</v>
      </c>
      <c r="E36" s="132"/>
      <c r="G36" s="129" t="s">
        <v>127</v>
      </c>
      <c r="H36" s="18" t="str">
        <f>Инвойс!G5</f>
        <v>ООО «ГРИН ВОРЛД»</v>
      </c>
      <c r="K36" s="133" t="s">
        <v>141</v>
      </c>
    </row>
    <row r="37" spans="1:14" ht="15">
      <c r="A37" s="7"/>
      <c r="B37" s="9"/>
    </row>
    <row r="38" spans="1:14" ht="15">
      <c r="A38" s="7"/>
      <c r="B38" s="9"/>
    </row>
    <row r="39" spans="1:14" ht="15">
      <c r="A39" s="7"/>
      <c r="B39" s="9"/>
    </row>
    <row r="40" spans="1:14" ht="15">
      <c r="A40" s="7"/>
      <c r="B40" s="9"/>
    </row>
    <row r="41" spans="1:14" ht="15">
      <c r="A41" s="8"/>
      <c r="B41" s="9"/>
    </row>
    <row r="42" spans="1:14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topLeftCell="A4" zoomScale="85" zoomScaleNormal="85" workbookViewId="0">
      <selection activeCell="E10" sqref="E10:H10"/>
    </sheetView>
  </sheetViews>
  <sheetFormatPr defaultRowHeight="12.75"/>
  <cols>
    <col min="1" max="1" width="48.7109375" bestFit="1" customWidth="1"/>
  </cols>
  <sheetData>
    <row r="1" spans="1:10" ht="38.25">
      <c r="A1" s="126" t="s">
        <v>115</v>
      </c>
    </row>
    <row r="3" spans="1:10" ht="51">
      <c r="A3" s="130" t="s">
        <v>126</v>
      </c>
    </row>
    <row r="5" spans="1:10" ht="89.25">
      <c r="A5" s="126" t="s">
        <v>154</v>
      </c>
    </row>
    <row r="6" spans="1:10">
      <c r="E6" s="18" t="s">
        <v>156</v>
      </c>
      <c r="J6" s="25" t="s">
        <v>129</v>
      </c>
    </row>
    <row r="7" spans="1:10" ht="51">
      <c r="A7" s="126" t="s">
        <v>116</v>
      </c>
    </row>
    <row r="8" spans="1:10">
      <c r="E8" s="18" t="s">
        <v>157</v>
      </c>
      <c r="J8" s="25" t="s">
        <v>130</v>
      </c>
    </row>
    <row r="9" spans="1:10" ht="51">
      <c r="A9" s="126" t="s">
        <v>117</v>
      </c>
    </row>
    <row r="10" spans="1:10">
      <c r="A10" s="126"/>
      <c r="E10" s="18" t="s">
        <v>157</v>
      </c>
      <c r="J10" s="25" t="s">
        <v>131</v>
      </c>
    </row>
    <row r="11" spans="1:10" ht="51">
      <c r="A11" s="126" t="s">
        <v>153</v>
      </c>
    </row>
    <row r="12" spans="1:10">
      <c r="E12" s="18" t="s">
        <v>158</v>
      </c>
      <c r="J12" s="25" t="s">
        <v>132</v>
      </c>
    </row>
    <row r="13" spans="1:10" ht="51">
      <c r="A13" s="126" t="s">
        <v>118</v>
      </c>
    </row>
    <row r="15" spans="1:10" ht="38.25">
      <c r="A15" s="126" t="s">
        <v>119</v>
      </c>
    </row>
    <row r="17" spans="1:1" ht="38.25">
      <c r="A17" s="126" t="s">
        <v>120</v>
      </c>
    </row>
    <row r="19" spans="1:1" ht="38.25">
      <c r="A19" s="128" t="s">
        <v>121</v>
      </c>
    </row>
    <row r="21" spans="1:1" ht="12.75" customHeight="1"/>
    <row r="25" spans="1:1" ht="12.75" customHeight="1"/>
    <row r="29" spans="1:1" ht="12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01"/>
  <sheetViews>
    <sheetView topLeftCell="A4" workbookViewId="0">
      <selection activeCell="B3" sqref="B3"/>
    </sheetView>
  </sheetViews>
  <sheetFormatPr defaultColWidth="9.140625" defaultRowHeight="12.75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>
      <c r="E2" s="27">
        <f>Инвойс!M31</f>
        <v>5263</v>
      </c>
      <c r="G2" s="28">
        <v>357.79118644067796</v>
      </c>
      <c r="H2" s="4"/>
    </row>
    <row r="3" spans="1:19" ht="15.75">
      <c r="A3" s="29" t="s">
        <v>33</v>
      </c>
      <c r="B3" s="30" t="str">
        <f>SUBSTITUTE(B5,F9,F10,1)</f>
        <v>пять тысяч двести шестьдесят три доллара США,00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45905</v>
      </c>
      <c r="O3" s="178"/>
      <c r="P3">
        <f ca="1">DAY(N3)</f>
        <v>5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>
      <c r="A4" s="29" t="s">
        <v>35</v>
      </c>
      <c r="B4" s="36" t="str">
        <f>SUBSTITUTE(B6,F9,F10,1)</f>
        <v>пять тысяч двести шестьдесят три доллара США,00 центов. (в т.ч. НДС - 357,79)</v>
      </c>
      <c r="H4" s="32"/>
      <c r="I4" s="32"/>
      <c r="J4" s="32"/>
      <c r="K4" s="179" t="str">
        <f ca="1">CONCATENATE(" «  ",P3,"  »  ",Q3,"  ",R3," г.")</f>
        <v xml:space="preserve"> «  5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>
      <c r="A5" s="38" t="s">
        <v>36</v>
      </c>
      <c r="B5" s="36" t="str">
        <f>CONCATENATE(A8,A9,A10,A11,A12)</f>
        <v>пять тысяч двести шестьдесят три доллара США,00 центов.</v>
      </c>
    </row>
    <row r="6" spans="1:19" s="36" customFormat="1">
      <c r="A6" s="38" t="s">
        <v>37</v>
      </c>
      <c r="B6" s="36" t="str">
        <f>CONCATENATE(A8,A9,A10,A11,A12,B8,B9,C9)</f>
        <v>пять тысяч двести шестьдесят три доллара США,00 центов. (в т.ч. НДС - 357,79)</v>
      </c>
      <c r="C6"/>
      <c r="D6"/>
      <c r="E6"/>
      <c r="H6" s="39"/>
    </row>
    <row r="7" spans="1:19">
      <c r="D7" s="33"/>
      <c r="H7" s="180" t="s">
        <v>38</v>
      </c>
      <c r="I7" s="180"/>
      <c r="J7" s="180"/>
    </row>
    <row r="8" spans="1:19" ht="12.75" customHeight="1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7</v>
      </c>
      <c r="G8" s="42"/>
      <c r="H8" s="180"/>
      <c r="I8" s="180"/>
      <c r="J8" s="180"/>
    </row>
    <row r="9" spans="1:19" ht="12.75" customHeight="1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_x0007_</v>
      </c>
      <c r="G9" s="42"/>
      <c r="H9" s="180"/>
      <c r="I9" s="180"/>
      <c r="J9" s="180"/>
      <c r="Q9" s="46"/>
    </row>
    <row r="10" spans="1:19" s="43" customFormat="1" ht="12.75" customHeight="1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_x0007_</v>
      </c>
      <c r="G10" s="42"/>
      <c r="H10" s="180"/>
      <c r="I10" s="180"/>
      <c r="J10" s="180"/>
    </row>
    <row r="11" spans="1:19" s="43" customFormat="1" ht="12.75" customHeight="1">
      <c r="A11" s="43" t="str">
        <f>CONCATENATE(IF(B27=0,"",E27),IF(B28=0,"",IF(C29&lt;20,IF(C29&lt;16,IF(C29&lt;10,E28,D29),F29),E28)),IF(B29=0,"",IF(NOT(B28=1),E29,"")),F30)</f>
        <v>двести шестьдесят три доллара США,</v>
      </c>
      <c r="D11" s="47"/>
      <c r="E11" s="48"/>
      <c r="H11" s="180"/>
      <c r="I11" s="180"/>
      <c r="J11" s="180"/>
    </row>
    <row r="12" spans="1:19" s="43" customFormat="1">
      <c r="A12" s="49" t="str">
        <f>CONCATENATE(IF(C31=0,"0",C31),IF(C32=0,"0",C32)," ",F33)</f>
        <v>00 центов.</v>
      </c>
      <c r="D12" s="47"/>
      <c r="E12" s="48"/>
      <c r="M12" s="50">
        <f ca="1">TODAY()</f>
        <v>45905</v>
      </c>
    </row>
    <row r="13" spans="1:19" s="43" customFormat="1">
      <c r="A13" s="49"/>
      <c r="D13" s="51"/>
      <c r="E13" s="52">
        <f>TRUNC(E2)</f>
        <v>5263</v>
      </c>
      <c r="F13" s="51" t="s">
        <v>41</v>
      </c>
      <c r="H13" s="47"/>
      <c r="M13" s="53"/>
    </row>
    <row r="14" spans="1:19" s="43" customFormat="1">
      <c r="A14" s="54">
        <f>TRUNC(A15/10)</f>
        <v>0</v>
      </c>
      <c r="B14" s="47"/>
      <c r="C14" s="51"/>
      <c r="H14" s="47"/>
    </row>
    <row r="15" spans="1:19" s="43" customFormat="1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>
      <c r="A28" s="54">
        <f>TRUNC(A29/10)</f>
        <v>526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>
      <c r="A29" s="54">
        <f>E13</f>
        <v>5263</v>
      </c>
      <c r="B29" s="47">
        <f>TRUNC(RIGHT(A29))</f>
        <v>3</v>
      </c>
      <c r="C29" s="51">
        <f>IF(B28=1,B29+10,IF(B29=0,0,B29))</f>
        <v>3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>
      <c r="A30" s="49"/>
      <c r="B30" s="58"/>
      <c r="C30" s="59"/>
      <c r="E30" s="57">
        <f>B27*100+B28*10+B29</f>
        <v>263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>
      <c r="F33" s="43" t="s">
        <v>42</v>
      </c>
      <c r="H33" s="47"/>
    </row>
    <row r="34" spans="1:11" s="43" customFormat="1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>
      <c r="B43" s="61"/>
      <c r="C43" s="61"/>
      <c r="D43" s="61" t="s">
        <v>79</v>
      </c>
      <c r="E43" s="61" t="s">
        <v>80</v>
      </c>
      <c r="H43" s="47"/>
    </row>
    <row r="44" spans="1:11" s="43" customFormat="1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>
      <c r="B47" s="61"/>
      <c r="C47" s="61"/>
      <c r="H47" s="47"/>
    </row>
    <row r="48" spans="1:11" s="43" customFormat="1">
      <c r="B48" s="61"/>
      <c r="C48" s="61"/>
      <c r="H48" s="47"/>
    </row>
    <row r="49" spans="2:8" s="43" customFormat="1">
      <c r="B49" s="61"/>
      <c r="C49" s="61"/>
      <c r="H49" s="47"/>
    </row>
    <row r="50" spans="2:8" s="43" customFormat="1">
      <c r="B50" s="61"/>
      <c r="C50" s="61"/>
      <c r="H50" s="47"/>
    </row>
    <row r="51" spans="2:8" s="43" customFormat="1">
      <c r="B51" s="61"/>
      <c r="C51" s="61"/>
      <c r="H51" s="47"/>
    </row>
    <row r="52" spans="2:8" s="43" customFormat="1">
      <c r="B52" s="61"/>
      <c r="C52" s="61"/>
      <c r="H52" s="47"/>
    </row>
    <row r="100" spans="1:4">
      <c r="A100" s="176" t="s">
        <v>85</v>
      </c>
      <c r="B100" s="176"/>
      <c r="C100" s="176"/>
      <c r="D100" s="176"/>
    </row>
    <row r="101" spans="1:4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usmon</cp:lastModifiedBy>
  <cp:lastPrinted>2025-09-05T15:22:44Z</cp:lastPrinted>
  <dcterms:created xsi:type="dcterms:W3CDTF">1996-10-14T23:33:28Z</dcterms:created>
  <dcterms:modified xsi:type="dcterms:W3CDTF">2025-09-05T15:22:48Z</dcterms:modified>
</cp:coreProperties>
</file>