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0934D8-1BC4-4685-93BB-95A4D7F91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<sst xmlns="http://schemas.openxmlformats.org/spreadsheetml/2006/main" count="226" uniqueCount="166">
  <si>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</si>
  <si>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</si>
  <si>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</si>
  <si>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</si>
  <si>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</si>
  <si>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</si>
  <si>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</si>
  <si>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</si>
  <si>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</si>
  <si>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</si>
  <si>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</si>
  <si>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</si>
  <si>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</si>
  <si>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</si>
  <si>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</si>
  <si>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</si>
  <si>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</si>
  <si>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</si>
  <si>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</si>
  <si>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</si>
  <si>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</si>
  <si>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</si>
  <si>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</si>
  <si>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</si>
  <si>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</si>
  <si>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</si>
  <si>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</si>
  <si>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</si>
  <si>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</si>
  <si>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</si>
  <si>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</si>
  <si>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</si>
  <si>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</si>
  <si>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</si>
  <si>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</si>
  <si>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</si>
  <si>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</si>
  <si>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</si>
  <si>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</si>
  <si>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</si>
  <si>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</si>
  <si>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</si>
  <si>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</si>
  <si>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</si>
  <si>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</si>
  <si>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</si>
  <si>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</si>
  <si>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</si>
  <si>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</si>
  <si>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</si>
  <si>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</si>
  <si>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</si>
  <si>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</si>
  <si>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</si>
  <si>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</si>
  <si>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</si>
  <si>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</si>
  <si>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</si>
  <si>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</si>
  <si>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</si>
  <si>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</si>
  <si>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</si>
  <si>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</si>
  <si>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</si>
  <si>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</si>
  <si>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</si>
  <si>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</si>
  <si>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</si>
  <si>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</si>
  <si>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</si>
  <si>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</si>
  <si>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</si>
  <si>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</si>
  <si>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</si>
  <si>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</si>
  <si>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</si>
  <si>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</si>
  <si>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</si>
  <si>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</si>
  <si>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</si>
  <si>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</si>
  <si>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</si>
  <si>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</si>
  <si>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</si>
  <si>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</si>
  <si>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</si>
  <si>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</si>
  <si>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</si>
  <si>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</si>
  <si>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</si>
  <si>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</si>
  <si>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</si>
  <si>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</si>
  <si>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</si>
  <si>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</si>
  <si>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</si>
  <si>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</si>
  <si>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</si>
  <si>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</si>
  <si>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</si>
  <si>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</si>
  <si>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</si>
  <si>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</si>
  <si>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</si>
  <si>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</si>
  <si>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</si>
  <si>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</si>
  <si>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</si>
  <si>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</si>
  <si>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</si>
  <si>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</si>
  <si>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</si>
  <si>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</si>
  <si>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</si>
  <si>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</si>
  <si>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</si>
  <si>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</si>
  <si>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</si>
  <si>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</si>
  <si>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</si>
  <si>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</si>
  <si>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</si>
  <si>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</si>
  <si>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</si>
  <si>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</si>
  <si>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</si>
  <si>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</si>
  <si>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</si>
  <si>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</si>
  <si>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</si>
  <si>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</si>
  <si>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</si>
  <si>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</si>
  <si>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</si>
  <si>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</si>
  <si>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</si>
  <si>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</si>
  <si>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</si>
  <si>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</si>
  <si>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</si>
  <si>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</si>
  <si>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</si>
  <si>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</si>
  <si>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</si>
  <si>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</si>
  <si>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</si>
  <si>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</si>
  <si>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</si>
  <si>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</si>
  <si>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</si>
  <si>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</si>
  <si>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</si>
  <si>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</si>
  <si>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</si>
  <si>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</si>
  <si>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</si>
  <si>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</si>
  <si>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</si>
  <si>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</si>
  <si>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</si>
  <si>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</si>
  <si>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</si>
  <si>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EXG-F-42 от </t>
  </si>
  <si>
    <t xml:space="preserve"> 05.09.2025г.</t>
  </si>
  <si>
    <t>40Z356RB/402063CA</t>
  </si>
  <si>
    <t xml:space="preserve">СПЕЦИФИКАЦИЯ № EXG-F-42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</si>
</sst>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39</xdr:row>
      <xdr:rowOff>123262</xdr:rowOff>
    </xdr:from>
    <xdr:to>
      <xdr:col>3</xdr:col>
      <xdr:colOff>439882</xdr:colOff>
      <xdr:row>53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39</xdr:row>
      <xdr:rowOff>78440</xdr:rowOff>
    </xdr:from>
    <xdr:to>
      <xdr:col>5</xdr:col>
      <xdr:colOff>179852</xdr:colOff>
      <xdr:row>42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40</xdr:row>
      <xdr:rowOff>11205</xdr:rowOff>
    </xdr:from>
    <xdr:to>
      <xdr:col>2</xdr:col>
      <xdr:colOff>427079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39</xdr:row>
      <xdr:rowOff>156882</xdr:rowOff>
    </xdr:from>
    <xdr:to>
      <xdr:col>4</xdr:col>
      <xdr:colOff>112618</xdr:colOff>
      <xdr:row>43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39</xdr:row>
      <xdr:rowOff>44824</xdr:rowOff>
    </xdr:from>
    <xdr:to>
      <xdr:col>9</xdr:col>
      <xdr:colOff>578784</xdr:colOff>
      <xdr:row>50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162</v>
      </c>
      <c r="D1" s="135"/>
      <c r="E1" s="135"/>
      <c r="F1" s="134" t="s">
        <v>163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150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151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152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140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157</v>
      </c>
      <c r="B12" s="8"/>
      <c r="C12" s="8"/>
      <c r="D12" s="8"/>
      <c r="E12" s="8"/>
      <c r="F12" s="7"/>
      <c r="G12" s="139" t="s">
        <v>147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150</v>
      </c>
      <c r="B14" s="136"/>
      <c r="C14" s="136"/>
      <c r="D14" s="136"/>
      <c r="E14" s="136"/>
      <c r="F14" s="6"/>
      <c r="G14" s="138" t="s">
        <v>141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151</v>
      </c>
      <c r="B15" s="143"/>
      <c r="C15" s="143"/>
      <c r="D15" s="143"/>
      <c r="E15" s="143"/>
      <c r="F15" s="7"/>
      <c r="G15" s="140" t="s">
        <v>142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152</v>
      </c>
      <c r="B16" s="143"/>
      <c r="C16" s="143"/>
      <c r="D16" s="143"/>
      <c r="E16" s="143"/>
      <c r="F16" s="63"/>
      <c r="G16" s="140" t="s">
        <v>143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145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140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157</v>
      </c>
      <c r="B21" s="8"/>
      <c r="C21" s="8"/>
      <c r="D21" s="8"/>
      <c r="E21" s="8"/>
      <c r="G21" s="139" t="s">
        <v>147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139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164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25" t="s">
        <v>117</v>
      </c>
      <c r="C30" s="107" t="s">
        <v>125</v>
      </c>
      <c r="D30" s="109" t="s">
        <v>111</v>
      </c>
      <c r="E30" s="101">
        <v>1000</v>
      </c>
      <c r="F30" s="115" t="s">
        <v>27</v>
      </c>
      <c r="G30" s="106">
        <v>19000</v>
      </c>
      <c r="H30" s="106">
        <v>17500</v>
      </c>
      <c r="I30" s="108">
        <v>0.4</v>
      </c>
      <c r="J30" s="13">
        <f t="shared" ref="J30:J33" si="0">H30*I30</f>
        <v>7000</v>
      </c>
      <c r="K30" s="12">
        <v>0</v>
      </c>
      <c r="L30" s="12">
        <v>0</v>
      </c>
      <c r="M30" s="13">
        <f t="shared" ref="M30:M33" si="1">J30</f>
        <v>7000</v>
      </c>
      <c r="O30" s="100"/>
      <c r="Q30" s="100"/>
    </row>
    <row r="31" spans="1:17" ht="27.6" x14ac:dyDescent="0.25">
      <c r="A31" s="127">
        <v>2</v>
      </c>
      <c r="B31" s="125" t="s">
        <v>117</v>
      </c>
      <c r="C31" s="107" t="s">
        <v>125</v>
      </c>
      <c r="D31" s="109" t="s">
        <v>111</v>
      </c>
      <c r="E31" s="101">
        <v>130</v>
      </c>
      <c r="F31" s="115" t="s">
        <v>27</v>
      </c>
      <c r="G31" s="106">
        <v>2470</v>
      </c>
      <c r="H31" s="106">
        <v>2275</v>
      </c>
      <c r="I31" s="108">
        <v>0.4</v>
      </c>
      <c r="J31" s="13">
        <f t="shared" si="0"/>
        <v>910</v>
      </c>
      <c r="K31" s="12">
        <v>0</v>
      </c>
      <c r="L31" s="12">
        <v>0</v>
      </c>
      <c r="M31" s="13">
        <f t="shared" si="1"/>
        <v>910</v>
      </c>
      <c r="O31" s="100"/>
      <c r="Q31" s="100"/>
    </row>
    <row r="32" spans="1:17" ht="27.6" x14ac:dyDescent="0.25">
      <c r="A32" s="127">
        <v>3</v>
      </c>
      <c r="B32" s="125" t="s">
        <v>115</v>
      </c>
      <c r="C32" s="107" t="s">
        <v>116</v>
      </c>
      <c r="D32" s="109" t="s">
        <v>111</v>
      </c>
      <c r="E32" s="101">
        <v>100</v>
      </c>
      <c r="F32" s="115" t="s">
        <v>27</v>
      </c>
      <c r="G32" s="106">
        <v>800</v>
      </c>
      <c r="H32" s="106">
        <v>700</v>
      </c>
      <c r="I32" s="108">
        <v>1.05</v>
      </c>
      <c r="J32" s="13">
        <f t="shared" si="0"/>
        <v>735</v>
      </c>
      <c r="K32" s="12">
        <v>0</v>
      </c>
      <c r="L32" s="12">
        <v>0</v>
      </c>
      <c r="M32" s="13">
        <f t="shared" si="1"/>
        <v>735</v>
      </c>
      <c r="O32" s="100"/>
      <c r="Q32" s="100"/>
    </row>
    <row r="33" spans="1:17" ht="27.6" x14ac:dyDescent="0.25">
      <c r="A33" s="127">
        <v>4</v>
      </c>
      <c r="B33" s="125" t="s">
        <v>115</v>
      </c>
      <c r="C33" s="107" t="s">
        <v>116</v>
      </c>
      <c r="D33" s="109" t="s">
        <v>111</v>
      </c>
      <c r="E33" s="101">
        <v>50</v>
      </c>
      <c r="F33" s="115" t="s">
        <v>27</v>
      </c>
      <c r="G33" s="106">
        <v>400</v>
      </c>
      <c r="H33" s="106">
        <v>350</v>
      </c>
      <c r="I33" s="108">
        <v>1.05</v>
      </c>
      <c r="J33" s="13">
        <f t="shared" si="0"/>
        <v>367.5</v>
      </c>
      <c r="K33" s="12">
        <v>0</v>
      </c>
      <c r="L33" s="12">
        <v>0</v>
      </c>
      <c r="M33" s="13">
        <f t="shared" si="1"/>
        <v>367.5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1280</v>
      </c>
      <c r="F34" s="15"/>
      <c r="G34" s="64">
        <f>SUM(G30:G33)</f>
        <v>22670</v>
      </c>
      <c r="H34" s="64">
        <f>SUM(H30:H33)</f>
        <v>20825</v>
      </c>
      <c r="I34" s="102"/>
      <c r="J34" s="17">
        <f>SUM(J30:J33)</f>
        <v>9012.5</v>
      </c>
      <c r="K34" s="16"/>
      <c r="L34" s="16"/>
      <c r="M34" s="17">
        <f>SUM(M30:M33)</f>
        <v>9012.5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Девять тысяч двенадцать долларов США, 50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 t="s">
        <v>109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ht="13.8" x14ac:dyDescent="0.25">
      <c r="A39" s="7" t="s">
        <v>28</v>
      </c>
      <c r="B39" s="7"/>
      <c r="D39" s="25" t="s">
        <v>158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EXG-F-42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19000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130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2470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100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800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50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400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40Z356RB/402063CA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E46" sqref="E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40Z356RB/402063CA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EXG-F-42 от  05.09.2025г.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7" t="str">
        <f>+CMR!F30</f>
        <v>Перец стручковый сладкий свежий</v>
      </c>
      <c r="H18" s="167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1" t="str">
        <f>+Инвойс!C30</f>
        <v>0709601003</v>
      </c>
      <c r="H19" s="162"/>
      <c r="I19" s="121" t="s">
        <v>103</v>
      </c>
      <c r="J19" s="119">
        <f>+Инвойс!G30</f>
        <v>19000</v>
      </c>
    </row>
    <row r="20" spans="2:10" ht="13.5" customHeight="1" x14ac:dyDescent="0.3">
      <c r="B20" s="83"/>
      <c r="E20" s="122"/>
      <c r="F20" s="117">
        <f>+Инвойс!E31</f>
        <v>130</v>
      </c>
      <c r="G20" s="167" t="str">
        <f>+CMR!F31</f>
        <v>Перец стручковый сладкий свежий</v>
      </c>
      <c r="H20" s="167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Пласт. ящик</v>
      </c>
      <c r="G21" s="161" t="str">
        <f>+Инвойс!C31</f>
        <v>0709601003</v>
      </c>
      <c r="H21" s="162"/>
      <c r="I21" s="121" t="s">
        <v>103</v>
      </c>
      <c r="J21" s="119">
        <f>+Инвойс!G31</f>
        <v>2470</v>
      </c>
    </row>
    <row r="22" spans="2:10" ht="12.75" customHeight="1" x14ac:dyDescent="0.3">
      <c r="B22" s="83"/>
      <c r="E22" s="122"/>
      <c r="F22" s="117">
        <f>+Инвойс!E32</f>
        <v>100</v>
      </c>
      <c r="G22" s="167" t="str">
        <f>+CMR!F32</f>
        <v>Перец горький свежий</v>
      </c>
      <c r="H22" s="167"/>
      <c r="I22" s="118"/>
      <c r="J22" s="119"/>
    </row>
    <row r="23" spans="2:10" ht="14.25" customHeight="1" x14ac:dyDescent="0.3">
      <c r="B23" s="83"/>
      <c r="E23" s="122"/>
      <c r="F23" s="120" t="str">
        <f>+Инвойс!D32</f>
        <v>Пласт. ящик</v>
      </c>
      <c r="G23" s="161" t="str">
        <f>+Инвойс!C32</f>
        <v>0709609900</v>
      </c>
      <c r="H23" s="162"/>
      <c r="I23" s="121" t="s">
        <v>103</v>
      </c>
      <c r="J23" s="119">
        <f>+Инвойс!G32</f>
        <v>800</v>
      </c>
    </row>
    <row r="24" spans="2:10" ht="12.75" customHeight="1" x14ac:dyDescent="0.3">
      <c r="B24" s="87"/>
      <c r="E24" s="122"/>
      <c r="F24" s="117">
        <f>+Инвойс!E33</f>
        <v>50</v>
      </c>
      <c r="G24" s="167" t="str">
        <f>+CMR!F33</f>
        <v>Перец горький свежий</v>
      </c>
      <c r="H24" s="167"/>
      <c r="I24" s="118"/>
      <c r="J24" s="119"/>
    </row>
    <row r="25" spans="2:10" ht="12.75" customHeight="1" x14ac:dyDescent="0.3">
      <c r="B25" s="87"/>
      <c r="E25" s="122"/>
      <c r="F25" s="120" t="str">
        <f>+Инвойс!D33</f>
        <v>Пласт. ящик</v>
      </c>
      <c r="G25" s="161" t="str">
        <f>+Инвойс!C33</f>
        <v>0709609900</v>
      </c>
      <c r="H25" s="162"/>
      <c r="I25" s="121" t="s">
        <v>103</v>
      </c>
      <c r="J25" s="119">
        <f>+Инвойс!G33</f>
        <v>400</v>
      </c>
    </row>
    <row r="26" spans="2:10" ht="12" customHeight="1" x14ac:dyDescent="0.3">
      <c r="B26" s="87"/>
      <c r="E26" s="122"/>
      <c r="F26" s="117"/>
      <c r="G26" s="167"/>
      <c r="H26" s="167"/>
      <c r="I26" s="118"/>
      <c r="J26" s="119"/>
    </row>
    <row r="27" spans="2:10" ht="14.25" customHeight="1" x14ac:dyDescent="0.3">
      <c r="B27" s="87"/>
      <c r="E27" s="122"/>
      <c r="F27" s="120"/>
      <c r="G27" s="161"/>
      <c r="H27" s="162"/>
      <c r="I27" s="121"/>
      <c r="J27" s="119"/>
    </row>
    <row r="28" spans="2:10" ht="12.75" customHeight="1" x14ac:dyDescent="0.3">
      <c r="B28" s="87"/>
      <c r="E28" s="122"/>
      <c r="F28" s="117"/>
      <c r="G28" s="167"/>
      <c r="H28" s="167"/>
      <c r="I28" s="118"/>
      <c r="J28" s="119"/>
    </row>
    <row r="29" spans="2:10" ht="12.75" customHeight="1" x14ac:dyDescent="0.3">
      <c r="B29" s="87"/>
      <c r="E29" s="122"/>
      <c r="F29" s="120"/>
      <c r="G29" s="161"/>
      <c r="H29" s="162"/>
      <c r="I29" s="121"/>
      <c r="J29" s="119"/>
    </row>
    <row r="30" spans="2:10" ht="12.75" customHeight="1" x14ac:dyDescent="0.3">
      <c r="B30" s="87"/>
      <c r="E30" s="122"/>
      <c r="F30" s="117"/>
      <c r="G30" s="167"/>
      <c r="H30" s="167"/>
      <c r="I30" s="118"/>
      <c r="J30" s="119"/>
    </row>
    <row r="31" spans="2:10" ht="13.5" customHeight="1" x14ac:dyDescent="0.3">
      <c r="B31" s="87"/>
      <c r="E31" s="122"/>
      <c r="F31" s="120"/>
      <c r="G31" s="161"/>
      <c r="H31" s="162"/>
      <c r="I31" s="121"/>
      <c r="J31" s="119"/>
    </row>
    <row r="32" spans="2:10" ht="13.5" customHeight="1" x14ac:dyDescent="0.3">
      <c r="B32" s="87"/>
      <c r="E32" s="122"/>
      <c r="F32" s="117"/>
      <c r="G32" s="167"/>
      <c r="H32" s="167"/>
      <c r="I32" s="118"/>
      <c r="J32" s="119"/>
    </row>
    <row r="33" spans="2:10" ht="13.5" customHeight="1" x14ac:dyDescent="0.3">
      <c r="B33" s="87"/>
      <c r="E33" s="122"/>
      <c r="F33" s="120"/>
      <c r="G33" s="161"/>
      <c r="H33" s="162"/>
      <c r="I33" s="121"/>
      <c r="J33" s="119"/>
    </row>
    <row r="34" spans="2:10" ht="13.5" customHeight="1" x14ac:dyDescent="0.3">
      <c r="B34" s="87"/>
      <c r="E34" s="122"/>
      <c r="F34" s="117"/>
      <c r="G34" s="167"/>
      <c r="H34" s="167"/>
      <c r="I34" s="118"/>
      <c r="J34" s="119"/>
    </row>
    <row r="35" spans="2:10" ht="12.75" customHeight="1" x14ac:dyDescent="0.3">
      <c r="B35" s="87"/>
      <c r="E35" s="122"/>
      <c r="F35" s="120"/>
      <c r="G35" s="161"/>
      <c r="H35" s="162"/>
      <c r="I35" s="121"/>
      <c r="J35" s="119"/>
    </row>
    <row r="36" spans="2:10" x14ac:dyDescent="0.3">
      <c r="B36" s="87"/>
      <c r="E36" s="122"/>
      <c r="F36" s="117"/>
      <c r="G36" s="167"/>
      <c r="H36" s="167"/>
      <c r="I36" s="118"/>
      <c r="J36" s="119"/>
    </row>
    <row r="37" spans="2:10" ht="13.5" customHeight="1" x14ac:dyDescent="0.3">
      <c r="B37" s="87"/>
      <c r="E37" s="122"/>
      <c r="F37" s="120"/>
      <c r="G37" s="161"/>
      <c r="H37" s="162"/>
      <c r="I37" s="121"/>
      <c r="J37" s="119"/>
    </row>
    <row r="38" spans="2:10" x14ac:dyDescent="0.3">
      <c r="B38" s="87"/>
      <c r="E38" s="122"/>
      <c r="F38" s="117"/>
      <c r="G38" s="167"/>
      <c r="H38" s="167"/>
      <c r="I38" s="118"/>
      <c r="J38" s="119"/>
    </row>
    <row r="39" spans="2:10" ht="13.5" customHeight="1" x14ac:dyDescent="0.3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3">
      <c r="B40" s="87"/>
      <c r="E40" s="122"/>
      <c r="F40" s="117"/>
      <c r="G40" s="167"/>
      <c r="H40" s="167"/>
      <c r="I40" s="118"/>
      <c r="J40" s="119"/>
    </row>
    <row r="41" spans="2:10" ht="14.25" hidden="1" customHeight="1" x14ac:dyDescent="0.3">
      <c r="B41" s="87"/>
      <c r="E41" s="122"/>
      <c r="F41" s="120"/>
      <c r="G41" s="161"/>
      <c r="H41" s="162"/>
      <c r="I41" s="121"/>
      <c r="J41" s="119"/>
    </row>
    <row r="42" spans="2:10" hidden="1" x14ac:dyDescent="0.3">
      <c r="B42" s="87"/>
      <c r="E42" s="122"/>
      <c r="F42" s="117"/>
      <c r="G42" s="167"/>
      <c r="H42" s="167"/>
      <c r="I42" s="118"/>
      <c r="J42" s="119"/>
    </row>
    <row r="43" spans="2:10" x14ac:dyDescent="0.3">
      <c r="B43" s="87"/>
      <c r="E43" s="122"/>
      <c r="F43" s="120"/>
      <c r="G43" s="161"/>
      <c r="H43" s="162"/>
      <c r="I43" s="121"/>
      <c r="J43" s="119"/>
    </row>
    <row r="44" spans="2:10" ht="9" customHeight="1" x14ac:dyDescent="0.3">
      <c r="B44" s="87"/>
      <c r="E44" s="95"/>
      <c r="F44" s="92"/>
      <c r="G44" s="169"/>
      <c r="H44" s="169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1280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10" zoomScale="85" zoomScaleNormal="85" workbookViewId="0">
      <selection activeCell="A37" sqref="A37:M3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165</v>
      </c>
      <c r="C1" s="173"/>
      <c r="D1" s="173"/>
      <c r="E1" s="173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127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40Z356RB/402063CA</v>
      </c>
      <c r="F26" s="156"/>
      <c r="G26" s="156"/>
      <c r="J26" s="21"/>
    </row>
    <row r="27" spans="1:17" ht="34.5" customHeight="1" x14ac:dyDescent="0.25">
      <c r="A27" s="67" t="s">
        <v>128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1000</v>
      </c>
      <c r="F30" s="115" t="str">
        <f>+Инвойс!F30</f>
        <v>кг</v>
      </c>
      <c r="G30" s="106">
        <f>+Инвойс!G30</f>
        <v>19000</v>
      </c>
      <c r="H30" s="106">
        <f>+Инвойс!H30</f>
        <v>17500</v>
      </c>
      <c r="I30" s="108">
        <f>+Инвойс!I30</f>
        <v>0.4</v>
      </c>
      <c r="J30" s="13">
        <f>+Инвойс!J30</f>
        <v>7000</v>
      </c>
      <c r="K30" s="12">
        <v>0</v>
      </c>
      <c r="L30" s="12">
        <v>0</v>
      </c>
      <c r="M30" s="13">
        <f>+Инвойс!M30</f>
        <v>7000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4" t="str">
        <f>+Инвойс!D31</f>
        <v>Пласт. ящик</v>
      </c>
      <c r="E31" s="101">
        <f>+Инвойс!E31</f>
        <v>130</v>
      </c>
      <c r="F31" s="115" t="str">
        <f>+Инвойс!F31</f>
        <v>кг</v>
      </c>
      <c r="G31" s="106">
        <f>+Инвойс!G31</f>
        <v>2470</v>
      </c>
      <c r="H31" s="106">
        <f>+Инвойс!H31</f>
        <v>2275</v>
      </c>
      <c r="I31" s="108">
        <f>+Инвойс!I31</f>
        <v>0.4</v>
      </c>
      <c r="J31" s="13">
        <f>+Инвойс!J31</f>
        <v>910</v>
      </c>
      <c r="K31" s="12">
        <v>0</v>
      </c>
      <c r="L31" s="12">
        <v>0</v>
      </c>
      <c r="M31" s="13">
        <f>+Инвойс!M31</f>
        <v>910</v>
      </c>
      <c r="O31" s="100"/>
      <c r="Q31" s="100"/>
    </row>
    <row r="32" spans="1:17" ht="13.8" x14ac:dyDescent="0.25">
      <c r="A32" s="127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4" t="str">
        <f>+Инвойс!D32</f>
        <v>Пласт. ящик</v>
      </c>
      <c r="E32" s="101">
        <f>+Инвойс!E32</f>
        <v>100</v>
      </c>
      <c r="F32" s="115" t="str">
        <f>+Инвойс!F32</f>
        <v>кг</v>
      </c>
      <c r="G32" s="106">
        <f>+Инвойс!G32</f>
        <v>800</v>
      </c>
      <c r="H32" s="106">
        <f>+Инвойс!H32</f>
        <v>700</v>
      </c>
      <c r="I32" s="108">
        <f>+Инвойс!I32</f>
        <v>1.05</v>
      </c>
      <c r="J32" s="13">
        <f>+Инвойс!J32</f>
        <v>735</v>
      </c>
      <c r="K32" s="12">
        <v>0</v>
      </c>
      <c r="L32" s="12">
        <v>0</v>
      </c>
      <c r="M32" s="13">
        <f>+Инвойс!M32</f>
        <v>735</v>
      </c>
      <c r="O32" s="100"/>
      <c r="Q32" s="100"/>
    </row>
    <row r="33" spans="1:17" ht="13.8" x14ac:dyDescent="0.25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50</v>
      </c>
      <c r="F33" s="115" t="str">
        <f>+Инвойс!F33</f>
        <v>кг</v>
      </c>
      <c r="G33" s="106">
        <f>+Инвойс!G33</f>
        <v>400</v>
      </c>
      <c r="H33" s="106">
        <f>+Инвойс!H33</f>
        <v>350</v>
      </c>
      <c r="I33" s="108">
        <f>+Инвойс!I33</f>
        <v>1.05</v>
      </c>
      <c r="J33" s="13">
        <f>+Инвойс!J33</f>
        <v>367.5</v>
      </c>
      <c r="K33" s="12">
        <v>0</v>
      </c>
      <c r="L33" s="12">
        <v>0</v>
      </c>
      <c r="M33" s="13">
        <f>+Инвойс!M33</f>
        <v>367.5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1280</v>
      </c>
      <c r="F34" s="15"/>
      <c r="G34" s="64">
        <f>SUM(G30:G33)</f>
        <v>22670</v>
      </c>
      <c r="H34" s="64">
        <f>SUM(H30:H33)</f>
        <v>20825</v>
      </c>
      <c r="I34" s="102"/>
      <c r="J34" s="17">
        <f>SUM(J30:J33)</f>
        <v>9012.5</v>
      </c>
      <c r="K34" s="16"/>
      <c r="L34" s="16"/>
      <c r="M34" s="17">
        <f>SUM(M30:M33)</f>
        <v>9012.5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Девять тысяч двенадцать долларов США, 50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s="18" customFormat="1" ht="15.6" x14ac:dyDescent="0.3">
      <c r="A39" s="131" t="s">
        <v>159</v>
      </c>
      <c r="B39" s="131"/>
      <c r="D39" s="18" t="str">
        <f>+Инвойс!D39</f>
        <v>АБДИЛАКИМОВ А.А</v>
      </c>
      <c r="E39" s="132"/>
      <c r="G39" s="129" t="s">
        <v>131</v>
      </c>
      <c r="H39" s="18" t="str">
        <f>Инвойс!G5</f>
        <v>ООО «ГРИН ВОРЛД»</v>
      </c>
      <c r="K39" s="133" t="s">
        <v>148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119</v>
      </c>
    </row>
    <row r="3" spans="1:10" ht="52.8" x14ac:dyDescent="0.25">
      <c r="A3" s="130" t="s">
        <v>129</v>
      </c>
    </row>
    <row r="5" spans="1:10" ht="92.4" x14ac:dyDescent="0.25">
      <c r="A5" s="126" t="s">
        <v>161</v>
      </c>
    </row>
    <row r="6" spans="1:10" x14ac:dyDescent="0.25">
      <c r="E6" s="18" t="s">
        <v>130</v>
      </c>
      <c r="J6" s="25" t="s">
        <v>133</v>
      </c>
    </row>
    <row r="7" spans="1:10" ht="52.8" x14ac:dyDescent="0.25">
      <c r="A7" s="126" t="s">
        <v>120</v>
      </c>
    </row>
    <row r="8" spans="1:10" x14ac:dyDescent="0.25">
      <c r="E8" s="18" t="s">
        <v>139</v>
      </c>
      <c r="J8" s="25" t="s">
        <v>134</v>
      </c>
    </row>
    <row r="9" spans="1:10" ht="52.8" x14ac:dyDescent="0.25">
      <c r="A9" s="126" t="s">
        <v>121</v>
      </c>
    </row>
    <row r="10" spans="1:10" x14ac:dyDescent="0.25">
      <c r="A10" s="126"/>
      <c r="E10" s="18" t="s">
        <v>135</v>
      </c>
      <c r="J10" s="25" t="s">
        <v>136</v>
      </c>
    </row>
    <row r="11" spans="1:10" ht="52.8" x14ac:dyDescent="0.25">
      <c r="A11" s="126" t="s">
        <v>160</v>
      </c>
    </row>
    <row r="12" spans="1:10" x14ac:dyDescent="0.25">
      <c r="E12" s="18" t="s">
        <v>137</v>
      </c>
      <c r="J12" s="25" t="s">
        <v>138</v>
      </c>
    </row>
    <row r="13" spans="1:10" ht="52.8" x14ac:dyDescent="0.25">
      <c r="A13" s="126" t="s">
        <v>122</v>
      </c>
    </row>
    <row r="15" spans="1:10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126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Инвойс!M34</f>
        <v>9012.5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Девять тысяч двенадцать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Девять тысяч двенадцать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девять тысяч двенадцать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девять тысяч двенадцать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9012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90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901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9012</v>
      </c>
      <c r="B29" s="47">
        <f>TRUNC(RIGHT(A29))</f>
        <v>2</v>
      </c>
      <c r="C29" s="51">
        <f>IF(B28=1,B29+10,IF(B29=0,0,B29))</f>
        <v>12</v>
      </c>
      <c r="D29" s="43" t="str">
        <f>IF(AND(C29&gt;9,C29&lt;16),IF(C29=10,D34,IF(C29=11,D35,IF(C29=12,D36,IF(C29=13,D37,IF(C29=14,D38,IF(C29=15,D39,)))))),"")</f>
        <v xml:space="preserve">двенадцать </v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12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2025-09-05T09:05:26Z</cp:lastPrinted>
  <dcterms:created xsi:type="dcterms:W3CDTF">1996-10-14T23:33:28Z</dcterms:created>
  <dcterms:modified xsi:type="dcterms:W3CDTF">2025-09-05T09:05:46Z</dcterms:modified>
</cp:coreProperties>
</file>