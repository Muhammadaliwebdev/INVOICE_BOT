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4205C12-1E03-4CCA-9001-42F09F67EC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<sst xmlns="http://schemas.openxmlformats.org/spreadsheetml/2006/main" count="209" uniqueCount="163">
  <si>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</si>
  <si>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</si>
  <si>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</si>
  <si>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</si>
  <si>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</si>
  <si>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</si>
  <si>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</si>
  <si>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</si>
  <si>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</si>
  <si>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</si>
  <si>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</si>
  <si>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</si>
  <si>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</si>
  <si>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</si>
  <si>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</si>
  <si>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</si>
  <si>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</si>
  <si>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</si>
  <si>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</si>
  <si>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</si>
  <si>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</si>
  <si>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</si>
  <si>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</si>
  <si>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</si>
  <si>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</si>
  <si>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</si>
  <si>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</si>
  <si>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</si>
  <si>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</si>
  <si>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</si>
  <si>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</si>
  <si>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</si>
  <si>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</si>
  <si>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</si>
  <si>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</si>
  <si>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</si>
  <si>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</si>
  <si>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</si>
  <si>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</si>
  <si>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</si>
  <si>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</si>
  <si>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</si>
  <si>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</si>
  <si>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</si>
  <si>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</si>
  <si>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</si>
  <si>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</si>
  <si>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</si>
  <si>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</si>
  <si>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</si>
  <si>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</si>
  <si>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</si>
  <si>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</si>
  <si>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</si>
  <si>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</si>
  <si>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</si>
  <si>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</si>
  <si>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</si>
  <si>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</si>
  <si>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</si>
  <si>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</si>
  <si>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</si>
  <si>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</si>
  <si>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</si>
  <si>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</si>
  <si>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</si>
  <si>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</si>
  <si>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</si>
  <si>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</si>
  <si>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</si>
  <si>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</si>
  <si>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</si>
  <si>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</si>
  <si>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</si>
  <si>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</si>
  <si>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</si>
  <si>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</si>
  <si>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</si>
  <si>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</si>
  <si>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</si>
  <si>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</si>
  <si>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</si>
  <si>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</si>
  <si>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</si>
  <si>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</si>
  <si>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</si>
  <si>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</si>
  <si>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</si>
  <si>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</si>
  <si>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</si>
  <si>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</si>
  <si>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</si>
  <si>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</si>
  <si>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</si>
  <si>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</si>
  <si>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</si>
  <si>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</si>
  <si>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</si>
  <si>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</si>
  <si>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</si>
  <si>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</si>
  <si>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</si>
  <si>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</si>
  <si>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</si>
  <si>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</si>
  <si>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</si>
  <si>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</si>
  <si>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</si>
  <si>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</si>
  <si>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</si>
  <si>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</si>
  <si>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</si>
  <si>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</si>
  <si>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</si>
  <si>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</si>
  <si>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</si>
  <si>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</si>
  <si>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</si>
  <si>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</si>
  <si>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</si>
  <si>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</si>
  <si>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</si>
  <si>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</si>
  <si>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</si>
  <si>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</si>
  <si>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</si>
  <si>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</si>
  <si>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</si>
  <si>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</si>
  <si>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</si>
  <si>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</si>
  <si>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</si>
  <si>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</si>
  <si>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</si>
  <si>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</si>
  <si>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</si>
  <si>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</si>
  <si>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</si>
  <si>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</si>
  <si>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</si>
  <si>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</si>
  <si>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</si>
  <si>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</si>
  <si>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</si>
  <si>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</si>
  <si>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</si>
  <si>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</si>
  <si>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</si>
  <si>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</si>
  <si>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</si>
  <si>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</si>
  <si>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</si>
  <si>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</si>
  <si>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</si>
  <si>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</si>
  <si>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</si>
  <si>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</si>
  <si>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</si>
  <si>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</si>
  <si>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GWG-M-4 от </t>
  </si>
  <si>
    <t xml:space="preserve"> 04.09.2025г.</t>
  </si>
  <si>
    <t>40W465BB/407320BA</t>
  </si>
  <si>
    <t xml:space="preserve">СПЕЦИФИКАЦИЯ № GWG-M-4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</si>
</sst>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159</v>
      </c>
      <c r="D1" s="153"/>
      <c r="E1" s="153"/>
      <c r="F1" s="152" t="s">
        <v>160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148</v>
      </c>
      <c r="B5" s="154"/>
      <c r="C5" s="154"/>
      <c r="D5" s="154"/>
      <c r="E5" s="154"/>
      <c r="F5" s="6"/>
      <c r="G5" s="147" t="s">
        <v>130</v>
      </c>
      <c r="H5" s="147"/>
      <c r="I5" s="147"/>
      <c r="J5" s="147"/>
      <c r="K5" s="147"/>
      <c r="L5" s="147"/>
      <c r="M5" s="147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2" t="s">
        <v>131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2" t="s">
        <v>132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137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148</v>
      </c>
      <c r="B14" s="154"/>
      <c r="C14" s="154"/>
      <c r="D14" s="154"/>
      <c r="E14" s="154"/>
      <c r="F14" s="6"/>
      <c r="G14" s="147" t="s">
        <v>130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2" t="s">
        <v>131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2" t="s">
        <v>132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137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9" t="s">
        <v>116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">
        <v>142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161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1000</v>
      </c>
      <c r="F30" s="110" t="s">
        <v>27</v>
      </c>
      <c r="G30" s="106">
        <v>22000</v>
      </c>
      <c r="H30" s="106">
        <v>20200</v>
      </c>
      <c r="I30" s="108">
        <v>0.25</v>
      </c>
      <c r="J30" s="13">
        <f t="shared" ref="J30" si="0">H30*I30</f>
        <v>5050</v>
      </c>
      <c r="K30" s="12">
        <v>0</v>
      </c>
      <c r="L30" s="12">
        <v>0</v>
      </c>
      <c r="M30" s="13">
        <f t="shared" ref="M30" si="1">J30</f>
        <v>5050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22000</v>
      </c>
      <c r="H31" s="64">
        <f>SUM(H30:H30)</f>
        <v>20200</v>
      </c>
      <c r="I31" s="102"/>
      <c r="J31" s="17">
        <f>SUM(J30:J30)</f>
        <v>5050</v>
      </c>
      <c r="K31" s="16"/>
      <c r="L31" s="16"/>
      <c r="M31" s="17">
        <f>SUM(M30:M30)</f>
        <v>5050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пятьдесят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G36" sqref="G3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GWG-M-4 от  04.09.2025г.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04.09.2025г.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40W465BB/407320BA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L39" sqref="L3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40W465BB/407320BA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04.09.2025г.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GWG-M-4 от  04.09.2025г.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22000</v>
      </c>
    </row>
    <row r="20" spans="2:10" ht="13.5" customHeight="1" x14ac:dyDescent="0.3">
      <c r="B20" s="83"/>
      <c r="E20" s="123"/>
      <c r="F20" s="118"/>
      <c r="G20" s="162"/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2"/>
      <c r="H22" s="162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2"/>
      <c r="H24" s="162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2"/>
      <c r="H26" s="162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2"/>
      <c r="H28" s="162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1000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2" t="str">
        <f>+Инвойс!F1</f>
        <v xml:space="preserve"> 04.09.2025г.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GW-GV-01 от 30.08.2025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 xml:space="preserve">OOO «GOOD WILL EXPORT» 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4" t="str">
        <f>+Инвойс!A6</f>
        <v xml:space="preserve">Республика Узбекистан, Джизакская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Зарбдарский район, Ровот МФЙ, ул. Лойихада дом 1/1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Р/с N 2020 8840 8055 4748 4001 USD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в «ТУРОНБАНК» АКБ Головной офис (Ташкент)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МФО: 00446, SWIFT: TUROUZ22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ИНН: 309713324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 xml:space="preserve">OOO «GOOD WILL EXPORT» 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4" t="str">
        <f>+Инвойс!A15</f>
        <v xml:space="preserve">Республика Узбекистан, Джизакская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Зарбдарский район, Ровот МФЙ, ул. Лойихада дом 1/1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Р/с N 2020 8840 8055 4748 4001 USD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в «ТУРОНБАНК» АКБ Головной офис (Ташкент)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МФО: 00446, SWIFT: TUROUZ22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ИНН: 309713324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40W465BB/407320BA</v>
      </c>
      <c r="F26" s="141"/>
      <c r="G26" s="141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30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22000</v>
      </c>
      <c r="H30" s="106">
        <f>+Инвойс!H30</f>
        <v>20200</v>
      </c>
      <c r="I30" s="108">
        <f>+Инвойс!I30</f>
        <v>0.25</v>
      </c>
      <c r="J30" s="13">
        <f>+Инвойс!J30</f>
        <v>5050</v>
      </c>
      <c r="K30" s="12">
        <v>0</v>
      </c>
      <c r="L30" s="12">
        <v>0</v>
      </c>
      <c r="M30" s="13">
        <f>+Инвойс!M30</f>
        <v>5050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22000</v>
      </c>
      <c r="H31" s="64">
        <f>SUM(H30:H30)</f>
        <v>20200</v>
      </c>
      <c r="I31" s="102"/>
      <c r="J31" s="17">
        <f>SUM(J30:J30)</f>
        <v>5050</v>
      </c>
      <c r="K31" s="16"/>
      <c r="L31" s="16"/>
      <c r="M31" s="17">
        <f>SUM(M30:M30)</f>
        <v>5050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пятьдесят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Normal="100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5050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пятьдесят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45904</v>
      </c>
      <c r="O3" s="178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пятьдесят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4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пятьдесят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пятьдесят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пятьдесят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45904</v>
      </c>
    </row>
    <row r="13" spans="1:19" s="43" customFormat="1" x14ac:dyDescent="0.25">
      <c r="A13" s="49"/>
      <c r="D13" s="51"/>
      <c r="E13" s="52">
        <f>TRUNC(E2)</f>
        <v>5050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505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5050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50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2025-09-04T06:42:26Z</cp:lastPrinted>
  <dcterms:created xsi:type="dcterms:W3CDTF">1996-10-14T23:33:28Z</dcterms:created>
  <dcterms:modified xsi:type="dcterms:W3CDTF">2025-09-04T06:42:43Z</dcterms:modified>
</cp:coreProperties>
</file>