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<sst xmlns="http://schemas.openxmlformats.org/spreadsheetml/2006/main" count="209" uniqueCount="163">
  <si>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</si>
  <si>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</si>
  <si>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</si>
  <si>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</si>
  <si>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</si>
  <si>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</si>
  <si>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</si>
  <si>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</si>
  <si>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</si>
  <si>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</si>
  <si>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</si>
  <si>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</si>
  <si>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</si>
  <si>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</si>
  <si>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</si>
  <si>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</si>
  <si>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</si>
  <si>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</si>
  <si>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</si>
  <si>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</si>
  <si>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</si>
  <si>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</si>
  <si>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</si>
  <si>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</si>
  <si>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</si>
  <si>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</si>
  <si>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</si>
  <si>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</si>
  <si>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</si>
  <si>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</si>
  <si>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</si>
  <si>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</si>
  <si>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</si>
  <si>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</si>
  <si>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</si>
  <si>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</si>
  <si>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</si>
  <si>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</si>
  <si>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</si>
  <si>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</si>
  <si>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</si>
  <si>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</si>
  <si>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</si>
  <si>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</si>
  <si>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</si>
  <si>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</si>
  <si>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</si>
  <si>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</si>
  <si>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</si>
  <si>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</si>
  <si>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</si>
  <si>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</si>
  <si>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</si>
  <si>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</si>
  <si>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</si>
  <si>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</si>
  <si>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</si>
  <si>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</si>
  <si>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</si>
  <si>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</si>
  <si>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</si>
  <si>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</si>
  <si>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</si>
  <si>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</si>
  <si>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</si>
  <si>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</si>
  <si>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</si>
  <si>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</si>
  <si>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</si>
  <si>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</si>
  <si>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</si>
  <si>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</si>
  <si>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</si>
  <si>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</si>
  <si>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</si>
  <si>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</si>
  <si>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</si>
  <si>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</si>
  <si>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</si>
  <si>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</si>
  <si>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</si>
  <si>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</si>
  <si>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</si>
  <si>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</si>
  <si>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</si>
  <si>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</si>
  <si>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</si>
  <si>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</si>
  <si>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</si>
  <si>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</si>
  <si>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</si>
  <si>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</si>
  <si>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</si>
  <si>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</si>
  <si>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</si>
  <si>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</si>
  <si>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</si>
  <si>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</si>
  <si>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</si>
  <si>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</si>
  <si>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</si>
  <si>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</si>
  <si>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</si>
  <si>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</si>
  <si>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</si>
  <si>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</si>
  <si>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</si>
  <si>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</si>
  <si>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</si>
  <si>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</si>
  <si>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</si>
  <si>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</si>
  <si>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</si>
  <si>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</si>
  <si>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</si>
  <si>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</si>
  <si>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</si>
  <si>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</si>
  <si>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</si>
  <si>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</si>
  <si>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</si>
  <si>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</si>
  <si>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</si>
  <si>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</si>
  <si>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</si>
  <si>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</si>
  <si>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</si>
  <si>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</si>
  <si>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</si>
  <si>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</si>
  <si>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</si>
  <si>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</si>
  <si>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</si>
  <si>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</si>
  <si>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</si>
  <si>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</si>
  <si>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</si>
  <si>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</si>
  <si>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</si>
  <si>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</si>
  <si>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</si>
  <si>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</si>
  <si>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</si>
  <si>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</si>
  <si>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</si>
  <si>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</si>
  <si>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</si>
  <si>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</si>
  <si>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</si>
  <si>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</si>
  <si>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</si>
  <si>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</si>
  <si>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</si>
  <si>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</si>
  <si>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</si>
  <si>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</si>
  <si>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</si>
  <si>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</si>
  <si>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</si>
  <si>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VG-N-20 от </t>
  </si>
  <si>
    <t xml:space="preserve"> 27.08.2025г.</t>
  </si>
  <si>
    <t>01B841LC/854519AA</t>
  </si>
  <si>
    <t xml:space="preserve">СПЕЦИФИКАЦИЯ № VG-N-20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</si>
</sst>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179294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140</v>
      </c>
      <c r="B5" s="155"/>
      <c r="C5" s="155"/>
      <c r="D5" s="155"/>
      <c r="E5" s="155"/>
      <c r="F5" s="6"/>
      <c r="G5" s="148" t="s">
        <v>150</v>
      </c>
      <c r="H5" s="148"/>
      <c r="I5" s="148"/>
      <c r="J5" s="148"/>
      <c r="K5" s="148"/>
      <c r="L5" s="148"/>
      <c r="M5" s="148"/>
    </row>
    <row r="6" spans="1:15" ht="15" x14ac:dyDescent="0.25">
      <c r="A6" s="143" t="s">
        <v>141</v>
      </c>
      <c r="B6" s="142"/>
      <c r="C6" s="142"/>
      <c r="D6" s="142"/>
      <c r="E6" s="142"/>
      <c r="F6" s="7"/>
      <c r="G6" s="141" t="s">
        <v>151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148</v>
      </c>
      <c r="B7" s="142"/>
      <c r="C7" s="142"/>
      <c r="D7" s="142"/>
      <c r="E7" s="142"/>
      <c r="F7" s="63"/>
      <c r="G7" s="141" t="s">
        <v>152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5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144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156</v>
      </c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">
        <v>140</v>
      </c>
      <c r="B14" s="155"/>
      <c r="C14" s="155"/>
      <c r="D14" s="155"/>
      <c r="E14" s="155"/>
      <c r="F14" s="6"/>
      <c r="G14" s="148" t="s">
        <v>150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">
        <v>141</v>
      </c>
      <c r="B15" s="142"/>
      <c r="C15" s="142"/>
      <c r="D15" s="142"/>
      <c r="E15" s="142"/>
      <c r="F15" s="7"/>
      <c r="G15" s="141" t="s">
        <v>151</v>
      </c>
      <c r="H15" s="141"/>
      <c r="I15" s="141"/>
      <c r="J15" s="141"/>
      <c r="K15" s="141"/>
      <c r="L15" s="141"/>
      <c r="M15" s="141"/>
    </row>
    <row r="16" spans="1:15" ht="15" x14ac:dyDescent="0.25">
      <c r="A16" s="142" t="s">
        <v>148</v>
      </c>
      <c r="B16" s="142"/>
      <c r="C16" s="142"/>
      <c r="D16" s="142"/>
      <c r="E16" s="142"/>
      <c r="F16" s="63"/>
      <c r="G16" s="141" t="s">
        <v>152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144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4" t="s">
        <v>156</v>
      </c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8" t="s">
        <v>117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">
        <v>138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124</v>
      </c>
      <c r="C30" s="107" t="s">
        <v>123</v>
      </c>
      <c r="D30" s="109" t="s">
        <v>111</v>
      </c>
      <c r="E30" s="101">
        <v>2180</v>
      </c>
      <c r="F30" s="110" t="s">
        <v>27</v>
      </c>
      <c r="G30" s="106">
        <v>22000</v>
      </c>
      <c r="H30" s="106">
        <v>20474</v>
      </c>
      <c r="I30" s="108">
        <v>1.25</v>
      </c>
      <c r="J30" s="13">
        <f t="shared" ref="J30" si="0">H30*I30</f>
        <v>25592.5</v>
      </c>
      <c r="K30" s="12">
        <v>0</v>
      </c>
      <c r="L30" s="12">
        <v>0</v>
      </c>
      <c r="M30" s="13">
        <f t="shared" ref="M30" si="1">J30</f>
        <v>25592.5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2180</v>
      </c>
      <c r="F31" s="15"/>
      <c r="G31" s="64">
        <f>SUM(G30:G30)</f>
        <v>22000</v>
      </c>
      <c r="H31" s="64">
        <f>SUM(H30:H30)</f>
        <v>20474</v>
      </c>
      <c r="I31" s="102"/>
      <c r="J31" s="17">
        <f>SUM(J30:J30)</f>
        <v>25592.5</v>
      </c>
      <c r="K31" s="16"/>
      <c r="L31" s="16"/>
      <c r="M31" s="17">
        <f>SUM(M30:M30)</f>
        <v>25592.5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Двадцать пять тысяч пятьсот девяносто два доллара США,50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 x14ac:dyDescent="0.25">
      <c r="A36" s="7" t="s">
        <v>28</v>
      </c>
      <c r="B36" s="7"/>
      <c r="D36" s="25" t="s">
        <v>146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VG-N-20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2180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01B841LC/854519AA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8" t="s">
        <v>96</v>
      </c>
      <c r="C2" s="168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9" t="str">
        <f>+Инвойс!E26</f>
        <v>01B841LC/854519AA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27.08.2025г.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VG-N-20 от  27.08.2025г.</v>
      </c>
      <c r="I15" s="171"/>
      <c r="J15" s="171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2180</v>
      </c>
      <c r="G18" s="163" t="str">
        <f>+CMR!F30</f>
        <v>Виноград свежий столовых сортов</v>
      </c>
      <c r="H18" s="163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Пласт.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22000</v>
      </c>
    </row>
    <row r="20" spans="2:10" ht="13.5" customHeight="1" x14ac:dyDescent="0.25">
      <c r="B20" s="83"/>
      <c r="E20" s="123"/>
      <c r="F20" s="118"/>
      <c r="G20" s="163"/>
      <c r="H20" s="163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3"/>
      <c r="H22" s="163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3"/>
      <c r="H24" s="163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3"/>
      <c r="H26" s="163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3"/>
      <c r="H28" s="163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3"/>
      <c r="H30" s="163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3"/>
      <c r="H32" s="163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3"/>
      <c r="H34" s="163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3"/>
      <c r="H36" s="163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3"/>
      <c r="H38" s="163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3"/>
      <c r="H42" s="163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5"/>
      <c r="H44" s="165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2180</v>
      </c>
      <c r="E47" s="167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162</v>
      </c>
      <c r="C1" s="172"/>
      <c r="D1" s="172"/>
      <c r="E1" s="172"/>
      <c r="F1" s="153" t="str">
        <f>+Инвойс!F1</f>
        <v xml:space="preserve"> 27.08.2025г.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tr">
        <f>+Инвойс!C2</f>
        <v>к контракту № GR-VT-01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ООО «VISTOTRADE»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5" x14ac:dyDescent="0.25">
      <c r="A6" s="143" t="str">
        <f>+Инвойс!A6</f>
        <v xml:space="preserve">Республика Узбекистан. Кашкадарьинская область, 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5" x14ac:dyDescent="0.25">
      <c r="A7" s="143" t="str">
        <f>+Инвойс!A7</f>
        <v>Г. Гулам, МФУ, улица Гузара, дом 14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«KAPITAL BANK» МФО: 01158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5" x14ac:dyDescent="0.25">
      <c r="A9" s="143" t="str">
        <f>+Инвойс!A9</f>
        <v>р/с: 20208840407263267001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5" x14ac:dyDescent="0.25">
      <c r="A10" s="143" t="str">
        <f>+Инвойс!A10</f>
        <v>SWIFT: KACHUZ22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5" x14ac:dyDescent="0.25">
      <c r="A11" s="143" t="str">
        <f>+Инвойс!A11</f>
        <v>ИНН: 312236782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tr">
        <f>+Инвойс!A14</f>
        <v>ООО «VISTOTRADE»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tr">
        <f>+Инвойс!A15</f>
        <v xml:space="preserve">Республика Узбекистан. Кашкадарьинская область, 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5" x14ac:dyDescent="0.25">
      <c r="A16" s="143" t="str">
        <f>+Инвойс!A16</f>
        <v>Г. Гулам, МФУ, улица Гузара, дом 14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«KAPITAL BANK» МФО: 01158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5" x14ac:dyDescent="0.25">
      <c r="A18" s="143" t="str">
        <f>+Инвойс!A18</f>
        <v>р/с: 20208840407263267001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5" x14ac:dyDescent="0.25">
      <c r="A19" s="143" t="str">
        <f>+Инвойс!A19</f>
        <v>SWIFT: KACHUZ22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5" x14ac:dyDescent="0.25">
      <c r="A20" s="143" t="str">
        <f>+Инвойс!A20</f>
        <v>ИНН: 312236782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5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25">
      <c r="A22" s="1" t="s">
        <v>126</v>
      </c>
      <c r="C22" s="65"/>
      <c r="F22" s="1"/>
    </row>
    <row r="23" spans="1:17" ht="26.25" hidden="1" customHeight="1" x14ac:dyDescent="0.2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01B841LC/854519AA</v>
      </c>
      <c r="F26" s="140"/>
      <c r="G26" s="140"/>
      <c r="J26" s="21"/>
    </row>
    <row r="27" spans="1:17" ht="34.5" customHeight="1" x14ac:dyDescent="0.25">
      <c r="A27" s="67" t="s">
        <v>127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2180</v>
      </c>
      <c r="F30" s="116" t="str">
        <f>+Инвойс!F30</f>
        <v>кг</v>
      </c>
      <c r="G30" s="106">
        <f>+Инвойс!G30</f>
        <v>22000</v>
      </c>
      <c r="H30" s="106">
        <f>+Инвойс!H30</f>
        <v>20474</v>
      </c>
      <c r="I30" s="108">
        <f>+Инвойс!I30</f>
        <v>1.25</v>
      </c>
      <c r="J30" s="13">
        <f>+Инвойс!J30</f>
        <v>25592.5</v>
      </c>
      <c r="K30" s="12">
        <v>0</v>
      </c>
      <c r="L30" s="12">
        <v>0</v>
      </c>
      <c r="M30" s="13">
        <f>+Инвойс!M30</f>
        <v>25592.5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2180</v>
      </c>
      <c r="F31" s="15"/>
      <c r="G31" s="64">
        <f>SUM(G30:G30)</f>
        <v>22000</v>
      </c>
      <c r="H31" s="64">
        <f>SUM(H30:H30)</f>
        <v>20474</v>
      </c>
      <c r="I31" s="102"/>
      <c r="J31" s="17">
        <f>SUM(J30:J30)</f>
        <v>25592.5</v>
      </c>
      <c r="K31" s="16"/>
      <c r="L31" s="16"/>
      <c r="M31" s="17">
        <f>SUM(M30:M30)</f>
        <v>25592.5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Двадцать пять тысяч пятьсот девяносто два доллара США,50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 x14ac:dyDescent="0.25">
      <c r="A36" s="131" t="s">
        <v>147</v>
      </c>
      <c r="B36" s="131"/>
      <c r="D36" s="18" t="str">
        <f>+Инвойс!D36</f>
        <v>Авазов К.Ф</v>
      </c>
      <c r="E36" s="132"/>
      <c r="G36" s="129" t="s">
        <v>130</v>
      </c>
      <c r="H36" s="18" t="str">
        <f>Инвойс!G5</f>
        <v>ООО «ГРИН ВОРЛД»</v>
      </c>
      <c r="K36" s="133" t="s">
        <v>157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158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125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25592.5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пять тысяч пятьсот девяносто два доллара США,50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45896</v>
      </c>
      <c r="O3" s="178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Двадцать пять тысяч пятьсот девяносто два доллара США,50 центов. (в т.ч. НДС - 357,79)</v>
      </c>
      <c r="H4" s="32"/>
      <c r="I4" s="32"/>
      <c r="J4" s="32"/>
      <c r="K4" s="179" t="str">
        <f ca="1">CONCATENATE(" «  ",P3,"  »  ",Q3,"  ",R3," г.")</f>
        <v xml:space="preserve"> «  27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пять тысяч пятьсот девяносто два доллара США,50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пять тысяч пятьсот девяносто два доллара США,50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пять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пятьсот девяносто два доллара США,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45896</v>
      </c>
    </row>
    <row r="13" spans="1:19" s="43" customFormat="1" x14ac:dyDescent="0.2">
      <c r="A13" s="49"/>
      <c r="D13" s="51"/>
      <c r="E13" s="52">
        <f>TRUNC(E2)</f>
        <v>25592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255</v>
      </c>
      <c r="B27" s="47">
        <f>TRUNC(RIGHT(A27))</f>
        <v>5</v>
      </c>
      <c r="C27" s="51">
        <f>B27</f>
        <v>5</v>
      </c>
      <c r="E27" s="55" t="str">
        <f>IF(B27=1,E43,IF(B27=2,G35,IF(B27=3,G36,IF(B27=4,G37,IF(B27=5,G38,IF(B27=6,G39,IF(B27=7,G40,IF(B27=8,G41,G42))))))))</f>
        <v xml:space="preserve">пятьсот </v>
      </c>
    </row>
    <row r="28" spans="1:9" s="43" customFormat="1" x14ac:dyDescent="0.2">
      <c r="A28" s="54">
        <f>TRUNC(A29/10)</f>
        <v>2559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">
      <c r="A29" s="54">
        <f>E13</f>
        <v>25592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592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2025-08-27T07:30:28Z</cp:lastPrinted>
  <dcterms:created xsi:type="dcterms:W3CDTF">1996-10-14T23:33:28Z</dcterms:created>
  <dcterms:modified xsi:type="dcterms:W3CDTF">2025-08-27T07:30:30Z</dcterms:modified>
</cp:coreProperties>
</file>