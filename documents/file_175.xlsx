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75A5E20-A389-4532-9775-B0A42381CC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4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4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<sst xmlns="http://schemas.openxmlformats.org/spreadsheetml/2006/main" count="201" uniqueCount="163">
  <si>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</si>
  <si>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</si>
  <si>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</si>
  <si>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</si>
  <si>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</si>
  <si>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</si>
  <si>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</si>
  <si>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</si>
  <si>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</si>
  <si>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</si>
  <si>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</si>
  <si>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</si>
  <si>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</si>
  <si>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</si>
  <si>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</si>
  <si>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</si>
  <si>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</si>
  <si>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</si>
  <si>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</si>
  <si>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</si>
  <si>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</si>
  <si>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</si>
  <si>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</si>
  <si>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</si>
  <si>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</si>
  <si>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</si>
  <si>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</si>
  <si>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</si>
  <si>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</si>
  <si>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</si>
  <si>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</si>
  <si>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</si>
  <si>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</si>
  <si>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</si>
  <si>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</si>
  <si>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</si>
  <si>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</si>
  <si>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</si>
  <si>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</si>
  <si>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</si>
  <si>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</si>
  <si>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</si>
  <si>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</si>
  <si>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</si>
  <si>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</si>
  <si>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</si>
  <si>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</si>
  <si>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</si>
  <si>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</si>
  <si>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</si>
  <si>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</si>
  <si>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</si>
  <si>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</si>
  <si>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</si>
  <si>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</si>
  <si>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</si>
  <si>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</si>
  <si>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</si>
  <si>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</si>
  <si>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</si>
  <si>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</si>
  <si>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</si>
  <si>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</si>
  <si>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</si>
  <si>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</si>
  <si>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</si>
  <si>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</si>
  <si>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</si>
  <si>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</si>
  <si>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</si>
  <si>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</si>
  <si>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</si>
  <si>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</si>
  <si>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</si>
  <si>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</si>
  <si>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</si>
  <si>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</si>
  <si>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</si>
  <si>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</si>
  <si>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</si>
  <si>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</si>
  <si>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</si>
  <si>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</si>
  <si>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</si>
  <si>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</si>
  <si>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</si>
  <si>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</si>
  <si>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</si>
  <si>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</si>
  <si>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</si>
  <si>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</si>
  <si>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</si>
  <si>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</si>
  <si>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</si>
  <si>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</si>
  <si>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</si>
  <si>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</si>
  <si>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</si>
  <si>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</si>
  <si>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</si>
  <si>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</si>
  <si>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</si>
  <si>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</si>
  <si>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</si>
  <si>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</si>
  <si>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</si>
  <si>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</si>
  <si>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</si>
  <si>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</si>
  <si>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</si>
  <si>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</si>
  <si>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</si>
  <si>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</si>
  <si>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</si>
  <si>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</si>
  <si>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</si>
  <si>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</si>
  <si>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</si>
  <si>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</si>
  <si>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</si>
  <si>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</si>
  <si>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</si>
  <si>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</si>
  <si>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</si>
  <si>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</si>
  <si>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</si>
  <si>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</si>
  <si>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</si>
  <si>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</si>
  <si>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</si>
  <si>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</si>
  <si>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</si>
  <si>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</si>
  <si>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</si>
  <si>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</si>
  <si>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</si>
  <si>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</si>
  <si>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</si>
  <si>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</si>
  <si>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</si>
  <si>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</si>
  <si>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</si>
  <si>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</si>
  <si>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</si>
  <si>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</si>
  <si>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</si>
  <si>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</si>
  <si>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</si>
  <si>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</si>
  <si>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</si>
  <si>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</si>
  <si>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</si>
  <si>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</si>
  <si>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</si>
  <si>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</si>
  <si>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</si>
  <si>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</si>
  <si>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</si>
  <si>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BEZ-A-69 от </t>
  </si>
  <si>
    <t xml:space="preserve"> 11.08.2025г.</t>
  </si>
  <si>
    <t>DAP - с Амандык , Республика Казахстан</t>
  </si>
  <si>
    <t>10484RBA/103169BA</t>
  </si>
  <si>
    <t xml:space="preserve">СПЕЦИФИКАЦИЯ № BEZ-A-69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</si>
</sst>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6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158</v>
      </c>
      <c r="D1" s="133"/>
      <c r="E1" s="133"/>
      <c r="F1" s="132" t="s">
        <v>159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148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149</v>
      </c>
      <c r="B5" s="134"/>
      <c r="C5" s="134"/>
      <c r="D5" s="134"/>
      <c r="E5" s="134"/>
      <c r="F5" s="6"/>
      <c r="G5" s="136" t="s">
        <v>138</v>
      </c>
      <c r="H5" s="136"/>
      <c r="I5" s="136"/>
      <c r="J5" s="136"/>
      <c r="K5" s="136"/>
      <c r="L5" s="136"/>
      <c r="M5" s="136"/>
    </row>
    <row r="6" spans="1:15" ht="13.8" x14ac:dyDescent="0.25">
      <c r="A6" s="125" t="s">
        <v>150</v>
      </c>
      <c r="B6" s="125"/>
      <c r="C6" s="125"/>
      <c r="D6" s="125"/>
      <c r="E6" s="125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5" t="s">
        <v>151</v>
      </c>
      <c r="B7" s="125"/>
      <c r="C7" s="125"/>
      <c r="D7" s="125"/>
      <c r="E7" s="125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">
        <v>149</v>
      </c>
      <c r="B14" s="134"/>
      <c r="C14" s="134"/>
      <c r="D14" s="134"/>
      <c r="E14" s="134"/>
      <c r="F14" s="6"/>
      <c r="G14" s="136" t="s">
        <v>125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5" t="s">
        <v>150</v>
      </c>
      <c r="B15" s="125"/>
      <c r="C15" s="125"/>
      <c r="D15" s="125"/>
      <c r="E15" s="125"/>
      <c r="F15" s="7"/>
      <c r="G15" s="138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151</v>
      </c>
      <c r="B16" s="125"/>
      <c r="C16" s="125"/>
      <c r="D16" s="125"/>
      <c r="E16" s="125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1" t="s">
        <v>137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6" x14ac:dyDescent="0.3">
      <c r="A24" s="20" t="s">
        <v>22</v>
      </c>
      <c r="C24" s="18" t="s">
        <v>160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">
        <v>161</v>
      </c>
      <c r="F26" s="153"/>
      <c r="G26" s="153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900</v>
      </c>
      <c r="F30" s="110" t="s">
        <v>27</v>
      </c>
      <c r="G30" s="106">
        <v>23000</v>
      </c>
      <c r="H30" s="106">
        <v>21380</v>
      </c>
      <c r="I30" s="108">
        <v>0.2</v>
      </c>
      <c r="J30" s="13">
        <f t="shared" ref="J30" si="0">H30*I30</f>
        <v>4276</v>
      </c>
      <c r="K30" s="12">
        <v>0</v>
      </c>
      <c r="L30" s="12">
        <v>0</v>
      </c>
      <c r="M30" s="13">
        <f t="shared" ref="M30" si="1">J30</f>
        <v>4276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900</v>
      </c>
      <c r="F31" s="15"/>
      <c r="G31" s="64">
        <f>SUM(G30:G30)</f>
        <v>23000</v>
      </c>
      <c r="H31" s="64">
        <f>SUM(H30:H30)</f>
        <v>21380</v>
      </c>
      <c r="I31" s="102"/>
      <c r="J31" s="17">
        <f>SUM(J30:J30)</f>
        <v>4276</v>
      </c>
      <c r="K31" s="16"/>
      <c r="L31" s="16"/>
      <c r="M31" s="17">
        <f>SUM(M30:M30)</f>
        <v>4276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двести семьдесят шесть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6" zoomScale="115" zoomScaleNormal="115" workbookViewId="0">
      <selection activeCell="K38" sqref="K38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BEZ-A-69 от  11.08.2025г.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11.08.2025г.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10484RBA/103169BA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7" zoomScaleNormal="100" workbookViewId="0">
      <selection activeCell="K21" sqref="K21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10484RBA/103169BA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11.08.2025г.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BEZ-A-69 от  11.08.2025г.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900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4"/>
      <c r="H20" s="164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4"/>
      <c r="H22" s="164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4"/>
      <c r="H24" s="164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4"/>
      <c r="H26" s="164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4"/>
      <c r="H28" s="164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4"/>
      <c r="H30" s="164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4"/>
      <c r="H32" s="164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4"/>
      <c r="H34" s="164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4"/>
      <c r="H36" s="164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4"/>
      <c r="H38" s="164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4"/>
      <c r="H42" s="164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6"/>
      <c r="H44" s="166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900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EACC-D609-4F9A-87C5-D88DE665CFD1}">
  <sheetPr>
    <pageSetUpPr fitToPage="1"/>
  </sheetPr>
  <dimension ref="A1:Q42"/>
  <sheetViews>
    <sheetView zoomScale="85" zoomScaleNormal="85" workbookViewId="0">
      <selection activeCell="R27" sqref="R27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32" t="str">
        <f>+Инвойс!F1</f>
        <v xml:space="preserve"> 11.08.2025г.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10484RBA/103169BA</v>
      </c>
      <c r="F26" s="153"/>
      <c r="G26" s="153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3.4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900</v>
      </c>
      <c r="F30" s="116" t="str">
        <f>+Инвойс!F30</f>
        <v>кг</v>
      </c>
      <c r="G30" s="106">
        <f>+Инвойс!G30</f>
        <v>23000</v>
      </c>
      <c r="H30" s="106">
        <f>+Инвойс!H30</f>
        <v>21380</v>
      </c>
      <c r="I30" s="108">
        <f>+Инвойс!I30</f>
        <v>0.2</v>
      </c>
      <c r="J30" s="13">
        <f>+Инвойс!J30</f>
        <v>4276</v>
      </c>
      <c r="K30" s="12">
        <v>0</v>
      </c>
      <c r="L30" s="12">
        <v>0</v>
      </c>
      <c r="M30" s="13">
        <f>+Инвойс!M30</f>
        <v>4276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900</v>
      </c>
      <c r="F31" s="15"/>
      <c r="G31" s="64">
        <f>SUM(G30:G30)</f>
        <v>23000</v>
      </c>
      <c r="H31" s="64">
        <f>SUM(H30:H30)</f>
        <v>21380</v>
      </c>
      <c r="I31" s="102"/>
      <c r="J31" s="17">
        <f>SUM(J30:J30)</f>
        <v>4276</v>
      </c>
      <c r="K31" s="16"/>
      <c r="L31" s="16"/>
      <c r="M31" s="17">
        <f>SUM(M30:M30)</f>
        <v>4276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двести семьдесят шесть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4276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семьдесят шесть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45880</v>
      </c>
      <c r="O3" s="176"/>
      <c r="P3">
        <f ca="1">DAY(N3)</f>
        <v>11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двести семьдесят шесть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11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семьдесят шесть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семьдесят шесть долларов США, 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семьдесят шесть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45880</v>
      </c>
    </row>
    <row r="13" spans="1:19" s="43" customFormat="1" x14ac:dyDescent="0.25">
      <c r="A13" s="49"/>
      <c r="D13" s="51"/>
      <c r="E13" s="52">
        <f>TRUNC(E2)</f>
        <v>4276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5">
      <c r="A29" s="54">
        <f>E13</f>
        <v>4276</v>
      </c>
      <c r="B29" s="47">
        <f>TRUNC(RIGHT(A29))</f>
        <v>6</v>
      </c>
      <c r="C29" s="51">
        <f>IF(B28=1,B29+10,IF(B29=0,0,B29))</f>
        <v>6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шесть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276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400-000000000000}"/>
    <hyperlink ref="J44" r:id="rId2" xr:uid="{00000000-0004-0000-0400-000001000000}"/>
    <hyperlink ref="J46" r:id="rId3" tooltip="Замечания о программе" xr:uid="{00000000-0004-0000-04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2025-08-11T10:54:54Z</cp:lastPrinted>
  <dcterms:created xsi:type="dcterms:W3CDTF">1996-10-14T23:33:28Z</dcterms:created>
  <dcterms:modified xsi:type="dcterms:W3CDTF">2025-08-11T10:55:34Z</dcterms:modified>
</cp:coreProperties>
</file>