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5A40488-628D-4B86-A8BA-CE8855A87A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<sst xmlns="http://schemas.openxmlformats.org/spreadsheetml/2006/main" count="213" uniqueCount="169">
  <si>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</si>
  <si>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</si>
  <si>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</si>
  <si>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</si>
  <si>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</si>
  <si>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</si>
  <si>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</si>
  <si>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</si>
  <si>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</si>
  <si>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</si>
  <si>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</si>
  <si>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</si>
  <si>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</si>
  <si>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</si>
  <si>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</si>
  <si>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</si>
  <si>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</si>
  <si>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</si>
  <si>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</si>
  <si>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</si>
  <si>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</si>
  <si>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</si>
  <si>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</si>
  <si>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</si>
  <si>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</si>
  <si>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</si>
  <si>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</si>
  <si>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</si>
  <si>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</si>
  <si>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</si>
  <si>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</si>
  <si>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</si>
  <si>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</si>
  <si>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</si>
  <si>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</si>
  <si>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</si>
  <si>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</si>
  <si>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</si>
  <si>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</si>
  <si>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</si>
  <si>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</si>
  <si>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</si>
  <si>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</si>
  <si>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</si>
  <si>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</si>
  <si>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</si>
  <si>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</si>
  <si>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</si>
  <si>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</si>
  <si>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</si>
  <si>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</si>
  <si>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</si>
  <si>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</si>
  <si>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</si>
  <si>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</si>
  <si>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</si>
  <si>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</si>
  <si>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</si>
  <si>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</si>
  <si>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</si>
  <si>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</si>
  <si>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</si>
  <si>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</si>
  <si>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</si>
  <si>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</si>
  <si>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</si>
  <si>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</si>
  <si>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</si>
  <si>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</si>
  <si>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</si>
  <si>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</si>
  <si>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</si>
  <si>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</si>
  <si>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</si>
  <si>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</si>
  <si>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</si>
  <si>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</si>
  <si>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</si>
  <si>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</si>
  <si>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</si>
  <si>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</si>
  <si>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</si>
  <si>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</si>
  <si>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</si>
  <si>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</si>
  <si>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</si>
  <si>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</si>
  <si>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</si>
  <si>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</si>
  <si>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</si>
  <si>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</si>
  <si>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</si>
  <si>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</si>
  <si>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</si>
  <si>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</si>
  <si>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</si>
  <si>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</si>
  <si>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</si>
  <si>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</si>
  <si>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</si>
  <si>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</si>
  <si>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</si>
  <si>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</si>
  <si>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</si>
  <si>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</si>
  <si>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</si>
  <si>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</si>
  <si>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</si>
  <si>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</si>
  <si>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</si>
  <si>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</si>
  <si>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</si>
  <si>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</si>
  <si>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</si>
  <si>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</si>
  <si>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</si>
  <si>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</si>
  <si>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Персики свежие</t>
  </si>
  <si>
    <t>Нектарины свежие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</si>
  <si>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</si>
  <si>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</si>
  <si>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</si>
  <si>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</si>
  <si>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</si>
  <si>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</si>
  <si>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</si>
  <si>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</si>
  <si>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</si>
  <si>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</si>
  <si>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</si>
  <si>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</si>
  <si>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</si>
  <si>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</si>
  <si>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</si>
  <si>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</si>
  <si>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0809309001</t>
  </si>
  <si>
    <t>0809301001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</si>
  <si>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</si>
  <si>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</si>
  <si>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</si>
  <si>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</si>
  <si>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</si>
  <si>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</si>
  <si>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</si>
  <si>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</si>
  <si>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</si>
  <si>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</si>
  <si>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</si>
  <si>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</si>
  <si>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</si>
  <si>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</si>
  <si>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</si>
  <si>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</si>
  <si>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</si>
  <si>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</si>
  <si>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</si>
  <si>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</si>
  <si>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</si>
  <si>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</si>
  <si>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</si>
  <si>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</si>
  <si>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</si>
  <si>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</si>
  <si>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</si>
  <si>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ИНВОЙС № MEZ-O-19 от </t>
  </si>
  <si>
    <t xml:space="preserve"> 15.08.2025г.</t>
  </si>
  <si>
    <t>E054KA774/06KG130PC</t>
  </si>
  <si>
    <t>DAP - с Амандык , Республика Казахстан</t>
  </si>
  <si>
    <t xml:space="preserve">СПЕЦИФИКАЦИЯ № MEZ-O-19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</si>
</sst>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40</xdr:row>
      <xdr:rowOff>33618</xdr:rowOff>
    </xdr:from>
    <xdr:to>
      <xdr:col>3</xdr:col>
      <xdr:colOff>224118</xdr:colOff>
      <xdr:row>52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40</xdr:row>
      <xdr:rowOff>100855</xdr:rowOff>
    </xdr:from>
    <xdr:to>
      <xdr:col>4</xdr:col>
      <xdr:colOff>389833</xdr:colOff>
      <xdr:row>42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42</xdr:row>
      <xdr:rowOff>20172</xdr:rowOff>
    </xdr:from>
    <xdr:to>
      <xdr:col>12</xdr:col>
      <xdr:colOff>149486</xdr:colOff>
      <xdr:row>45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40</xdr:row>
      <xdr:rowOff>98613</xdr:rowOff>
    </xdr:from>
    <xdr:to>
      <xdr:col>9</xdr:col>
      <xdr:colOff>159123</xdr:colOff>
      <xdr:row>52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40</xdr:row>
      <xdr:rowOff>22412</xdr:rowOff>
    </xdr:from>
    <xdr:to>
      <xdr:col>2</xdr:col>
      <xdr:colOff>392207</xdr:colOff>
      <xdr:row>52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40</xdr:row>
      <xdr:rowOff>89649</xdr:rowOff>
    </xdr:from>
    <xdr:to>
      <xdr:col>3</xdr:col>
      <xdr:colOff>546715</xdr:colOff>
      <xdr:row>42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1" t="s">
        <v>164</v>
      </c>
      <c r="D1" s="151"/>
      <c r="E1" s="151"/>
      <c r="F1" s="150" t="s">
        <v>165</v>
      </c>
      <c r="G1" s="150"/>
      <c r="H1" s="150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155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">
      <c r="A5" s="152" t="s">
        <v>156</v>
      </c>
      <c r="B5" s="152"/>
      <c r="C5" s="152"/>
      <c r="D5" s="152"/>
      <c r="E5" s="152"/>
      <c r="F5" s="6"/>
      <c r="G5" s="145" t="s">
        <v>145</v>
      </c>
      <c r="H5" s="145"/>
      <c r="I5" s="145"/>
      <c r="J5" s="145"/>
      <c r="K5" s="145"/>
      <c r="L5" s="145"/>
      <c r="M5" s="145"/>
    </row>
    <row r="6" spans="1:15" ht="15" x14ac:dyDescent="0.25">
      <c r="A6" s="126" t="s">
        <v>157</v>
      </c>
      <c r="B6" s="125"/>
      <c r="C6" s="125"/>
      <c r="D6" s="125"/>
      <c r="E6" s="125"/>
      <c r="F6" s="7"/>
      <c r="G6" s="140" t="s">
        <v>146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6" t="s">
        <v>162</v>
      </c>
      <c r="B7" s="125"/>
      <c r="C7" s="125"/>
      <c r="D7" s="125"/>
      <c r="E7" s="125"/>
      <c r="F7" s="63"/>
      <c r="G7" s="140" t="s">
        <v>147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159</v>
      </c>
      <c r="B8" s="8"/>
      <c r="C8" s="8"/>
      <c r="D8" s="8"/>
      <c r="E8" s="8"/>
      <c r="F8" s="63"/>
      <c r="G8" s="7" t="s">
        <v>148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158</v>
      </c>
      <c r="B9" s="8"/>
      <c r="C9" s="8"/>
      <c r="D9" s="8"/>
      <c r="E9" s="8"/>
      <c r="F9" s="7"/>
      <c r="G9" s="7" t="s">
        <v>149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160</v>
      </c>
      <c r="B10" s="125"/>
      <c r="C10" s="125"/>
      <c r="D10" s="125"/>
      <c r="E10" s="125"/>
      <c r="F10" s="7"/>
      <c r="G10" s="7" t="s">
        <v>150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151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2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52" t="s">
        <v>156</v>
      </c>
      <c r="B14" s="152"/>
      <c r="C14" s="152"/>
      <c r="D14" s="152"/>
      <c r="E14" s="152"/>
      <c r="F14" s="6"/>
      <c r="G14" s="145" t="s">
        <v>128</v>
      </c>
      <c r="H14" s="145"/>
      <c r="I14" s="145"/>
      <c r="J14" s="145"/>
      <c r="K14" s="145"/>
      <c r="L14" s="145"/>
      <c r="M14" s="145"/>
    </row>
    <row r="15" spans="1:15" ht="13.9" customHeight="1" x14ac:dyDescent="0.25">
      <c r="A15" s="126" t="s">
        <v>157</v>
      </c>
      <c r="B15" s="125"/>
      <c r="C15" s="125"/>
      <c r="D15" s="125"/>
      <c r="E15" s="125"/>
      <c r="F15" s="7"/>
      <c r="G15" s="140" t="s">
        <v>129</v>
      </c>
      <c r="H15" s="142"/>
      <c r="I15" s="142"/>
      <c r="J15" s="142"/>
      <c r="K15" s="142"/>
      <c r="L15" s="142"/>
      <c r="M15" s="142"/>
    </row>
    <row r="16" spans="1:15" ht="15" x14ac:dyDescent="0.25">
      <c r="A16" s="126" t="s">
        <v>162</v>
      </c>
      <c r="B16" s="125"/>
      <c r="C16" s="125"/>
      <c r="D16" s="125"/>
      <c r="E16" s="125"/>
      <c r="F16" s="63"/>
      <c r="G16" s="140" t="s">
        <v>130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159</v>
      </c>
      <c r="B17" s="8"/>
      <c r="C17" s="8"/>
      <c r="D17" s="8"/>
      <c r="E17" s="8"/>
      <c r="F17" s="63"/>
      <c r="G17" s="7" t="s">
        <v>131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158</v>
      </c>
      <c r="B18" s="8"/>
      <c r="C18" s="8"/>
      <c r="D18" s="8"/>
      <c r="E18" s="8"/>
      <c r="F18" s="7"/>
      <c r="G18" s="8" t="s">
        <v>132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160</v>
      </c>
      <c r="B19" s="125"/>
      <c r="C19" s="125"/>
      <c r="D19" s="125"/>
      <c r="E19" s="125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134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0" t="s">
        <v>124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75" x14ac:dyDescent="0.25">
      <c r="A24" s="20" t="s">
        <v>22</v>
      </c>
      <c r="C24" s="18" t="s">
        <v>167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166</v>
      </c>
      <c r="F26" s="139"/>
      <c r="G26" s="139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1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1" t="s">
        <v>12</v>
      </c>
      <c r="H29" s="111" t="s">
        <v>13</v>
      </c>
      <c r="I29" s="134"/>
      <c r="J29" s="112" t="s">
        <v>14</v>
      </c>
      <c r="K29" s="10" t="s">
        <v>15</v>
      </c>
      <c r="L29" s="10" t="s">
        <v>16</v>
      </c>
      <c r="M29" s="134"/>
    </row>
    <row r="30" spans="1:17" ht="30" x14ac:dyDescent="0.2">
      <c r="A30" s="128">
        <v>1</v>
      </c>
      <c r="B30" s="101" t="s">
        <v>138</v>
      </c>
      <c r="C30" s="107" t="s">
        <v>137</v>
      </c>
      <c r="D30" s="109" t="s">
        <v>114</v>
      </c>
      <c r="E30" s="101">
        <v>1718</v>
      </c>
      <c r="F30" s="110" t="s">
        <v>27</v>
      </c>
      <c r="G30" s="106">
        <v>16320</v>
      </c>
      <c r="H30" s="106">
        <v>13915</v>
      </c>
      <c r="I30" s="108">
        <v>0.85</v>
      </c>
      <c r="J30" s="13">
        <f t="shared" ref="J30:J33" si="0">H30*I30</f>
        <v>11827.75</v>
      </c>
      <c r="K30" s="12">
        <v>0</v>
      </c>
      <c r="L30" s="12">
        <v>0</v>
      </c>
      <c r="M30" s="13">
        <f t="shared" ref="M30:M33" si="1">J30</f>
        <v>11827.75</v>
      </c>
      <c r="O30" s="100"/>
      <c r="Q30" s="100"/>
    </row>
    <row r="31" spans="1:17" ht="30" x14ac:dyDescent="0.2">
      <c r="A31" s="128">
        <v>2</v>
      </c>
      <c r="B31" s="101" t="s">
        <v>118</v>
      </c>
      <c r="C31" s="107" t="s">
        <v>136</v>
      </c>
      <c r="D31" s="109" t="s">
        <v>112</v>
      </c>
      <c r="E31" s="101">
        <v>401</v>
      </c>
      <c r="F31" s="116" t="s">
        <v>27</v>
      </c>
      <c r="G31" s="106">
        <v>3410</v>
      </c>
      <c r="H31" s="106">
        <v>3130</v>
      </c>
      <c r="I31" s="108">
        <v>0.9</v>
      </c>
      <c r="J31" s="13">
        <f t="shared" si="0"/>
        <v>2817</v>
      </c>
      <c r="K31" s="12">
        <v>0</v>
      </c>
      <c r="L31" s="12">
        <v>0</v>
      </c>
      <c r="M31" s="13">
        <f t="shared" si="1"/>
        <v>2817</v>
      </c>
      <c r="O31" s="100"/>
      <c r="Q31" s="100"/>
    </row>
    <row r="32" spans="1:17" ht="15" x14ac:dyDescent="0.2">
      <c r="A32" s="128">
        <v>3</v>
      </c>
      <c r="B32" s="101" t="s">
        <v>142</v>
      </c>
      <c r="C32" s="107" t="s">
        <v>143</v>
      </c>
      <c r="D32" s="109" t="s">
        <v>114</v>
      </c>
      <c r="E32" s="101">
        <v>150</v>
      </c>
      <c r="F32" s="110" t="s">
        <v>27</v>
      </c>
      <c r="G32" s="106">
        <v>1500</v>
      </c>
      <c r="H32" s="106">
        <v>1290</v>
      </c>
      <c r="I32" s="108">
        <v>0.4</v>
      </c>
      <c r="J32" s="13">
        <f t="shared" si="0"/>
        <v>516</v>
      </c>
      <c r="K32" s="12">
        <v>0</v>
      </c>
      <c r="L32" s="12">
        <v>0</v>
      </c>
      <c r="M32" s="13">
        <f t="shared" si="1"/>
        <v>516</v>
      </c>
      <c r="O32" s="100"/>
      <c r="Q32" s="100"/>
    </row>
    <row r="33" spans="1:17" ht="15" x14ac:dyDescent="0.2">
      <c r="A33" s="128">
        <v>4</v>
      </c>
      <c r="B33" s="101" t="s">
        <v>117</v>
      </c>
      <c r="C33" s="107" t="s">
        <v>135</v>
      </c>
      <c r="D33" s="109" t="s">
        <v>114</v>
      </c>
      <c r="E33" s="101">
        <v>132</v>
      </c>
      <c r="F33" s="110" t="s">
        <v>27</v>
      </c>
      <c r="G33" s="106">
        <v>828</v>
      </c>
      <c r="H33" s="106">
        <v>670</v>
      </c>
      <c r="I33" s="108">
        <v>1</v>
      </c>
      <c r="J33" s="13">
        <f t="shared" si="0"/>
        <v>670</v>
      </c>
      <c r="K33" s="12">
        <v>0</v>
      </c>
      <c r="L33" s="12">
        <v>0</v>
      </c>
      <c r="M33" s="13">
        <f t="shared" si="1"/>
        <v>670</v>
      </c>
      <c r="O33" s="100"/>
      <c r="Q33" s="100"/>
    </row>
    <row r="34" spans="1:17" ht="14.25" x14ac:dyDescent="0.2">
      <c r="A34" s="148" t="s">
        <v>0</v>
      </c>
      <c r="B34" s="149"/>
      <c r="C34" s="14"/>
      <c r="D34" s="15"/>
      <c r="E34" s="64">
        <f>SUM(E30:E33)</f>
        <v>2401</v>
      </c>
      <c r="F34" s="15"/>
      <c r="G34" s="64">
        <f>SUM(G30:G33)</f>
        <v>22058</v>
      </c>
      <c r="H34" s="64">
        <f>SUM(H30:H33)</f>
        <v>19005</v>
      </c>
      <c r="I34" s="102"/>
      <c r="J34" s="17">
        <f>SUM(J30:J33)</f>
        <v>15830.75</v>
      </c>
      <c r="K34" s="16"/>
      <c r="L34" s="16"/>
      <c r="M34" s="17">
        <f>SUM(M30:M33)</f>
        <v>15830.75</v>
      </c>
      <c r="P34" s="66"/>
    </row>
    <row r="35" spans="1:17" ht="13.5" x14ac:dyDescent="0.25">
      <c r="A35" s="2" t="s">
        <v>17</v>
      </c>
      <c r="B35" s="3"/>
      <c r="C35" s="11"/>
      <c r="D35" s="11"/>
      <c r="E35" s="146" t="str">
        <f>Лист1!B3</f>
        <v>Пятнадцать тысяч восемьсот тридцать долларов США, 75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</row>
    <row r="37" spans="1:17" ht="25.5" customHeight="1" x14ac:dyDescent="0.2">
      <c r="A37" s="141" t="s">
        <v>110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26"/>
    </row>
    <row r="39" spans="1:17" ht="15" x14ac:dyDescent="0.25">
      <c r="A39" s="7" t="s">
        <v>28</v>
      </c>
      <c r="B39" s="7"/>
      <c r="D39" s="25" t="s">
        <v>161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4" sqref="B34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154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MEZ-O-19 от  15.08.2025г.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1718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16320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401</v>
      </c>
      <c r="D31" s="103" t="str">
        <f>+Инвойс!D31</f>
        <v>Пласт. ящик</v>
      </c>
      <c r="E31" s="103"/>
      <c r="F31" s="103" t="str">
        <f>+Инвойс!B31</f>
        <v>Нектарины свежие</v>
      </c>
      <c r="G31" s="104" t="str">
        <f>+Инвойс!C31</f>
        <v>0809301001</v>
      </c>
      <c r="H31" s="103"/>
      <c r="I31" s="105">
        <f>+Инвойс!G31</f>
        <v>3410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150</v>
      </c>
      <c r="D32" s="103" t="str">
        <f>+Инвойс!D32</f>
        <v>Дер. ящик</v>
      </c>
      <c r="E32" s="103"/>
      <c r="F32" s="103" t="str">
        <f>+Инвойс!B32</f>
        <v>Сливы свежие</v>
      </c>
      <c r="G32" s="104" t="str">
        <f>+Инвойс!C32</f>
        <v>0809400501</v>
      </c>
      <c r="H32" s="103"/>
      <c r="I32" s="105">
        <f>+Инвойс!G32</f>
        <v>1500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132</v>
      </c>
      <c r="D33" s="103" t="str">
        <f>+Инвойс!D33</f>
        <v>Дер. ящик</v>
      </c>
      <c r="E33" s="103"/>
      <c r="F33" s="103" t="str">
        <f>+Инвойс!B33</f>
        <v>Персики свежие</v>
      </c>
      <c r="G33" s="104" t="str">
        <f>+Инвойс!C33</f>
        <v>0809309001</v>
      </c>
      <c r="H33" s="103"/>
      <c r="I33" s="105">
        <f>+Инвойс!G33</f>
        <v>828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8" t="str">
        <f>+C22</f>
        <v xml:space="preserve"> 15.08.2025г.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E054KA774/06KG130PC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E054KA774/06KG130PC</v>
      </c>
      <c r="C14" s="167"/>
      <c r="D14" s="167"/>
      <c r="E14" s="167"/>
      <c r="F14" s="167"/>
      <c r="G14" s="167"/>
      <c r="H14" s="168" t="s">
        <v>108</v>
      </c>
      <c r="I14" s="168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MEZ-O-19 от  15.08.2025г.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1718</v>
      </c>
      <c r="G18" s="161" t="str">
        <f>+CMR!F30</f>
        <v>Виноград свежий столовых сортов</v>
      </c>
      <c r="H18" s="161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59" t="str">
        <f>+Инвойс!C30</f>
        <v>0806101001</v>
      </c>
      <c r="H19" s="160"/>
      <c r="I19" s="122" t="s">
        <v>103</v>
      </c>
      <c r="J19" s="120">
        <f>+Инвойс!G30</f>
        <v>16320</v>
      </c>
    </row>
    <row r="20" spans="2:10" ht="13.5" customHeight="1" x14ac:dyDescent="0.25">
      <c r="B20" s="83"/>
      <c r="E20" s="123"/>
      <c r="F20" s="118">
        <f>+Инвойс!E31</f>
        <v>401</v>
      </c>
      <c r="G20" s="161" t="str">
        <f>+CMR!F31</f>
        <v>Нектарины свежие</v>
      </c>
      <c r="H20" s="161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Пласт. ящик</v>
      </c>
      <c r="G21" s="159" t="str">
        <f>+Инвойс!C31</f>
        <v>0809301001</v>
      </c>
      <c r="H21" s="160"/>
      <c r="I21" s="122" t="s">
        <v>103</v>
      </c>
      <c r="J21" s="120">
        <f>+Инвойс!G31</f>
        <v>3410</v>
      </c>
    </row>
    <row r="22" spans="2:10" ht="12.75" customHeight="1" x14ac:dyDescent="0.25">
      <c r="B22" s="83"/>
      <c r="E22" s="123"/>
      <c r="F22" s="118">
        <f>+Инвойс!E32</f>
        <v>150</v>
      </c>
      <c r="G22" s="161" t="str">
        <f>+CMR!F32</f>
        <v>Сливы свежие</v>
      </c>
      <c r="H22" s="161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Дер. ящик</v>
      </c>
      <c r="G23" s="159" t="str">
        <f>+Инвойс!C32</f>
        <v>0809400501</v>
      </c>
      <c r="H23" s="160"/>
      <c r="I23" s="122" t="s">
        <v>103</v>
      </c>
      <c r="J23" s="120">
        <f>+Инвойс!G32</f>
        <v>1500</v>
      </c>
    </row>
    <row r="24" spans="2:10" ht="12.75" customHeight="1" x14ac:dyDescent="0.25">
      <c r="B24" s="87"/>
      <c r="E24" s="123"/>
      <c r="F24" s="118">
        <f>+Инвойс!E33</f>
        <v>132</v>
      </c>
      <c r="G24" s="161" t="str">
        <f>+CMR!F33</f>
        <v>Персики свежие</v>
      </c>
      <c r="H24" s="161"/>
      <c r="I24" s="119"/>
      <c r="J24" s="120"/>
    </row>
    <row r="25" spans="2:10" ht="12.75" customHeight="1" x14ac:dyDescent="0.25">
      <c r="B25" s="87"/>
      <c r="E25" s="123"/>
      <c r="F25" s="121" t="str">
        <f>+Инвойс!D33</f>
        <v>Дер. ящик</v>
      </c>
      <c r="G25" s="159" t="str">
        <f>+Инвойс!C33</f>
        <v>0809309001</v>
      </c>
      <c r="H25" s="160"/>
      <c r="I25" s="122" t="s">
        <v>103</v>
      </c>
      <c r="J25" s="120">
        <f>+Инвойс!G33</f>
        <v>828</v>
      </c>
    </row>
    <row r="26" spans="2:10" ht="12" customHeight="1" x14ac:dyDescent="0.25">
      <c r="B26" s="87"/>
      <c r="E26" s="123"/>
      <c r="F26" s="118"/>
      <c r="G26" s="161"/>
      <c r="H26" s="161"/>
      <c r="I26" s="119"/>
      <c r="J26" s="120"/>
    </row>
    <row r="27" spans="2:10" ht="14.25" customHeight="1" x14ac:dyDescent="0.25">
      <c r="B27" s="87"/>
      <c r="E27" s="123"/>
      <c r="F27" s="121"/>
      <c r="G27" s="159"/>
      <c r="H27" s="160"/>
      <c r="I27" s="122"/>
      <c r="J27" s="120"/>
    </row>
    <row r="28" spans="2:10" ht="12.75" customHeight="1" x14ac:dyDescent="0.25">
      <c r="B28" s="87"/>
      <c r="E28" s="123"/>
      <c r="F28" s="118"/>
      <c r="G28" s="161"/>
      <c r="H28" s="161"/>
      <c r="I28" s="119"/>
      <c r="J28" s="120"/>
    </row>
    <row r="29" spans="2:10" ht="12.75" customHeight="1" x14ac:dyDescent="0.25">
      <c r="B29" s="87"/>
      <c r="E29" s="123"/>
      <c r="F29" s="121"/>
      <c r="G29" s="159"/>
      <c r="H29" s="160"/>
      <c r="I29" s="122"/>
      <c r="J29" s="120"/>
    </row>
    <row r="30" spans="2:10" ht="12.75" customHeight="1" x14ac:dyDescent="0.25">
      <c r="B30" s="87"/>
      <c r="E30" s="123"/>
      <c r="F30" s="118"/>
      <c r="G30" s="161"/>
      <c r="H30" s="161"/>
      <c r="I30" s="119"/>
      <c r="J30" s="120"/>
    </row>
    <row r="31" spans="2:10" ht="13.5" customHeight="1" x14ac:dyDescent="0.25">
      <c r="B31" s="87"/>
      <c r="E31" s="123"/>
      <c r="F31" s="121"/>
      <c r="G31" s="159"/>
      <c r="H31" s="160"/>
      <c r="I31" s="122"/>
      <c r="J31" s="120"/>
    </row>
    <row r="32" spans="2:10" ht="13.5" customHeight="1" x14ac:dyDescent="0.25">
      <c r="B32" s="87"/>
      <c r="E32" s="123"/>
      <c r="F32" s="118"/>
      <c r="G32" s="161"/>
      <c r="H32" s="161"/>
      <c r="I32" s="119"/>
      <c r="J32" s="120"/>
    </row>
    <row r="33" spans="2:10" ht="13.5" customHeight="1" x14ac:dyDescent="0.25">
      <c r="B33" s="87"/>
      <c r="E33" s="123"/>
      <c r="F33" s="121"/>
      <c r="G33" s="159"/>
      <c r="H33" s="160"/>
      <c r="I33" s="122"/>
      <c r="J33" s="120"/>
    </row>
    <row r="34" spans="2:10" ht="13.5" customHeight="1" x14ac:dyDescent="0.25">
      <c r="B34" s="87"/>
      <c r="E34" s="123"/>
      <c r="F34" s="118"/>
      <c r="G34" s="161"/>
      <c r="H34" s="161"/>
      <c r="I34" s="119"/>
      <c r="J34" s="120"/>
    </row>
    <row r="35" spans="2:10" ht="12.75" customHeight="1" x14ac:dyDescent="0.25">
      <c r="B35" s="87"/>
      <c r="E35" s="123"/>
      <c r="F35" s="121"/>
      <c r="G35" s="159"/>
      <c r="H35" s="160"/>
      <c r="I35" s="122"/>
      <c r="J35" s="120"/>
    </row>
    <row r="36" spans="2:10" x14ac:dyDescent="0.25">
      <c r="B36" s="87"/>
      <c r="E36" s="123"/>
      <c r="F36" s="118"/>
      <c r="G36" s="161"/>
      <c r="H36" s="161"/>
      <c r="I36" s="119"/>
      <c r="J36" s="120"/>
    </row>
    <row r="37" spans="2:10" ht="13.5" customHeight="1" x14ac:dyDescent="0.25">
      <c r="B37" s="87"/>
      <c r="E37" s="123"/>
      <c r="F37" s="121"/>
      <c r="G37" s="159"/>
      <c r="H37" s="160"/>
      <c r="I37" s="122"/>
      <c r="J37" s="120"/>
    </row>
    <row r="38" spans="2:10" x14ac:dyDescent="0.25">
      <c r="B38" s="87"/>
      <c r="E38" s="123"/>
      <c r="F38" s="118"/>
      <c r="G38" s="161"/>
      <c r="H38" s="161"/>
      <c r="I38" s="119"/>
      <c r="J38" s="120"/>
    </row>
    <row r="39" spans="2:10" ht="13.5" customHeight="1" x14ac:dyDescent="0.25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25">
      <c r="B40" s="87"/>
      <c r="E40" s="123"/>
      <c r="F40" s="118"/>
      <c r="G40" s="161"/>
      <c r="H40" s="161"/>
      <c r="I40" s="119"/>
      <c r="J40" s="120"/>
    </row>
    <row r="41" spans="2:10" ht="14.25" hidden="1" customHeight="1" x14ac:dyDescent="0.25">
      <c r="B41" s="87"/>
      <c r="E41" s="123"/>
      <c r="F41" s="121"/>
      <c r="G41" s="159"/>
      <c r="H41" s="160"/>
      <c r="I41" s="122"/>
      <c r="J41" s="120"/>
    </row>
    <row r="42" spans="2:10" hidden="1" x14ac:dyDescent="0.25">
      <c r="B42" s="87"/>
      <c r="E42" s="123"/>
      <c r="F42" s="118"/>
      <c r="G42" s="161"/>
      <c r="H42" s="161"/>
      <c r="I42" s="119"/>
      <c r="J42" s="120"/>
    </row>
    <row r="43" spans="2:10" x14ac:dyDescent="0.25">
      <c r="B43" s="87"/>
      <c r="E43" s="123"/>
      <c r="F43" s="121"/>
      <c r="G43" s="159"/>
      <c r="H43" s="160"/>
      <c r="I43" s="122"/>
      <c r="J43" s="120"/>
    </row>
    <row r="44" spans="2:10" ht="9" customHeight="1" x14ac:dyDescent="0.25">
      <c r="B44" s="87"/>
      <c r="E44" s="95"/>
      <c r="F44" s="92"/>
      <c r="G44" s="163"/>
      <c r="H44" s="163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2401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24" zoomScale="85" zoomScaleNormal="85" workbookViewId="0">
      <selection activeCell="A34" sqref="A34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168</v>
      </c>
      <c r="C1" s="170"/>
      <c r="D1" s="170"/>
      <c r="E1" s="170"/>
      <c r="F1" s="150" t="str">
        <f>+Инвойс!F1</f>
        <v xml:space="preserve"> 15.08.2025г.</v>
      </c>
      <c r="G1" s="150"/>
      <c r="H1" s="150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EX0508 от 05.08.2025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">
      <c r="A5" s="152" t="str">
        <f>+Инвойс!A5</f>
        <v>ООО «MEGA EXIMPORT»</v>
      </c>
      <c r="B5" s="152"/>
      <c r="C5" s="152"/>
      <c r="D5" s="152"/>
      <c r="E5" s="152"/>
      <c r="F5" s="6"/>
      <c r="G5" s="145" t="str">
        <f>+Инвойс!G5</f>
        <v>ООО ТД «РЕСУРС»</v>
      </c>
      <c r="H5" s="145"/>
      <c r="I5" s="145"/>
      <c r="J5" s="145"/>
      <c r="K5" s="145"/>
      <c r="L5" s="145"/>
      <c r="M5" s="145"/>
    </row>
    <row r="6" spans="1:15" ht="15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5" x14ac:dyDescent="0.25">
      <c r="A11" s="172"/>
      <c r="B11" s="172"/>
      <c r="C11" s="172"/>
      <c r="D11" s="172"/>
      <c r="E11" s="172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53"/>
      <c r="B12" s="153"/>
      <c r="C12" s="153"/>
      <c r="D12" s="153"/>
      <c r="E12" s="153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2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52" t="str">
        <f>+Инвойс!A14</f>
        <v>ООО «MEGA EXIMPORT»</v>
      </c>
      <c r="B14" s="152"/>
      <c r="C14" s="152"/>
      <c r="D14" s="152"/>
      <c r="E14" s="152"/>
      <c r="F14" s="6"/>
      <c r="G14" s="145" t="str">
        <f>+Инвойс!G14</f>
        <v>OOO «Западные ворота»</v>
      </c>
      <c r="H14" s="145"/>
      <c r="I14" s="145"/>
      <c r="J14" s="145"/>
      <c r="K14" s="145"/>
      <c r="L14" s="145"/>
      <c r="M14" s="145"/>
    </row>
    <row r="15" spans="1:15" ht="13.9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 x14ac:dyDescent="0.25">
      <c r="A20" s="172"/>
      <c r="B20" s="172"/>
      <c r="C20" s="172"/>
      <c r="D20" s="172"/>
      <c r="E20" s="172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140</v>
      </c>
      <c r="C22" s="65"/>
      <c r="F22" s="1"/>
    </row>
    <row r="23" spans="1:17" ht="26.25" hidden="1" customHeight="1" x14ac:dyDescent="0.2">
      <c r="A23" s="69" t="s">
        <v>87</v>
      </c>
      <c r="B23" s="68"/>
      <c r="C23" s="137" t="s">
        <v>119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E054KA774/06KG130PC</v>
      </c>
      <c r="F26" s="139"/>
      <c r="G26" s="139"/>
      <c r="J26" s="21"/>
    </row>
    <row r="27" spans="1:17" ht="34.5" customHeight="1" x14ac:dyDescent="0.25">
      <c r="A27" s="67" t="s">
        <v>141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1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1" t="s">
        <v>12</v>
      </c>
      <c r="H29" s="111" t="s">
        <v>13</v>
      </c>
      <c r="I29" s="134"/>
      <c r="J29" s="112" t="s">
        <v>14</v>
      </c>
      <c r="K29" s="10" t="s">
        <v>15</v>
      </c>
      <c r="L29" s="10" t="s">
        <v>16</v>
      </c>
      <c r="M29" s="134"/>
    </row>
    <row r="30" spans="1:17" ht="15" x14ac:dyDescent="0.2">
      <c r="A30" s="128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1718</v>
      </c>
      <c r="F30" s="116" t="str">
        <f>+Инвойс!F30</f>
        <v>кг</v>
      </c>
      <c r="G30" s="106">
        <f>+Инвойс!G30</f>
        <v>16320</v>
      </c>
      <c r="H30" s="106">
        <f>+Инвойс!H30</f>
        <v>13915</v>
      </c>
      <c r="I30" s="108">
        <f>+Инвойс!I30</f>
        <v>0.85</v>
      </c>
      <c r="J30" s="13">
        <f>+Инвойс!J30</f>
        <v>11827.75</v>
      </c>
      <c r="K30" s="12">
        <v>0</v>
      </c>
      <c r="L30" s="12">
        <v>0</v>
      </c>
      <c r="M30" s="13">
        <f>+Инвойс!M30</f>
        <v>11827.75</v>
      </c>
      <c r="O30" s="100"/>
      <c r="Q30" s="100"/>
    </row>
    <row r="31" spans="1:17" ht="15" x14ac:dyDescent="0.2">
      <c r="A31" s="128">
        <f>+Инвойс!A31</f>
        <v>2</v>
      </c>
      <c r="B31" s="101" t="str">
        <f>+Инвойс!B31</f>
        <v>Нектарины свежие</v>
      </c>
      <c r="C31" s="107" t="str">
        <f>+Инвойс!C31</f>
        <v>0809301001</v>
      </c>
      <c r="D31" s="115" t="str">
        <f>+Инвойс!D31</f>
        <v>Пласт. ящик</v>
      </c>
      <c r="E31" s="101">
        <f>+Инвойс!E31</f>
        <v>401</v>
      </c>
      <c r="F31" s="116" t="str">
        <f>+Инвойс!F31</f>
        <v>кг</v>
      </c>
      <c r="G31" s="106">
        <f>+Инвойс!G31</f>
        <v>3410</v>
      </c>
      <c r="H31" s="106">
        <f>+Инвойс!H31</f>
        <v>3130</v>
      </c>
      <c r="I31" s="108">
        <f>+Инвойс!I31</f>
        <v>0.9</v>
      </c>
      <c r="J31" s="13">
        <f>+Инвойс!J31</f>
        <v>2817</v>
      </c>
      <c r="K31" s="12">
        <v>0</v>
      </c>
      <c r="L31" s="12">
        <v>0</v>
      </c>
      <c r="M31" s="13">
        <f>+Инвойс!M31</f>
        <v>2817</v>
      </c>
      <c r="O31" s="100"/>
      <c r="Q31" s="100"/>
    </row>
    <row r="32" spans="1:17" ht="15" x14ac:dyDescent="0.2">
      <c r="A32" s="128">
        <f>+Инвойс!A32</f>
        <v>3</v>
      </c>
      <c r="B32" s="101" t="str">
        <f>+Инвойс!B32</f>
        <v>Сливы свежие</v>
      </c>
      <c r="C32" s="107" t="str">
        <f>+Инвойс!C32</f>
        <v>0809400501</v>
      </c>
      <c r="D32" s="115" t="str">
        <f>+Инвойс!D32</f>
        <v>Дер. ящик</v>
      </c>
      <c r="E32" s="101">
        <f>+Инвойс!E32</f>
        <v>150</v>
      </c>
      <c r="F32" s="116" t="str">
        <f>+Инвойс!F32</f>
        <v>кг</v>
      </c>
      <c r="G32" s="106">
        <f>+Инвойс!G32</f>
        <v>1500</v>
      </c>
      <c r="H32" s="106">
        <f>+Инвойс!H32</f>
        <v>1290</v>
      </c>
      <c r="I32" s="108">
        <f>+Инвойс!I32</f>
        <v>0.4</v>
      </c>
      <c r="J32" s="13">
        <f>+Инвойс!J32</f>
        <v>516</v>
      </c>
      <c r="K32" s="12">
        <v>0</v>
      </c>
      <c r="L32" s="12">
        <v>0</v>
      </c>
      <c r="M32" s="13">
        <f>+Инвойс!M32</f>
        <v>516</v>
      </c>
      <c r="O32" s="100"/>
      <c r="Q32" s="100"/>
    </row>
    <row r="33" spans="1:17" ht="15" x14ac:dyDescent="0.2">
      <c r="A33" s="128">
        <f>+Инвойс!A33</f>
        <v>4</v>
      </c>
      <c r="B33" s="101" t="str">
        <f>+Инвойс!B33</f>
        <v>Персики свежие</v>
      </c>
      <c r="C33" s="107" t="str">
        <f>+Инвойс!C33</f>
        <v>0809309001</v>
      </c>
      <c r="D33" s="115" t="str">
        <f>+Инвойс!D33</f>
        <v>Дер. ящик</v>
      </c>
      <c r="E33" s="101">
        <f>+Инвойс!E33</f>
        <v>132</v>
      </c>
      <c r="F33" s="116" t="str">
        <f>+Инвойс!F33</f>
        <v>кг</v>
      </c>
      <c r="G33" s="106">
        <f>+Инвойс!G33</f>
        <v>828</v>
      </c>
      <c r="H33" s="106">
        <f>+Инвойс!H33</f>
        <v>670</v>
      </c>
      <c r="I33" s="108">
        <f>+Инвойс!I33</f>
        <v>1</v>
      </c>
      <c r="J33" s="13">
        <f>+Инвойс!J33</f>
        <v>670</v>
      </c>
      <c r="K33" s="12">
        <v>0</v>
      </c>
      <c r="L33" s="12">
        <v>0</v>
      </c>
      <c r="M33" s="13">
        <f>+Инвойс!M33</f>
        <v>670</v>
      </c>
      <c r="O33" s="100"/>
      <c r="Q33" s="100"/>
    </row>
    <row r="34" spans="1:17" ht="14.25" x14ac:dyDescent="0.2">
      <c r="A34" s="148" t="s">
        <v>0</v>
      </c>
      <c r="B34" s="149"/>
      <c r="C34" s="14"/>
      <c r="D34" s="15"/>
      <c r="E34" s="64">
        <f>SUM(E30:E33)</f>
        <v>2401</v>
      </c>
      <c r="F34" s="15"/>
      <c r="G34" s="64">
        <f>SUM(G30:G33)</f>
        <v>22058</v>
      </c>
      <c r="H34" s="64">
        <f>SUM(H30:H33)</f>
        <v>19005</v>
      </c>
      <c r="I34" s="102"/>
      <c r="J34" s="17">
        <f>SUM(J30:J33)</f>
        <v>15830.75</v>
      </c>
      <c r="K34" s="16"/>
      <c r="L34" s="16"/>
      <c r="M34" s="17">
        <f>SUM(M30:M33)</f>
        <v>15830.75</v>
      </c>
      <c r="P34" s="66"/>
    </row>
    <row r="35" spans="1:17" ht="13.5" x14ac:dyDescent="0.25">
      <c r="A35" s="2" t="s">
        <v>17</v>
      </c>
      <c r="B35" s="3"/>
      <c r="C35" s="11"/>
      <c r="D35" s="11"/>
      <c r="E35" s="146" t="str">
        <f>Лист1!B3</f>
        <v>Пятнадцать тысяч восемьсот тридцать долларов США, 75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</row>
    <row r="37" spans="1:17" ht="25.5" customHeight="1" x14ac:dyDescent="0.2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26"/>
    </row>
    <row r="39" spans="1:17" ht="15.75" x14ac:dyDescent="0.25">
      <c r="A39" s="7" t="s">
        <v>163</v>
      </c>
      <c r="B39" s="7"/>
      <c r="D39" s="25" t="str">
        <f>+Инвойс!D39</f>
        <v>Эргашев О.Р</v>
      </c>
      <c r="E39" s="24"/>
      <c r="G39" s="130" t="s">
        <v>152</v>
      </c>
      <c r="H39" t="str">
        <f>Инвойс!G5</f>
        <v>ООО ТД «РЕСУРС»</v>
      </c>
      <c r="K39" s="131" t="s">
        <v>153</v>
      </c>
    </row>
    <row r="40" spans="1:17" ht="15" x14ac:dyDescent="0.25">
      <c r="A40" s="7"/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7"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7" t="s">
        <v>120</v>
      </c>
    </row>
    <row r="3" spans="1:1" ht="51" x14ac:dyDescent="0.2">
      <c r="A3" s="132" t="s">
        <v>144</v>
      </c>
    </row>
    <row r="5" spans="1:1" ht="38.25" x14ac:dyDescent="0.2">
      <c r="A5" s="127" t="s">
        <v>121</v>
      </c>
    </row>
    <row r="7" spans="1:1" ht="51" x14ac:dyDescent="0.2">
      <c r="A7" s="127" t="s">
        <v>122</v>
      </c>
    </row>
    <row r="9" spans="1:1" ht="51" x14ac:dyDescent="0.2">
      <c r="A9" s="127" t="s">
        <v>123</v>
      </c>
    </row>
    <row r="10" spans="1:1" x14ac:dyDescent="0.2">
      <c r="A10" s="127"/>
    </row>
    <row r="11" spans="1:1" ht="51" x14ac:dyDescent="0.2">
      <c r="A11" s="127" t="s">
        <v>124</v>
      </c>
    </row>
    <row r="13" spans="1:1" ht="51" x14ac:dyDescent="0.2">
      <c r="A13" s="127" t="s">
        <v>125</v>
      </c>
    </row>
    <row r="15" spans="1:1" ht="38.25" x14ac:dyDescent="0.2">
      <c r="A15" s="127" t="s">
        <v>126</v>
      </c>
    </row>
    <row r="17" spans="1:1" ht="38.25" x14ac:dyDescent="0.2">
      <c r="A17" s="127" t="s">
        <v>127</v>
      </c>
    </row>
    <row r="19" spans="1:1" ht="38.25" x14ac:dyDescent="0.2">
      <c r="A19" s="129" t="s">
        <v>139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Инвойс!M34</f>
        <v>15830.75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Пятнадцать тысяч восемьсот тридцать долларов США, 75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45884</v>
      </c>
      <c r="O3" s="176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Пятнадцать тысяч восемьсот тридцать долларов США, 75 центов. (в т.ч. НДС - 357,79)</v>
      </c>
      <c r="H4" s="32"/>
      <c r="I4" s="32"/>
      <c r="J4" s="32"/>
      <c r="K4" s="177" t="str">
        <f ca="1">CONCATENATE(" «  ",P3,"  »  ",Q3,"  ",R3," г.")</f>
        <v xml:space="preserve"> «  15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пятнадцать тысяч восемьсот тридцать долларов США, 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пятнадцать тысяч восемьсот тридцать долларов США, 75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пятнадцать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восемьсот тридцать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15830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15</v>
      </c>
      <c r="B25" s="47">
        <f>TRUNC(RIGHT(A25))</f>
        <v>5</v>
      </c>
      <c r="C25" s="51">
        <f>IF(B24=1,B25+10,IF(B25=0,0,B25))</f>
        <v>15</v>
      </c>
      <c r="D25" s="43" t="str">
        <f>IF(AND(C25&gt;9,C25&lt;16),IF(C25=10,D34,IF(C25=11,D35,IF(C25=12,D36,IF(C25=13,D37,IF(C25=14,D38,IF(C25=15,D39,)))))),"")</f>
        <v xml:space="preserve">пятнадцать </v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158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">
      <c r="A28" s="54">
        <f>TRUNC(A29/10)</f>
        <v>1583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15830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2025-08-15T03:22:59Z</cp:lastPrinted>
  <dcterms:created xsi:type="dcterms:W3CDTF">1996-10-14T23:33:28Z</dcterms:created>
  <dcterms:modified xsi:type="dcterms:W3CDTF">2025-08-15T03:23:05Z</dcterms:modified>
</cp:coreProperties>
</file>