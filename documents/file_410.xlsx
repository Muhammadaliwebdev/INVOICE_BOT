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8D22F51-F971-4F6A-9F1F-558F790CF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<sst xmlns="http://schemas.openxmlformats.org/spreadsheetml/2006/main" count="215" uniqueCount="165">
  <si>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</si>
  <si>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</si>
  <si>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</si>
  <si>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</si>
  <si>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</si>
  <si>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</si>
  <si>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</si>
  <si>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</si>
  <si>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</si>
  <si>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</si>
  <si>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</si>
  <si>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</si>
  <si>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</si>
  <si>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</si>
  <si>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</si>
  <si>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</si>
  <si>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</si>
  <si>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</si>
  <si>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</si>
  <si>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</si>
  <si>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</si>
  <si>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</si>
  <si>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</si>
  <si>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</si>
  <si>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</si>
  <si>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</si>
  <si>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</si>
  <si>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</si>
  <si>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</si>
  <si>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</si>
  <si>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</si>
  <si>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</si>
  <si>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</si>
  <si>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</si>
  <si>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</si>
  <si>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</si>
  <si>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</si>
  <si>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</si>
  <si>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</si>
  <si>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</si>
  <si>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</si>
  <si>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</si>
  <si>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</si>
  <si>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</si>
  <si>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</si>
  <si>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</si>
  <si>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</si>
  <si>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</si>
  <si>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</si>
  <si>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</si>
  <si>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</si>
  <si>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</si>
  <si>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</si>
  <si>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</si>
  <si>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</si>
  <si>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</si>
  <si>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</si>
  <si>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</si>
  <si>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</si>
  <si>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</si>
  <si>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</si>
  <si>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</si>
  <si>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</si>
  <si>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</si>
  <si>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</si>
  <si>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</si>
  <si>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</si>
  <si>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</si>
  <si>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</si>
  <si>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</si>
  <si>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</si>
  <si>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</si>
  <si>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</si>
  <si>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</si>
  <si>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</si>
  <si>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</si>
  <si>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</si>
  <si>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</si>
  <si>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</si>
  <si>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</si>
  <si>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</si>
  <si>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</si>
  <si>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</si>
  <si>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</si>
  <si>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</si>
  <si>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</si>
  <si>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</si>
  <si>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</si>
  <si>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</si>
  <si>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</si>
  <si>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</si>
  <si>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</si>
  <si>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</si>
  <si>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</si>
  <si>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</si>
  <si>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</si>
  <si>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</si>
  <si>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</si>
  <si>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</si>
  <si>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</si>
  <si>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</si>
  <si>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</si>
  <si>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</si>
  <si>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</si>
  <si>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</si>
  <si>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</si>
  <si>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</si>
  <si>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</si>
  <si>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</si>
  <si>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</si>
  <si>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</si>
  <si>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</si>
  <si>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</si>
  <si>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</si>
  <si>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</si>
  <si>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</si>
  <si>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</si>
  <si>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</si>
  <si>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</si>
  <si>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</si>
  <si>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</si>
  <si>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</si>
  <si>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</si>
  <si>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</si>
  <si>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</si>
  <si>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</si>
  <si>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</si>
  <si>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</si>
  <si>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</si>
  <si>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</si>
  <si>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</si>
  <si>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</si>
  <si>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</si>
  <si>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</si>
  <si>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</si>
  <si>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</si>
  <si>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</si>
  <si>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</si>
  <si>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</si>
  <si>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</si>
  <si>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</si>
  <si>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</si>
  <si>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</si>
  <si>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</si>
  <si>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</si>
  <si>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</si>
  <si>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</si>
  <si>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</si>
  <si>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</si>
  <si>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</si>
  <si>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</si>
  <si>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</si>
  <si>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</si>
  <si>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</si>
  <si>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</si>
  <si>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</si>
  <si>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</si>
  <si>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</si>
  <si>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</si>
  <si>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GWG-A-19 от </t>
  </si>
  <si>
    <t xml:space="preserve"> 04.09.2025г.</t>
  </si>
  <si>
    <t>01V897ZA/018052AA</t>
  </si>
  <si>
    <t>навалом</t>
  </si>
  <si>
    <t>-</t>
  </si>
  <si>
    <t xml:space="preserve">СПЕЦИФИКАЦИЯ № GWG-A-19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</si>
</sst>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37</xdr:row>
      <xdr:rowOff>123264</xdr:rowOff>
    </xdr:from>
    <xdr:to>
      <xdr:col>3</xdr:col>
      <xdr:colOff>353616</xdr:colOff>
      <xdr:row>52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37</xdr:row>
      <xdr:rowOff>145677</xdr:rowOff>
    </xdr:from>
    <xdr:to>
      <xdr:col>9</xdr:col>
      <xdr:colOff>746872</xdr:colOff>
      <xdr:row>49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37</xdr:row>
      <xdr:rowOff>100851</xdr:rowOff>
    </xdr:from>
    <xdr:to>
      <xdr:col>2</xdr:col>
      <xdr:colOff>526676</xdr:colOff>
      <xdr:row>50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4414062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910</v>
      </c>
      <c r="F30" s="110" t="s">
        <v>27</v>
      </c>
      <c r="G30" s="106">
        <v>21850</v>
      </c>
      <c r="H30" s="106">
        <v>20212</v>
      </c>
      <c r="I30" s="108">
        <v>0.25</v>
      </c>
      <c r="J30" s="13">
        <f t="shared" ref="J30:J31" si="0">H30*I30</f>
        <v>5053</v>
      </c>
      <c r="K30" s="12">
        <v>0</v>
      </c>
      <c r="L30" s="12">
        <v>0</v>
      </c>
      <c r="M30" s="13">
        <f t="shared" ref="M30:M31" si="1">J30</f>
        <v>5053</v>
      </c>
      <c r="O30" s="100"/>
      <c r="Q30" s="100"/>
    </row>
    <row r="31" spans="1:17" ht="13.8" x14ac:dyDescent="0.25">
      <c r="A31" s="128">
        <v>2</v>
      </c>
      <c r="B31" s="101" t="s">
        <v>124</v>
      </c>
      <c r="C31" s="107" t="s">
        <v>125</v>
      </c>
      <c r="D31" s="109" t="s">
        <v>162</v>
      </c>
      <c r="E31" s="101" t="s">
        <v>163</v>
      </c>
      <c r="F31" s="116" t="s">
        <v>27</v>
      </c>
      <c r="G31" s="106">
        <v>850</v>
      </c>
      <c r="H31" s="106">
        <v>850</v>
      </c>
      <c r="I31" s="108">
        <v>0.25</v>
      </c>
      <c r="J31" s="13">
        <f t="shared" si="0"/>
        <v>212.5</v>
      </c>
      <c r="K31" s="12">
        <v>0</v>
      </c>
      <c r="L31" s="12">
        <v>0</v>
      </c>
      <c r="M31" s="13">
        <f t="shared" si="1"/>
        <v>212.5</v>
      </c>
      <c r="O31" s="100"/>
      <c r="Q31" s="100"/>
    </row>
    <row r="32" spans="1:17" ht="13.8" x14ac:dyDescent="0.25">
      <c r="A32" s="149" t="s">
        <v>0</v>
      </c>
      <c r="B32" s="150"/>
      <c r="C32" s="14"/>
      <c r="D32" s="15"/>
      <c r="E32" s="64">
        <f>SUM(E30:E31)</f>
        <v>910</v>
      </c>
      <c r="F32" s="15"/>
      <c r="G32" s="64">
        <f>SUM(G30:G31)</f>
        <v>22700</v>
      </c>
      <c r="H32" s="64">
        <f>SUM(H30:H31)</f>
        <v>21062</v>
      </c>
      <c r="I32" s="102"/>
      <c r="J32" s="17">
        <f>SUM(J30:J31)</f>
        <v>5265.5</v>
      </c>
      <c r="K32" s="16"/>
      <c r="L32" s="16"/>
      <c r="M32" s="17">
        <f>SUM(M30:M31)</f>
        <v>5265.5</v>
      </c>
      <c r="P32" s="66"/>
    </row>
    <row r="33" spans="1:14" ht="13.8" x14ac:dyDescent="0.3">
      <c r="A33" s="2" t="s">
        <v>17</v>
      </c>
      <c r="B33" s="3"/>
      <c r="C33" s="11"/>
      <c r="D33" s="11"/>
      <c r="E33" s="145" t="str">
        <f>Лист1!B3</f>
        <v>Пять тысяч двести шестьдесят пять долларов США, 50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5">
      <c r="A35" s="143" t="s">
        <v>109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ht="13.8" x14ac:dyDescent="0.25">
      <c r="A37" s="7" t="s">
        <v>28</v>
      </c>
      <c r="B37" s="7"/>
      <c r="D37" s="25" t="s">
        <v>156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3">
    <mergeCell ref="I28:I29"/>
    <mergeCell ref="G28:H28"/>
    <mergeCell ref="C23:M23"/>
    <mergeCell ref="E26:G26"/>
    <mergeCell ref="G7:M7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38" sqref="I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GWG-A-19 от  04.09.2025г.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21850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850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04.09.2025г.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01V897ZA/018052AA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H46" sqref="H4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01V897ZA/018052AA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GWG-A-19 от  04.09.2025г.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910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21850</v>
      </c>
    </row>
    <row r="20" spans="2:10" ht="13.5" customHeight="1" x14ac:dyDescent="0.3">
      <c r="B20" s="83"/>
      <c r="E20" s="123"/>
      <c r="F20" s="118" t="str">
        <f>+Инвойс!E31</f>
        <v>-</v>
      </c>
      <c r="G20" s="166" t="str">
        <f>+CMR!F31</f>
        <v>Дыни свежие</v>
      </c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навалом</v>
      </c>
      <c r="G21" s="160" t="str">
        <f>+Инвойс!C31</f>
        <v>0807190001</v>
      </c>
      <c r="H21" s="161"/>
      <c r="I21" s="122" t="s">
        <v>103</v>
      </c>
      <c r="J21" s="120">
        <f>+Инвойс!G31</f>
        <v>850</v>
      </c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v>910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25" zoomScale="85" zoomScaleNormal="85" workbookViewId="0">
      <selection activeCell="A35" sqref="A35:M3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164</v>
      </c>
      <c r="C1" s="173"/>
      <c r="D1" s="173"/>
      <c r="E1" s="173"/>
      <c r="F1" s="135" t="str">
        <f>+Инвойс!F1</f>
        <v xml:space="preserve"> 04.09.2025г.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53" t="s">
        <v>113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01V897ZA/018052AA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8.2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910</v>
      </c>
      <c r="F30" s="116" t="str">
        <f>+Инвойс!F30</f>
        <v>кг</v>
      </c>
      <c r="G30" s="106">
        <f>+Инвойс!G30</f>
        <v>21850</v>
      </c>
      <c r="H30" s="106">
        <f>+Инвойс!H30</f>
        <v>20212</v>
      </c>
      <c r="I30" s="108">
        <f>+Инвойс!I30</f>
        <v>0.25</v>
      </c>
      <c r="J30" s="13">
        <f>+Инвойс!J30</f>
        <v>5053</v>
      </c>
      <c r="K30" s="12">
        <v>0</v>
      </c>
      <c r="L30" s="12">
        <v>0</v>
      </c>
      <c r="M30" s="13">
        <f>+Инвойс!M30</f>
        <v>5053</v>
      </c>
      <c r="O30" s="100"/>
      <c r="Q30" s="100"/>
    </row>
    <row r="31" spans="1:17" ht="13.8" x14ac:dyDescent="0.25">
      <c r="A31" s="128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850</v>
      </c>
      <c r="H31" s="106">
        <f>+Инвойс!H31</f>
        <v>850</v>
      </c>
      <c r="I31" s="108">
        <f>+Инвойс!I31</f>
        <v>0.25</v>
      </c>
      <c r="J31" s="13">
        <f>+Инвойс!J31</f>
        <v>212.5</v>
      </c>
      <c r="K31" s="12">
        <v>0</v>
      </c>
      <c r="L31" s="12">
        <v>0</v>
      </c>
      <c r="M31" s="13">
        <f>+Инвойс!M31</f>
        <v>212.5</v>
      </c>
      <c r="O31" s="100"/>
      <c r="Q31" s="100"/>
    </row>
    <row r="32" spans="1:17" ht="13.8" x14ac:dyDescent="0.25">
      <c r="A32" s="149" t="s">
        <v>0</v>
      </c>
      <c r="B32" s="150"/>
      <c r="C32" s="14"/>
      <c r="D32" s="15"/>
      <c r="E32" s="64">
        <f>SUM(E30:E31)</f>
        <v>910</v>
      </c>
      <c r="F32" s="15"/>
      <c r="G32" s="64">
        <f>SUM(G30:G31)</f>
        <v>22700</v>
      </c>
      <c r="H32" s="64">
        <f>SUM(H30:H31)</f>
        <v>21062</v>
      </c>
      <c r="I32" s="102"/>
      <c r="J32" s="17">
        <f>SUM(J30:J31)</f>
        <v>5265.5</v>
      </c>
      <c r="K32" s="16"/>
      <c r="L32" s="16"/>
      <c r="M32" s="17">
        <f>SUM(M30:M31)</f>
        <v>5265.5</v>
      </c>
      <c r="P32" s="66"/>
    </row>
    <row r="33" spans="1:14" ht="13.8" x14ac:dyDescent="0.3">
      <c r="A33" s="2" t="s">
        <v>17</v>
      </c>
      <c r="B33" s="3"/>
      <c r="C33" s="11"/>
      <c r="D33" s="11"/>
      <c r="E33" s="145" t="str">
        <f>Лист1!B3</f>
        <v>Пять тысяч двести шестьдесят пять долларов США, 50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5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s="18" customFormat="1" ht="15.6" x14ac:dyDescent="0.3">
      <c r="A37" s="132" t="s">
        <v>157</v>
      </c>
      <c r="B37" s="132"/>
      <c r="D37" s="18" t="str">
        <f>+Инвойс!D37</f>
        <v>Тиловбеков Б.Э.</v>
      </c>
      <c r="E37" s="133"/>
      <c r="G37" s="130" t="s">
        <v>128</v>
      </c>
      <c r="H37" s="18" t="str">
        <f>Инвойс!G5</f>
        <v>ООО «ГРИН ВОРЛД»</v>
      </c>
      <c r="K37" s="134" t="s">
        <v>138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2" zoomScale="115" zoomScaleNormal="11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Инвойс!M32</f>
        <v>5265.5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шестьдесят пять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45904</v>
      </c>
      <c r="O3" s="177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шестьдесят пять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4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шестьдесят пять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шестьдесят пять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шестьдесят пять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5265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5265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265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2025-09-04T10:29:27Z</cp:lastPrinted>
  <dcterms:created xsi:type="dcterms:W3CDTF">1996-10-14T23:33:28Z</dcterms:created>
  <dcterms:modified xsi:type="dcterms:W3CDTF">2025-09-04T10:29:51Z</dcterms:modified>
</cp:coreProperties>
</file>