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jpeg" ContentType="image/jpeg"/>
  <Default Extension="rels" ContentType="application/vnd.openxmlformats-package.relationships+xml"/>
  <Default Extension="xml" ContentType="application/xml"/>
  <Default Extension="wdp" ContentType="image/vnd.ms-photo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updateLinks="never" defaultThemeVersion="124226"/>
  <mc:AlternateContent xmlns:mc="http://schemas.openxmlformats.org/markup-compatibility/2006">
    <mc:Choice Requires="x15">
      <x15ac:absPath xmlns:x15ac="http://schemas.microsoft.com/office/spreadsheetml/2010/11/ac" url="C:\Users\User\Desktop\"/>
    </mc:Choice>
  </mc:AlternateContent>
  <bookViews>
    <workbookView xWindow="0" yWindow="0" windowWidth="28800" windowHeight="12300"/>
  </bookViews>
  <sheets>
    <sheet name="Инвойс" sheetId="2" r:id="rId1"/>
    <sheet name="CMR" sheetId="4" r:id="rId2"/>
    <sheet name="TIR" sheetId="5" r:id="rId3"/>
    <sheet name="SPETS" sheetId="7" r:id="rId4"/>
    <sheet name="Лист2" sheetId="6" r:id="rId5"/>
    <sheet name="Лист1" sheetId="3" r:id="rId6"/>
  </sheets>
  <calcPr calcId="162913" calcMode="autoNoTable"/>
</workbook>
</file>

<file path=xl/calcChain.xml><?xml version="1.0" encoding="utf-8"?>
<calcChain xmlns="http://schemas.openxmlformats.org/spreadsheetml/2006/main">
  <c r="D36" i="7" l="1"/>
  <c r="H36" i="7" l="1"/>
  <c r="G20" i="7" l="1"/>
  <c r="G19" i="7"/>
  <c r="G18" i="7"/>
  <c r="G17" i="7"/>
  <c r="G16" i="7"/>
  <c r="G15" i="7"/>
  <c r="G14" i="7"/>
  <c r="G11" i="7"/>
  <c r="G10" i="7"/>
  <c r="G9" i="7"/>
  <c r="G8" i="7"/>
  <c r="G7" i="7"/>
  <c r="G6" i="7"/>
  <c r="G5" i="7"/>
  <c r="A15" i="7"/>
  <c r="A16" i="7"/>
  <c r="A17" i="7"/>
  <c r="A18" i="7"/>
  <c r="A19" i="7"/>
  <c r="A20" i="7"/>
  <c r="A14" i="7"/>
  <c r="A6" i="7"/>
  <c r="A7" i="7"/>
  <c r="A8" i="7"/>
  <c r="A9" i="7"/>
  <c r="A10" i="7"/>
  <c r="A11" i="7"/>
  <c r="A5" i="7"/>
  <c r="C2" i="7"/>
  <c r="C30" i="7" l="1"/>
  <c r="I30" i="7"/>
  <c r="H30" i="7"/>
  <c r="F30" i="7"/>
  <c r="G30" i="7"/>
  <c r="E30" i="7"/>
  <c r="D30" i="7"/>
  <c r="B30" i="7"/>
  <c r="A30" i="7"/>
  <c r="E26" i="7"/>
  <c r="C24" i="7"/>
  <c r="F1" i="7"/>
  <c r="G31" i="7" l="1"/>
  <c r="E31" i="7"/>
  <c r="H31" i="7" l="1"/>
  <c r="E31" i="2" l="1"/>
  <c r="G31" i="2" l="1"/>
  <c r="H31" i="2"/>
  <c r="G19" i="5"/>
  <c r="F19" i="5"/>
  <c r="F18" i="5"/>
  <c r="J19" i="5"/>
  <c r="G30" i="4"/>
  <c r="I30" i="4"/>
  <c r="F30" i="4"/>
  <c r="G18" i="5" s="1"/>
  <c r="D30" i="4"/>
  <c r="C30" i="4"/>
  <c r="B30" i="4"/>
  <c r="D47" i="5" l="1"/>
  <c r="M12" i="3" l="1"/>
  <c r="B9" i="3"/>
  <c r="N3" i="3"/>
  <c r="Q4" i="3" s="1"/>
  <c r="J14" i="5"/>
  <c r="B14" i="5"/>
  <c r="C57" i="4"/>
  <c r="B45" i="4"/>
  <c r="B24" i="4"/>
  <c r="H15" i="5" s="1"/>
  <c r="C22" i="4"/>
  <c r="D49" i="4" s="1"/>
  <c r="B9" i="4"/>
  <c r="B8" i="4"/>
  <c r="B7" i="4"/>
  <c r="B4" i="4"/>
  <c r="B3" i="4"/>
  <c r="B2" i="4"/>
  <c r="J30" i="2"/>
  <c r="M30" i="2" l="1"/>
  <c r="M30" i="7" s="1"/>
  <c r="J30" i="7"/>
  <c r="J31" i="2"/>
  <c r="S3" i="3"/>
  <c r="S4" i="3"/>
  <c r="P3" i="3"/>
  <c r="R3" i="3"/>
  <c r="Q3" i="3" l="1"/>
  <c r="K4" i="3" s="1"/>
  <c r="J31" i="7"/>
  <c r="M31" i="7"/>
  <c r="M31" i="2"/>
  <c r="E2" i="3" s="1"/>
  <c r="E13" i="3" s="1"/>
  <c r="A29" i="3" s="1"/>
  <c r="A28" i="3" s="1"/>
  <c r="A31" i="3" l="1"/>
  <c r="C31" i="3" s="1"/>
  <c r="C32" i="3" s="1"/>
  <c r="E32" i="3" s="1"/>
  <c r="B29" i="3"/>
  <c r="E29" i="3" s="1"/>
  <c r="B28" i="3"/>
  <c r="A27" i="3"/>
  <c r="C28" i="3" l="1"/>
  <c r="E28" i="3" s="1"/>
  <c r="C29" i="3"/>
  <c r="A25" i="3"/>
  <c r="B27" i="3"/>
  <c r="A12" i="3"/>
  <c r="E31" i="3"/>
  <c r="B25" i="3" l="1"/>
  <c r="E25" i="3" s="1"/>
  <c r="A24" i="3"/>
  <c r="E27" i="3"/>
  <c r="E30" i="3"/>
  <c r="C27" i="3"/>
  <c r="F29" i="3"/>
  <c r="D29" i="3"/>
  <c r="B24" i="3" l="1"/>
  <c r="A23" i="3"/>
  <c r="A21" i="3" l="1"/>
  <c r="B23" i="3"/>
  <c r="C24" i="3"/>
  <c r="E24" i="3" s="1"/>
  <c r="C25" i="3"/>
  <c r="F25" i="3" l="1"/>
  <c r="D25" i="3"/>
  <c r="E23" i="3"/>
  <c r="E26" i="3"/>
  <c r="C23" i="3"/>
  <c r="B21" i="3"/>
  <c r="A20" i="3"/>
  <c r="E21" i="3" l="1"/>
  <c r="F26" i="3"/>
  <c r="A10" i="3" s="1"/>
  <c r="A19" i="3"/>
  <c r="B20" i="3"/>
  <c r="C21" i="3" l="1"/>
  <c r="C20" i="3"/>
  <c r="E20" i="3" s="1"/>
  <c r="B19" i="3"/>
  <c r="A17" i="3"/>
  <c r="E19" i="3" l="1"/>
  <c r="C19" i="3"/>
  <c r="E22" i="3"/>
  <c r="A16" i="3"/>
  <c r="B17" i="3"/>
  <c r="F21" i="3"/>
  <c r="D21" i="3"/>
  <c r="B16" i="3" l="1"/>
  <c r="A15" i="3"/>
  <c r="E17" i="3"/>
  <c r="F22" i="3"/>
  <c r="A9" i="3" s="1"/>
  <c r="B15" i="3" l="1"/>
  <c r="A14" i="3"/>
  <c r="C17" i="3"/>
  <c r="C16" i="3"/>
  <c r="E16" i="3" s="1"/>
  <c r="F17" i="3" l="1"/>
  <c r="D17" i="3"/>
  <c r="C15" i="3"/>
  <c r="E15" i="3"/>
  <c r="E18" i="3"/>
  <c r="F18" i="3" l="1"/>
  <c r="A8" i="3" s="1"/>
  <c r="F30" i="3"/>
  <c r="A11" i="3" s="1"/>
  <c r="B6" i="3" l="1"/>
  <c r="B5" i="3"/>
  <c r="F8" i="3" l="1"/>
  <c r="F9" i="3" s="1"/>
  <c r="F10" i="3" s="1"/>
  <c r="B4" i="3" l="1"/>
  <c r="B3" i="3"/>
  <c r="E32" i="2" l="1"/>
  <c r="E32" i="7"/>
</calcChain>
</file>

<file path=xl/comments1.xml><?xml version="1.0" encoding="utf-8"?>
<comments xmlns="http://schemas.openxmlformats.org/spreadsheetml/2006/main">
  <authors>
    <author>Ok</author>
  </authors>
  <commentList>
    <comment ref="E2" authorId="0" shapeId="0">
      <text>
        <r>
          <rPr>
            <b/>
            <sz val="8"/>
            <color indexed="81"/>
            <rFont val="Tahoma"/>
            <family val="2"/>
            <charset val="204"/>
          </rPr>
          <t>Ok:</t>
        </r>
        <r>
          <rPr>
            <sz val="8"/>
            <color indexed="81"/>
            <rFont val="Tahoma"/>
            <family val="2"/>
            <charset val="204"/>
          </rPr>
          <t xml:space="preserve">
Здесь надо вставить ссылку на первый лист, откуда берётся число для прописи. В данном примере это 'счёт-факт' ячейка I31 - "Итого"</t>
        </r>
      </text>
    </comment>
    <comment ref="G2" authorId="0" shapeId="0">
      <text>
        <r>
          <rPr>
            <b/>
            <sz val="8"/>
            <color indexed="81"/>
            <rFont val="Tahoma"/>
            <family val="2"/>
            <charset val="204"/>
          </rPr>
          <t>Ok:</t>
        </r>
        <r>
          <rPr>
            <sz val="8"/>
            <color indexed="81"/>
            <rFont val="Tahoma"/>
            <family val="2"/>
            <charset val="204"/>
          </rPr>
          <t xml:space="preserve">
Здесь должна быть ссылка на ячейку с НДС листа "счет-фактура"</t>
        </r>
      </text>
    </comment>
    <comment ref="B8" authorId="0" shapeId="0">
      <text>
        <r>
          <rPr>
            <b/>
            <sz val="8"/>
            <color indexed="81"/>
            <rFont val="Tahoma"/>
            <family val="2"/>
            <charset val="204"/>
          </rPr>
          <t>Ok:</t>
        </r>
        <r>
          <rPr>
            <sz val="8"/>
            <color indexed="81"/>
            <rFont val="Tahoma"/>
            <family val="2"/>
            <charset val="204"/>
          </rPr>
          <t xml:space="preserve">
Эта строка будет вставляться для НДС</t>
        </r>
      </text>
    </comment>
  </commentList>
</comments>
</file>

<file path=xl/sharedStrings.xml><?xml version="1.0" encoding="utf-8"?>
<sst xmlns="http://schemas.openxmlformats.org/spreadsheetml/2006/main" count="211" uniqueCount="164">
  <si>
    <t>ИТОГО:</t>
  </si>
  <si>
    <t>№</t>
  </si>
  <si>
    <t>Наименование товаров (работ, услуг)</t>
  </si>
  <si>
    <t>Код ТН ВЭД</t>
  </si>
  <si>
    <t>Вид Упак</t>
  </si>
  <si>
    <t>мест</t>
  </si>
  <si>
    <t>Ед. изм.</t>
  </si>
  <si>
    <t>Кол-во товара</t>
  </si>
  <si>
    <t>Цена за ед. изм</t>
  </si>
  <si>
    <t>Стоимость поставки</t>
  </si>
  <si>
    <t>НДС</t>
  </si>
  <si>
    <t>Стоимость поставки с учетом НДС (доллар США)</t>
  </si>
  <si>
    <t>брутто</t>
  </si>
  <si>
    <t>нетто</t>
  </si>
  <si>
    <t>(нетто)   тн.</t>
  </si>
  <si>
    <t>ставка</t>
  </si>
  <si>
    <t>сумма</t>
  </si>
  <si>
    <r>
      <t xml:space="preserve">     Сумма прописью</t>
    </r>
    <r>
      <rPr>
        <sz val="10"/>
        <rFont val="Times New Roman"/>
        <family val="1"/>
        <charset val="204"/>
      </rPr>
      <t xml:space="preserve">: </t>
    </r>
  </si>
  <si>
    <t>М.П.</t>
  </si>
  <si>
    <t xml:space="preserve">Продавец: </t>
  </si>
  <si>
    <t xml:space="preserve">Покупатель: </t>
  </si>
  <si>
    <t xml:space="preserve">Грузополучатель: </t>
  </si>
  <si>
    <t xml:space="preserve">Условия поставки: </t>
  </si>
  <si>
    <t xml:space="preserve">Страна происхождения товара: </t>
  </si>
  <si>
    <t>Республика Узбекистан</t>
  </si>
  <si>
    <t xml:space="preserve">Вид транспорта и номер : </t>
  </si>
  <si>
    <t>Автотранспорт №</t>
  </si>
  <si>
    <t>кг</t>
  </si>
  <si>
    <t>Руководитель Поставщика_________________</t>
  </si>
  <si>
    <t>Товар отпустил</t>
  </si>
  <si>
    <t xml:space="preserve">                                          </t>
  </si>
  <si>
    <t xml:space="preserve">Грузоотправитель: </t>
  </si>
  <si>
    <t>В ячейке Е2 должна быть ссылка на исходное число</t>
  </si>
  <si>
    <t>Заглавная без НДС</t>
  </si>
  <si>
    <t xml:space="preserve">Сегодня с утра судя по всему было </t>
  </si>
  <si>
    <t>Заглавная с НДС</t>
  </si>
  <si>
    <t>маленькая без НДС</t>
  </si>
  <si>
    <t>маленькая с НДС</t>
  </si>
  <si>
    <t>Для справки - смотрите примечания к ячейкам E4 B8 B9 этого листа и H2 и C34 предыдущего.</t>
  </si>
  <si>
    <t xml:space="preserve"> (в т.ч. НДС - </t>
  </si>
  <si>
    <t>)</t>
  </si>
  <si>
    <t>рублей</t>
  </si>
  <si>
    <t>центов.</t>
  </si>
  <si>
    <t xml:space="preserve">один </t>
  </si>
  <si>
    <t xml:space="preserve">одна </t>
  </si>
  <si>
    <t xml:space="preserve">десять </t>
  </si>
  <si>
    <t xml:space="preserve">два </t>
  </si>
  <si>
    <t xml:space="preserve">две </t>
  </si>
  <si>
    <t xml:space="preserve">одиннадцать </t>
  </si>
  <si>
    <t xml:space="preserve">двадцать </t>
  </si>
  <si>
    <t xml:space="preserve">двести </t>
  </si>
  <si>
    <t xml:space="preserve">три </t>
  </si>
  <si>
    <t xml:space="preserve">двенадцать </t>
  </si>
  <si>
    <t xml:space="preserve">тридцать </t>
  </si>
  <si>
    <t xml:space="preserve">триста </t>
  </si>
  <si>
    <t xml:space="preserve">четыре </t>
  </si>
  <si>
    <t xml:space="preserve">тринадцать </t>
  </si>
  <si>
    <t xml:space="preserve">сорок </t>
  </si>
  <si>
    <t xml:space="preserve">четыреста </t>
  </si>
  <si>
    <t xml:space="preserve">пять </t>
  </si>
  <si>
    <t xml:space="preserve">четырнадцать </t>
  </si>
  <si>
    <t xml:space="preserve">пятьдесят </t>
  </si>
  <si>
    <t xml:space="preserve">пятьсот </t>
  </si>
  <si>
    <t xml:space="preserve">шесть </t>
  </si>
  <si>
    <t xml:space="preserve">пятнадцать </t>
  </si>
  <si>
    <t xml:space="preserve">шестьдесят </t>
  </si>
  <si>
    <t xml:space="preserve">шестьсот </t>
  </si>
  <si>
    <t xml:space="preserve">семь </t>
  </si>
  <si>
    <t xml:space="preserve">шестнадцать </t>
  </si>
  <si>
    <t xml:space="preserve">семьдесят </t>
  </si>
  <si>
    <t xml:space="preserve">семьсот </t>
  </si>
  <si>
    <t xml:space="preserve">восемь </t>
  </si>
  <si>
    <t xml:space="preserve">семнадцать </t>
  </si>
  <si>
    <t xml:space="preserve">восемьдесят </t>
  </si>
  <si>
    <t xml:space="preserve">восемьсот </t>
  </si>
  <si>
    <t xml:space="preserve">девять </t>
  </si>
  <si>
    <t xml:space="preserve">восемнадцать </t>
  </si>
  <si>
    <t xml:space="preserve">девяносто </t>
  </si>
  <si>
    <t xml:space="preserve">девятьсот </t>
  </si>
  <si>
    <t xml:space="preserve">девятнадцать </t>
  </si>
  <si>
    <t xml:space="preserve">сто </t>
  </si>
  <si>
    <t xml:space="preserve">Автор : Ap0st0l  |  Рихтовал: 0legator     ©2005 </t>
  </si>
  <si>
    <t>http://www.allok.ru/</t>
  </si>
  <si>
    <t>Замечания и пожелания - сюда:</t>
  </si>
  <si>
    <t>olegator@allok.ru</t>
  </si>
  <si>
    <t>© Олег Оксанич 2005г  www.allok.ru</t>
  </si>
  <si>
    <r>
      <t xml:space="preserve"> </t>
    </r>
    <r>
      <rPr>
        <sz val="10"/>
        <color indexed="48"/>
        <rFont val="Arial Cyr"/>
        <charset val="204"/>
      </rPr>
      <t xml:space="preserve"> &amp; Ap0st0l</t>
    </r>
  </si>
  <si>
    <t xml:space="preserve">Место там.очиски: </t>
  </si>
  <si>
    <t xml:space="preserve">Координаты </t>
  </si>
  <si>
    <t>ГЛОНАСС 41.3805768, 69.3187795</t>
  </si>
  <si>
    <t xml:space="preserve">                                     </t>
  </si>
  <si>
    <t xml:space="preserve">                                Российская Федерация</t>
  </si>
  <si>
    <t xml:space="preserve">  </t>
  </si>
  <si>
    <t xml:space="preserve">                                    </t>
  </si>
  <si>
    <t xml:space="preserve">                 </t>
  </si>
  <si>
    <t xml:space="preserve">            а/м-п/п гос № </t>
  </si>
  <si>
    <t xml:space="preserve">Узбекистан                  </t>
  </si>
  <si>
    <t xml:space="preserve">Узбекистан                </t>
  </si>
  <si>
    <t xml:space="preserve">Россия </t>
  </si>
  <si>
    <t xml:space="preserve">                                                  </t>
  </si>
  <si>
    <t xml:space="preserve">                                                                                             </t>
  </si>
  <si>
    <t xml:space="preserve">         ИНВ № T-44 от 12.06.2018г.</t>
  </si>
  <si>
    <t xml:space="preserve">                                                                                              </t>
  </si>
  <si>
    <t>Брутто</t>
  </si>
  <si>
    <t xml:space="preserve">              </t>
  </si>
  <si>
    <t>РОССИЯ</t>
  </si>
  <si>
    <r>
      <t xml:space="preserve">                   </t>
    </r>
    <r>
      <rPr>
        <sz val="8"/>
        <rFont val="Arial Cyr"/>
        <charset val="204"/>
      </rPr>
      <t xml:space="preserve"> ТИР № </t>
    </r>
    <r>
      <rPr>
        <sz val="8"/>
        <color rgb="FFFF0000"/>
        <rFont val="Arial Cyr"/>
        <charset val="204"/>
      </rPr>
      <t>XK87039375</t>
    </r>
  </si>
  <si>
    <r>
      <t xml:space="preserve">       </t>
    </r>
    <r>
      <rPr>
        <sz val="15"/>
        <rFont val="Times New Roman"/>
        <family val="1"/>
        <charset val="204"/>
      </rPr>
      <t xml:space="preserve">  CMR № </t>
    </r>
    <r>
      <rPr>
        <sz val="15"/>
        <color rgb="FFFF0000"/>
        <rFont val="Times New Roman"/>
        <family val="1"/>
        <charset val="204"/>
      </rPr>
      <t>б/н</t>
    </r>
    <r>
      <rPr>
        <sz val="15"/>
        <rFont val="Times New Roman"/>
        <family val="1"/>
        <charset val="204"/>
      </rPr>
      <t xml:space="preserve"> от</t>
    </r>
  </si>
  <si>
    <t>/г. Владивосток/ г.Чита / г. Пенза / г. Краснодар / г.Пятигорск / г.Воронеж / /г.Нижневартовск/г.Нижний Новгород/г.Киров</t>
  </si>
  <si>
    <t>Примечание: Товар уложен на деревянные палеты с дерев.рейками,  которые не являются товаром и предназначенны для устойчивости и циркуляции охлаждающего воздуха. Вес паллет и дер.реек: 400 кг.</t>
  </si>
  <si>
    <t>Урожай 2025 года</t>
  </si>
  <si>
    <t xml:space="preserve">      г.Оренбург/г.Казань/г.Москва/г.Санкт-Петербург/г.Пермь/г. Новосибирск /г.Красноярск/г.Челябинск/г.Екатеринбург/</t>
  </si>
  <si>
    <t>Карт.Коробок</t>
  </si>
  <si>
    <t xml:space="preserve">                    Узбекистан Сыр. обл.</t>
  </si>
  <si>
    <t xml:space="preserve">                 Сыр. обл   </t>
  </si>
  <si>
    <t>СВХ ООО "Мультимодальные Транспортные Системы" 10013230 - т/п Михневский 142840, Московская обл., Ступинский р-н, р.п. Михнево, ул. Старомихневская, уч. 47, влд. 47</t>
  </si>
  <si>
    <t>СВХ ООО "Агротерминал-Таможня" 10606060 - т/п Красноярский 660131, Красноярский край, г. Красноярск, ул. Ястынская, д. 47, стр. 12</t>
  </si>
  <si>
    <t>СВХ ООО "Легион Сибирь Плюс" 10609030 - т/п Новосибирский западный 630052, Новосибирская обл., г. Новосибирск, ул. Толмачевская, д. 1/1</t>
  </si>
  <si>
    <t>СВХ ООО "Уралкомплект" 10412130 - т/п Оренбургский
460027, Оренбургская обл., г. Оренбург, ул. Донгузская, д. 62А</t>
  </si>
  <si>
    <t xml:space="preserve">СВХ ОАО ГК "Армада" 10311020 - т/п Астраханский
414042, Астраханская обл., г. Астрахань, ул. Мосина, д. 1А
</t>
  </si>
  <si>
    <t xml:space="preserve">СВХ ООО "ГРИНЛАЙН" 10412110 - т/п Тольяттинский
445043, Самарская обл., г. Тольятти, ул. Вокзальная, д. 2
</t>
  </si>
  <si>
    <t>СВХ АО "СИАЙТИ ТЕРМИНАЛ" 10502090 - т/п Октябрьский 620025, Свердловская обл., г. Екатеринбург, ул. Бахчиванджи, д. 2</t>
  </si>
  <si>
    <t>СВХ ООО "КонсалтТаможСервис" 10309200 - т/п Прикубанский 350072, Краснодарский край, г. Краснодар, ул. Тополиная, д. 4</t>
  </si>
  <si>
    <t>СВХ ООО "ОМАС" 10610050 - т/п Омский 
644117, Омская обл., г. Омск, ул. 3-я Молодежная, д. 6</t>
  </si>
  <si>
    <t xml:space="preserve">   Дополнительная информация </t>
  </si>
  <si>
    <t>Условия оплаты: не позднее 180 дней с даты поставки (даты выпуска товара на территории РФ)</t>
  </si>
  <si>
    <t>Дыни свежие</t>
  </si>
  <si>
    <t>0807190001</t>
  </si>
  <si>
    <t>СВХ ООО "Мультимодальные Транспортные Системы" 10132130 - т/п Михневский 142840, Московская обл., Ступинский р-н, р.п. Михнево, ул. Старомихневская, уч. 47, влд. 47</t>
  </si>
  <si>
    <t>DAP - с Казыгурт , Республика Казахстан</t>
  </si>
  <si>
    <t>Директор:</t>
  </si>
  <si>
    <t>г.Уфа / /г. Иркутск /г.Омск /г. Ижевск/ г.Крым Симферополь/ Российская федерация</t>
  </si>
  <si>
    <t>MAYSKIY</t>
  </si>
  <si>
    <t>ILICH</t>
  </si>
  <si>
    <t>DAP - с Жибек Жолы , Республика Казахстан</t>
  </si>
  <si>
    <t>YALLAMA</t>
  </si>
  <si>
    <t>DAP - с Акжигит , Республика Казахстан</t>
  </si>
  <si>
    <t>DOUT-OTA</t>
  </si>
  <si>
    <t>DAP - с Амандык, Республика Казахстан</t>
  </si>
  <si>
    <t>Корр. счет: 30101810445250000234</t>
  </si>
  <si>
    <t>ООО «ГРИН ВОРЛД»</t>
  </si>
  <si>
    <t xml:space="preserve">454106, ЧЕЛЯБИНСКАЯ ОБЛАСТЬ, Г ЧЕЛЯБИНСК, </t>
  </si>
  <si>
    <t>УЛ ОСТРОВСКОГО, Д. 36, КВ. 176</t>
  </si>
  <si>
    <t>ИНН/ КПП 7448223299 / 744801001</t>
  </si>
  <si>
    <t>р/с 40702810000000024357</t>
  </si>
  <si>
    <t>Азия-Инвест Банк (АО) г. Москва</t>
  </si>
  <si>
    <t>БИК 044525234</t>
  </si>
  <si>
    <t>Кравченко О.Н</t>
  </si>
  <si>
    <t>РЕСПУБЛИКА УЗБЕКИСТАН. СУРХАНДАРЬИНСКАЯ ОБЛАСТЬ,</t>
  </si>
  <si>
    <t>в АКБ“KAPITAL BANK”  МФО: 01158  Swift: KACHUZ22</t>
  </si>
  <si>
    <t>Корреспондирующий банк (RUB): АКБ "Азия Инвест Банк" (АО) :</t>
  </si>
  <si>
    <t>SWIFT:ASIJRUMM / БИК 044525234,</t>
  </si>
  <si>
    <t>к контракту № GR-UF-01 от 22.08.2025 года</t>
  </si>
  <si>
    <t>OOO UCHQIZIL FRUITS EXPORT</t>
  </si>
  <si>
    <t>ТЕРМИЗСКИЙ РАЙОН,ЯНГИХАЯТ МФЙ, УЛИЦА БОГИ ШАМОЛ, 20-А</t>
  </si>
  <si>
    <t>Доллар США: 20208840207293094001</t>
  </si>
  <si>
    <t>ИНН: 312357782</t>
  </si>
  <si>
    <t>ЭШТЕМИРОВ Х.Х</t>
  </si>
  <si>
    <t>Директор:  OOO UCHQIZIL FRUITS EXPORT</t>
  </si>
  <si>
    <t>г.Челябинский таможенный пост г.Челябинск ул. Ениссйская, 87А код поста 10504080   ООО "ГРИН ВОРЛД" 
RU/0237/2 от 27.12.2024</t>
  </si>
  <si>
    <t xml:space="preserve"> 29.08.2025г.</t>
  </si>
  <si>
    <t xml:space="preserve">ИНВОЙС № UFG-M-29 от </t>
  </si>
  <si>
    <t>50187QBA/504284BA</t>
  </si>
  <si>
    <t xml:space="preserve">СПЕЦИФИКАЦИЯ № UFG-M-29 от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</si>
</sst>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4">
    <numFmt numFmtId="164" formatCode="0.000"/>
    <numFmt numFmtId="165" formatCode="d\ mmmm\,\ yyyy"/>
    <numFmt numFmtId="166" formatCode="_-* #,##0.00[$р.-419]_-;\-* #,##0.00[$р.-419]_-;_-* &quot;-&quot;??[$р.-419]_-;_-@_-"/>
    <numFmt numFmtId="167" formatCode="0.0"/>
  </numFmts>
  <fonts count="79" x14ac:knownFonts="1">
    <font>
      <sz val="10"/>
      <name val="Arial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0"/>
      <name val="Times New Roman"/>
      <family val="1"/>
      <charset val="204"/>
    </font>
    <font>
      <sz val="9"/>
      <name val="Arial Cyr"/>
      <charset val="204"/>
    </font>
    <font>
      <sz val="8"/>
      <name val="Arial"/>
      <family val="2"/>
      <charset val="204"/>
    </font>
    <font>
      <sz val="12"/>
      <name val="Times New Roman"/>
      <family val="1"/>
      <charset val="204"/>
    </font>
    <font>
      <b/>
      <sz val="14"/>
      <name val="Times New Roman"/>
      <family val="1"/>
      <charset val="204"/>
    </font>
    <font>
      <b/>
      <i/>
      <sz val="10"/>
      <name val="Times New Roman"/>
      <family val="1"/>
      <charset val="204"/>
    </font>
    <font>
      <i/>
      <sz val="9"/>
      <name val="Times New Roman"/>
      <family val="1"/>
      <charset val="204"/>
    </font>
    <font>
      <u/>
      <sz val="10"/>
      <color indexed="12"/>
      <name val="Arial Cyr"/>
      <charset val="204"/>
    </font>
    <font>
      <b/>
      <sz val="11"/>
      <name val="Times New Roman"/>
      <family val="1"/>
      <charset val="204"/>
    </font>
    <font>
      <sz val="11"/>
      <name val="Times New Roman"/>
      <family val="1"/>
      <charset val="204"/>
    </font>
    <font>
      <sz val="11"/>
      <name val="Arial"/>
      <family val="2"/>
      <charset val="204"/>
    </font>
    <font>
      <b/>
      <sz val="9"/>
      <name val="Times New Roman"/>
      <family val="1"/>
      <charset val="204"/>
    </font>
    <font>
      <b/>
      <i/>
      <sz val="9"/>
      <name val="Times New Roman"/>
      <family val="1"/>
      <charset val="204"/>
    </font>
    <font>
      <b/>
      <i/>
      <sz val="12"/>
      <name val="Times New Roman"/>
      <family val="1"/>
      <charset val="204"/>
    </font>
    <font>
      <i/>
      <sz val="11"/>
      <name val="Times New Roman"/>
      <family val="1"/>
      <charset val="204"/>
    </font>
    <font>
      <b/>
      <sz val="10"/>
      <name val="Arial"/>
      <family val="2"/>
      <charset val="204"/>
    </font>
    <font>
      <b/>
      <sz val="11"/>
      <name val="Arial"/>
      <family val="2"/>
      <charset val="204"/>
    </font>
    <font>
      <sz val="10"/>
      <name val="Arial"/>
      <family val="2"/>
      <charset val="204"/>
    </font>
    <font>
      <i/>
      <sz val="10"/>
      <name val="Arial"/>
      <family val="2"/>
      <charset val="204"/>
    </font>
    <font>
      <b/>
      <sz val="10"/>
      <color indexed="10"/>
      <name val="Arial"/>
      <family val="2"/>
      <charset val="204"/>
    </font>
    <font>
      <sz val="10"/>
      <name val="Arial Cyr"/>
      <charset val="204"/>
    </font>
    <font>
      <b/>
      <sz val="28"/>
      <color indexed="13"/>
      <name val="Arial Cyr"/>
      <charset val="204"/>
    </font>
    <font>
      <b/>
      <sz val="12"/>
      <name val="Arial Cyr"/>
      <family val="2"/>
      <charset val="204"/>
    </font>
    <font>
      <b/>
      <sz val="10"/>
      <name val="Arial Cyr"/>
    </font>
    <font>
      <sz val="8"/>
      <color indexed="17"/>
      <name val="Arial Cyr"/>
      <family val="2"/>
      <charset val="204"/>
    </font>
    <font>
      <sz val="10"/>
      <name val="Times New Roman"/>
      <family val="1"/>
    </font>
    <font>
      <b/>
      <sz val="12"/>
      <color indexed="14"/>
      <name val="Arial Cyr"/>
      <family val="2"/>
      <charset val="204"/>
    </font>
    <font>
      <b/>
      <sz val="10"/>
      <name val="Arial Cyr"/>
      <family val="2"/>
      <charset val="204"/>
    </font>
    <font>
      <sz val="10"/>
      <color indexed="12"/>
      <name val="Arial Cyr"/>
      <family val="2"/>
      <charset val="204"/>
    </font>
    <font>
      <sz val="8"/>
      <color indexed="17"/>
      <name val="Arial Cyr"/>
      <charset val="204"/>
    </font>
    <font>
      <sz val="12"/>
      <color indexed="10"/>
      <name val="Arial Cyr"/>
      <family val="2"/>
      <charset val="204"/>
    </font>
    <font>
      <sz val="10"/>
      <color indexed="15"/>
      <name val="Arial Cyr"/>
      <family val="2"/>
      <charset val="204"/>
    </font>
    <font>
      <sz val="10"/>
      <color indexed="17"/>
      <name val="Arial Cyr"/>
      <family val="2"/>
      <charset val="204"/>
    </font>
    <font>
      <sz val="10"/>
      <color indexed="10"/>
      <name val="Arial Cyr"/>
      <family val="2"/>
      <charset val="204"/>
    </font>
    <font>
      <sz val="8"/>
      <color indexed="10"/>
      <name val="Arial Cyr"/>
      <family val="2"/>
      <charset val="204"/>
    </font>
    <font>
      <sz val="9"/>
      <color indexed="12"/>
      <name val="Arial Cyr"/>
      <family val="2"/>
      <charset val="204"/>
    </font>
    <font>
      <sz val="9"/>
      <color indexed="10"/>
      <name val="Arial Cyr"/>
      <family val="2"/>
      <charset val="204"/>
    </font>
    <font>
      <sz val="10"/>
      <color indexed="14"/>
      <name val="Arial Cyr"/>
      <family val="2"/>
      <charset val="204"/>
    </font>
    <font>
      <sz val="8"/>
      <color indexed="12"/>
      <name val="Arial Cyr"/>
      <charset val="204"/>
    </font>
    <font>
      <sz val="10"/>
      <color indexed="48"/>
      <name val="Arial Cyr"/>
      <charset val="204"/>
    </font>
    <font>
      <b/>
      <sz val="8"/>
      <color indexed="81"/>
      <name val="Tahoma"/>
      <family val="2"/>
      <charset val="204"/>
    </font>
    <font>
      <sz val="8"/>
      <color indexed="81"/>
      <name val="Tahoma"/>
      <family val="2"/>
      <charset val="204"/>
    </font>
    <font>
      <sz val="11"/>
      <color indexed="8"/>
      <name val="Times New Roman"/>
      <family val="1"/>
      <charset val="204"/>
    </font>
    <font>
      <b/>
      <sz val="13.5"/>
      <name val="Times New Roman"/>
      <family val="1"/>
      <charset val="204"/>
    </font>
    <font>
      <sz val="10"/>
      <color theme="0"/>
      <name val="Arial"/>
      <family val="2"/>
      <charset val="204"/>
    </font>
    <font>
      <b/>
      <sz val="10"/>
      <color theme="1"/>
      <name val="Arial"/>
      <family val="2"/>
      <charset val="204"/>
    </font>
    <font>
      <sz val="8"/>
      <name val="Arial Cyr"/>
      <charset val="204"/>
    </font>
    <font>
      <sz val="6"/>
      <name val="Arial Cyr"/>
      <charset val="204"/>
    </font>
    <font>
      <sz val="6.5"/>
      <name val="Arial Cyr"/>
      <charset val="204"/>
    </font>
    <font>
      <sz val="9"/>
      <name val="Times New Roman"/>
      <family val="1"/>
      <charset val="204"/>
    </font>
    <font>
      <sz val="8"/>
      <name val="Times New Roman"/>
      <family val="1"/>
      <charset val="204"/>
    </font>
    <font>
      <sz val="11"/>
      <name val="Calibri"/>
      <family val="2"/>
      <scheme val="minor"/>
    </font>
    <font>
      <sz val="14"/>
      <name val="Times New Roman"/>
      <family val="1"/>
      <charset val="204"/>
    </font>
    <font>
      <sz val="16"/>
      <name val="Times New Roman"/>
      <family val="1"/>
      <charset val="204"/>
    </font>
    <font>
      <sz val="13"/>
      <name val="Times New Roman"/>
      <family val="1"/>
      <charset val="204"/>
    </font>
    <font>
      <sz val="18"/>
      <name val="Times New Roman"/>
      <family val="1"/>
      <charset val="204"/>
    </font>
    <font>
      <sz val="15"/>
      <name val="Times New Roman"/>
      <family val="1"/>
      <charset val="204"/>
    </font>
    <font>
      <sz val="16"/>
      <name val="Calibri"/>
      <family val="2"/>
    </font>
    <font>
      <sz val="8"/>
      <name val="Calibri"/>
      <family val="2"/>
      <scheme val="minor"/>
    </font>
    <font>
      <sz val="9"/>
      <name val="Calibri"/>
      <family val="2"/>
      <scheme val="minor"/>
    </font>
    <font>
      <b/>
      <sz val="11"/>
      <color rgb="FFFF0000"/>
      <name val="Times New Roman"/>
      <family val="1"/>
      <charset val="204"/>
    </font>
    <font>
      <sz val="7"/>
      <color theme="1"/>
      <name val="Arial Cyr"/>
      <charset val="204"/>
    </font>
    <font>
      <sz val="10"/>
      <color theme="1"/>
      <name val="Times New Roman"/>
      <family val="1"/>
      <charset val="204"/>
    </font>
    <font>
      <sz val="15"/>
      <color rgb="FFFF0000"/>
      <name val="Times New Roman"/>
      <family val="1"/>
      <charset val="204"/>
    </font>
    <font>
      <sz val="8"/>
      <color rgb="FFFF0000"/>
      <name val="Arial Cyr"/>
      <charset val="204"/>
    </font>
    <font>
      <b/>
      <sz val="10"/>
      <color rgb="FFFF0000"/>
      <name val="Arial"/>
      <family val="2"/>
      <charset val="204"/>
    </font>
    <font>
      <sz val="8"/>
      <color theme="1"/>
      <name val="Calibri"/>
      <family val="2"/>
      <scheme val="minor"/>
    </font>
    <font>
      <sz val="8"/>
      <color theme="1"/>
      <name val="Times New Roman"/>
      <family val="1"/>
      <charset val="204"/>
    </font>
    <font>
      <sz val="8"/>
      <color rgb="FFFF0000"/>
      <name val="Calibri"/>
      <family val="2"/>
      <scheme val="minor"/>
    </font>
    <font>
      <b/>
      <sz val="12.3"/>
      <name val="Times New Roman"/>
      <family val="1"/>
      <charset val="204"/>
    </font>
    <font>
      <b/>
      <sz val="10"/>
      <color rgb="FF000000"/>
      <name val="Times New Roman"/>
      <family val="1"/>
      <charset val="204"/>
    </font>
    <font>
      <b/>
      <sz val="10"/>
      <color theme="0"/>
      <name val="Arial"/>
      <family val="2"/>
      <charset val="204"/>
    </font>
    <font>
      <b/>
      <sz val="12"/>
      <color rgb="FF000000"/>
      <name val="Calibri"/>
      <family val="2"/>
      <charset val="204"/>
    </font>
  </fonts>
  <fills count="7">
    <fill>
      <patternFill patternType="none"/>
    </fill>
    <fill>
      <patternFill patternType="gray125"/>
    </fill>
    <fill>
      <patternFill patternType="solid">
        <fgColor indexed="13"/>
        <bgColor indexed="64"/>
      </patternFill>
    </fill>
    <fill>
      <patternFill patternType="solid">
        <fgColor indexed="12"/>
        <bgColor indexed="64"/>
      </patternFill>
    </fill>
    <fill>
      <patternFill patternType="solid">
        <fgColor indexed="43"/>
        <bgColor indexed="64"/>
      </patternFill>
    </fill>
    <fill>
      <patternFill patternType="solid">
        <fgColor indexed="41"/>
        <bgColor indexed="64"/>
      </patternFill>
    </fill>
    <fill>
      <patternFill patternType="solid">
        <fgColor rgb="FF00B0F0"/>
        <bgColor indexed="64"/>
      </patternFill>
    </fill>
  </fills>
  <borders count="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3">
    <xf numFmtId="0" fontId="0" fillId="0" borderId="0"/>
    <xf numFmtId="0" fontId="13" fillId="0" borderId="0" applyNumberFormat="0" applyFill="0" applyBorder="0" applyAlignment="0" applyProtection="0">
      <alignment vertical="top"/>
      <protection locked="0"/>
    </xf>
    <xf numFmtId="0" fontId="23" fillId="0" borderId="0"/>
    <xf numFmtId="0" fontId="26" fillId="0" borderId="0"/>
    <xf numFmtId="0" fontId="23" fillId="0" borderId="0"/>
    <xf numFmtId="0" fontId="5" fillId="0" borderId="0"/>
    <xf numFmtId="0" fontId="4" fillId="0" borderId="0"/>
    <xf numFmtId="0" fontId="3" fillId="0" borderId="0"/>
    <xf numFmtId="0" fontId="3" fillId="0" borderId="0"/>
    <xf numFmtId="0" fontId="2" fillId="0" borderId="0"/>
    <xf numFmtId="0" fontId="2" fillId="0" borderId="0"/>
    <xf numFmtId="0" fontId="1" fillId="0" borderId="0"/>
    <xf numFmtId="0" fontId="1" fillId="0" borderId="0"/>
  </cellStyleXfs>
  <cellXfs count="181">
    <xf numFmtId="0" fontId="0" fillId="0" borderId="0" xfId="0"/>
    <xf numFmtId="0" fontId="9" fillId="0" borderId="0" xfId="0" applyFont="1" applyAlignment="1">
      <alignment horizontal="left"/>
    </xf>
    <xf numFmtId="0" fontId="11" fillId="0" borderId="0" xfId="0" applyFont="1" applyAlignment="1">
      <alignment horizontal="left"/>
    </xf>
    <xf numFmtId="0" fontId="11" fillId="0" borderId="0" xfId="0" applyFont="1" applyAlignment="1">
      <alignment horizontal="center"/>
    </xf>
    <xf numFmtId="0" fontId="0" fillId="0" borderId="0" xfId="0" applyAlignment="1">
      <alignment horizontal="left"/>
    </xf>
    <xf numFmtId="0" fontId="10" fillId="0" borderId="0" xfId="0" applyFont="1" applyAlignment="1">
      <alignment horizontal="center"/>
    </xf>
    <xf numFmtId="0" fontId="14" fillId="0" borderId="0" xfId="0" applyFont="1" applyAlignment="1">
      <alignment vertical="center" wrapText="1"/>
    </xf>
    <xf numFmtId="0" fontId="15" fillId="0" borderId="0" xfId="0" applyFont="1"/>
    <xf numFmtId="0" fontId="15" fillId="0" borderId="0" xfId="0" applyFont="1" applyAlignment="1">
      <alignment horizontal="left"/>
    </xf>
    <xf numFmtId="0" fontId="16" fillId="0" borderId="0" xfId="0" applyFont="1"/>
    <xf numFmtId="0" fontId="17" fillId="0" borderId="1" xfId="0" applyFont="1" applyBorder="1" applyAlignment="1">
      <alignment horizontal="center" vertical="center" textRotation="90"/>
    </xf>
    <xf numFmtId="0" fontId="18" fillId="0" borderId="0" xfId="0" applyFont="1" applyAlignment="1">
      <alignment horizontal="center"/>
    </xf>
    <xf numFmtId="0" fontId="15" fillId="0" borderId="3" xfId="0" applyFont="1" applyBorder="1" applyAlignment="1">
      <alignment horizontal="center" vertical="center"/>
    </xf>
    <xf numFmtId="4" fontId="14" fillId="0" borderId="3" xfId="0" applyNumberFormat="1" applyFont="1" applyBorder="1" applyAlignment="1">
      <alignment horizontal="center" vertical="center" wrapText="1"/>
    </xf>
    <xf numFmtId="0" fontId="14" fillId="0" borderId="4" xfId="0" applyFont="1" applyBorder="1" applyAlignment="1">
      <alignment horizontal="center" vertical="center"/>
    </xf>
    <xf numFmtId="0" fontId="14" fillId="0" borderId="1" xfId="0" applyFont="1" applyBorder="1" applyAlignment="1">
      <alignment horizontal="center" vertical="center"/>
    </xf>
    <xf numFmtId="164" fontId="14" fillId="0" borderId="1" xfId="0" applyNumberFormat="1" applyFont="1" applyBorder="1" applyAlignment="1">
      <alignment horizontal="center" vertical="center" wrapText="1"/>
    </xf>
    <xf numFmtId="2" fontId="14" fillId="0" borderId="1" xfId="0" applyNumberFormat="1" applyFont="1" applyBorder="1" applyAlignment="1">
      <alignment horizontal="center" vertical="center" wrapText="1"/>
    </xf>
    <xf numFmtId="0" fontId="21" fillId="0" borderId="0" xfId="0" applyFont="1"/>
    <xf numFmtId="0" fontId="10" fillId="0" borderId="0" xfId="0" applyFont="1"/>
    <xf numFmtId="0" fontId="9" fillId="0" borderId="0" xfId="0" applyFont="1"/>
    <xf numFmtId="0" fontId="25" fillId="0" borderId="0" xfId="0" applyFont="1"/>
    <xf numFmtId="0" fontId="22" fillId="0" borderId="0" xfId="0" applyFont="1" applyAlignment="1">
      <alignment horizontal="left"/>
    </xf>
    <xf numFmtId="0" fontId="15" fillId="0" borderId="0" xfId="0" applyFont="1" applyAlignment="1">
      <alignment wrapText="1"/>
    </xf>
    <xf numFmtId="0" fontId="50" fillId="0" borderId="0" xfId="0" applyFont="1"/>
    <xf numFmtId="0" fontId="23" fillId="0" borderId="0" xfId="0" applyFont="1"/>
    <xf numFmtId="0" fontId="24" fillId="0" borderId="0" xfId="0" applyFont="1" applyAlignment="1">
      <alignment vertical="center" wrapText="1"/>
    </xf>
    <xf numFmtId="4" fontId="28" fillId="2" borderId="0" xfId="0" applyNumberFormat="1" applyFont="1" applyFill="1" applyAlignment="1">
      <alignment horizontal="right"/>
    </xf>
    <xf numFmtId="2" fontId="29" fillId="2" borderId="0" xfId="0" applyNumberFormat="1" applyFont="1" applyFill="1"/>
    <xf numFmtId="0" fontId="30" fillId="0" borderId="0" xfId="0" applyFont="1"/>
    <xf numFmtId="0" fontId="29" fillId="0" borderId="0" xfId="0" applyFont="1"/>
    <xf numFmtId="4" fontId="28" fillId="0" borderId="0" xfId="0" applyNumberFormat="1" applyFont="1" applyAlignment="1">
      <alignment horizontal="right"/>
    </xf>
    <xf numFmtId="0" fontId="31" fillId="0" borderId="0" xfId="0" applyFont="1"/>
    <xf numFmtId="0" fontId="0" fillId="0" borderId="0" xfId="0" applyAlignment="1">
      <alignment horizontal="right"/>
    </xf>
    <xf numFmtId="0" fontId="0" fillId="0" borderId="0" xfId="0" applyAlignment="1">
      <alignment horizontal="center"/>
    </xf>
    <xf numFmtId="0" fontId="31" fillId="0" borderId="0" xfId="0" applyFont="1" applyProtection="1">
      <protection hidden="1"/>
    </xf>
    <xf numFmtId="0" fontId="33" fillId="0" borderId="0" xfId="0" applyFont="1"/>
    <xf numFmtId="165" fontId="34" fillId="0" borderId="0" xfId="0" applyNumberFormat="1" applyFont="1" applyAlignment="1">
      <alignment horizontal="left"/>
    </xf>
    <xf numFmtId="0" fontId="35" fillId="0" borderId="0" xfId="0" applyFont="1"/>
    <xf numFmtId="0" fontId="33" fillId="0" borderId="0" xfId="0" applyFont="1" applyAlignment="1">
      <alignment horizontal="right"/>
    </xf>
    <xf numFmtId="0" fontId="37" fillId="0" borderId="0" xfId="0" applyFont="1"/>
    <xf numFmtId="0" fontId="33" fillId="0" borderId="0" xfId="0" applyFont="1" applyAlignment="1">
      <alignment horizontal="center"/>
    </xf>
    <xf numFmtId="0" fontId="38" fillId="0" borderId="0" xfId="0" applyFont="1"/>
    <xf numFmtId="0" fontId="39" fillId="0" borderId="0" xfId="0" applyFont="1"/>
    <xf numFmtId="166" fontId="0" fillId="0" borderId="0" xfId="0" applyNumberFormat="1"/>
    <xf numFmtId="2" fontId="0" fillId="0" borderId="0" xfId="0" applyNumberFormat="1" applyAlignment="1">
      <alignment horizontal="right"/>
    </xf>
    <xf numFmtId="22" fontId="0" fillId="0" borderId="0" xfId="0" applyNumberFormat="1"/>
    <xf numFmtId="0" fontId="39" fillId="0" borderId="0" xfId="0" applyFont="1" applyAlignment="1">
      <alignment horizontal="right"/>
    </xf>
    <xf numFmtId="0" fontId="40" fillId="0" borderId="0" xfId="0" applyFont="1" applyAlignment="1">
      <alignment shrinkToFit="1"/>
    </xf>
    <xf numFmtId="0" fontId="39" fillId="0" borderId="0" xfId="0" applyFont="1" applyAlignment="1">
      <alignment horizontal="left"/>
    </xf>
    <xf numFmtId="14" fontId="39" fillId="0" borderId="0" xfId="0" applyNumberFormat="1" applyFont="1"/>
    <xf numFmtId="0" fontId="34" fillId="0" borderId="0" xfId="0" applyFont="1"/>
    <xf numFmtId="4" fontId="34" fillId="0" borderId="0" xfId="0" applyNumberFormat="1" applyFont="1" applyAlignment="1">
      <alignment horizontal="right"/>
    </xf>
    <xf numFmtId="22" fontId="39" fillId="0" borderId="0" xfId="0" applyNumberFormat="1" applyFont="1"/>
    <xf numFmtId="4" fontId="39" fillId="0" borderId="0" xfId="0" applyNumberFormat="1" applyFont="1" applyAlignment="1">
      <alignment horizontal="left"/>
    </xf>
    <xf numFmtId="0" fontId="41" fillId="0" borderId="0" xfId="0" applyFont="1"/>
    <xf numFmtId="0" fontId="41" fillId="0" borderId="0" xfId="0" applyFont="1" applyAlignment="1">
      <alignment shrinkToFit="1"/>
    </xf>
    <xf numFmtId="0" fontId="42" fillId="0" borderId="0" xfId="0" applyFont="1" applyAlignment="1">
      <alignment shrinkToFit="1"/>
    </xf>
    <xf numFmtId="3" fontId="39" fillId="0" borderId="0" xfId="0" applyNumberFormat="1" applyFont="1"/>
    <xf numFmtId="0" fontId="34" fillId="0" borderId="0" xfId="0" applyFont="1" applyAlignment="1">
      <alignment horizontal="right"/>
    </xf>
    <xf numFmtId="1" fontId="39" fillId="0" borderId="0" xfId="0" applyNumberFormat="1" applyFont="1" applyAlignment="1">
      <alignment horizontal="right"/>
    </xf>
    <xf numFmtId="0" fontId="43" fillId="0" borderId="0" xfId="0" applyFont="1"/>
    <xf numFmtId="0" fontId="13" fillId="0" borderId="0" xfId="1" applyNumberFormat="1" applyAlignment="1" applyProtection="1"/>
    <xf numFmtId="0" fontId="48" fillId="0" borderId="0" xfId="0" applyFont="1"/>
    <xf numFmtId="1" fontId="14" fillId="0" borderId="1" xfId="0" applyNumberFormat="1" applyFont="1" applyBorder="1" applyAlignment="1">
      <alignment horizontal="center" vertical="center" wrapText="1"/>
    </xf>
    <xf numFmtId="0" fontId="51" fillId="0" borderId="0" xfId="0" applyFont="1"/>
    <xf numFmtId="1" fontId="0" fillId="0" borderId="0" xfId="0" applyNumberFormat="1"/>
    <xf numFmtId="0" fontId="9" fillId="0" borderId="0" xfId="0" applyFont="1" applyAlignment="1">
      <alignment horizontal="left" vertical="top"/>
    </xf>
    <xf numFmtId="0" fontId="0" fillId="0" borderId="0" xfId="0" applyAlignment="1">
      <alignment vertical="center"/>
    </xf>
    <xf numFmtId="0" fontId="9" fillId="0" borderId="0" xfId="0" applyFont="1" applyAlignment="1">
      <alignment horizontal="left" vertical="center"/>
    </xf>
    <xf numFmtId="0" fontId="52" fillId="0" borderId="0" xfId="0" applyFont="1"/>
    <xf numFmtId="0" fontId="52" fillId="0" borderId="0" xfId="0" applyFont="1" applyAlignment="1">
      <alignment wrapText="1"/>
    </xf>
    <xf numFmtId="0" fontId="52" fillId="0" borderId="0" xfId="0" applyFont="1" applyAlignment="1">
      <alignment horizontal="left" wrapText="1"/>
    </xf>
    <xf numFmtId="0" fontId="52" fillId="0" borderId="0" xfId="0" applyFont="1" applyAlignment="1">
      <alignment vertical="top" wrapText="1"/>
    </xf>
    <xf numFmtId="0" fontId="52" fillId="0" borderId="0" xfId="0" applyFont="1" applyAlignment="1">
      <alignment horizontal="center"/>
    </xf>
    <xf numFmtId="0" fontId="53" fillId="0" borderId="0" xfId="0" applyFont="1" applyAlignment="1">
      <alignment wrapText="1"/>
    </xf>
    <xf numFmtId="0" fontId="53" fillId="0" borderId="0" xfId="0" applyFont="1" applyAlignment="1">
      <alignment horizontal="center" vertical="center"/>
    </xf>
    <xf numFmtId="0" fontId="52" fillId="0" borderId="0" xfId="0" applyFont="1" applyAlignment="1">
      <alignment horizontal="center" vertical="center"/>
    </xf>
    <xf numFmtId="1" fontId="52" fillId="0" borderId="0" xfId="0" applyNumberFormat="1" applyFont="1" applyAlignment="1">
      <alignment horizontal="center" vertical="center"/>
    </xf>
    <xf numFmtId="0" fontId="56" fillId="0" borderId="0" xfId="0" applyFont="1"/>
    <xf numFmtId="11" fontId="55" fillId="0" borderId="0" xfId="0" applyNumberFormat="1" applyFont="1" applyAlignment="1">
      <alignment horizontal="left"/>
    </xf>
    <xf numFmtId="0" fontId="57" fillId="0" borderId="0" xfId="0" applyFont="1"/>
    <xf numFmtId="0" fontId="59" fillId="0" borderId="0" xfId="0" applyFont="1" applyAlignment="1">
      <alignment vertical="center"/>
    </xf>
    <xf numFmtId="0" fontId="9" fillId="0" borderId="0" xfId="0" applyFont="1" applyAlignment="1">
      <alignment vertical="center"/>
    </xf>
    <xf numFmtId="0" fontId="60" fillId="0" borderId="0" xfId="0" applyFont="1" applyAlignment="1">
      <alignment vertical="center"/>
    </xf>
    <xf numFmtId="0" fontId="60" fillId="0" borderId="0" xfId="0" applyFont="1"/>
    <xf numFmtId="0" fontId="61" fillId="0" borderId="0" xfId="0" applyFont="1" applyAlignment="1">
      <alignment vertical="center"/>
    </xf>
    <xf numFmtId="0" fontId="6" fillId="0" borderId="0" xfId="0" applyFont="1" applyAlignment="1">
      <alignment vertical="center"/>
    </xf>
    <xf numFmtId="0" fontId="62" fillId="0" borderId="0" xfId="0" applyFont="1" applyAlignment="1">
      <alignment horizontal="left"/>
    </xf>
    <xf numFmtId="0" fontId="59" fillId="0" borderId="0" xfId="0" applyFont="1"/>
    <xf numFmtId="0" fontId="63" fillId="0" borderId="0" xfId="0" applyFont="1"/>
    <xf numFmtId="0" fontId="55" fillId="0" borderId="0" xfId="0" applyFont="1" applyAlignment="1">
      <alignment vertical="center"/>
    </xf>
    <xf numFmtId="0" fontId="56" fillId="0" borderId="0" xfId="0" applyFont="1" applyAlignment="1">
      <alignment horizontal="right"/>
    </xf>
    <xf numFmtId="49" fontId="56" fillId="0" borderId="0" xfId="0" applyNumberFormat="1" applyFont="1" applyAlignment="1">
      <alignment horizontal="center"/>
    </xf>
    <xf numFmtId="0" fontId="56" fillId="0" borderId="0" xfId="0" applyFont="1" applyAlignment="1">
      <alignment horizontal="center"/>
    </xf>
    <xf numFmtId="0" fontId="64" fillId="0" borderId="0" xfId="0" applyFont="1"/>
    <xf numFmtId="0" fontId="55" fillId="0" borderId="0" xfId="0" applyFont="1" applyAlignment="1">
      <alignment horizontal="center" vertical="top"/>
    </xf>
    <xf numFmtId="1" fontId="65" fillId="0" borderId="0" xfId="0" applyNumberFormat="1" applyFont="1" applyAlignment="1">
      <alignment horizontal="left" vertical="top"/>
    </xf>
    <xf numFmtId="0" fontId="56" fillId="0" borderId="0" xfId="0" applyFont="1" applyAlignment="1">
      <alignment vertical="center"/>
    </xf>
    <xf numFmtId="0" fontId="15" fillId="0" borderId="0" xfId="0" applyFont="1" applyAlignment="1">
      <alignment horizontal="left" vertical="top"/>
    </xf>
    <xf numFmtId="167" fontId="0" fillId="0" borderId="0" xfId="0" applyNumberFormat="1"/>
    <xf numFmtId="0" fontId="15" fillId="0" borderId="1" xfId="2" applyFont="1" applyBorder="1" applyAlignment="1">
      <alignment horizontal="center" vertical="center" wrapText="1"/>
    </xf>
    <xf numFmtId="164" fontId="66" fillId="0" borderId="1" xfId="0" applyNumberFormat="1" applyFont="1" applyBorder="1" applyAlignment="1">
      <alignment horizontal="center" vertical="center" wrapText="1"/>
    </xf>
    <xf numFmtId="0" fontId="67" fillId="0" borderId="0" xfId="0" applyFont="1" applyAlignment="1">
      <alignment horizontal="center" vertical="center"/>
    </xf>
    <xf numFmtId="49" fontId="67" fillId="0" borderId="0" xfId="0" applyNumberFormat="1" applyFont="1" applyAlignment="1">
      <alignment horizontal="center" vertical="center"/>
    </xf>
    <xf numFmtId="1" fontId="67" fillId="0" borderId="0" xfId="0" applyNumberFormat="1" applyFont="1" applyAlignment="1">
      <alignment horizontal="center" vertical="center"/>
    </xf>
    <xf numFmtId="1" fontId="15" fillId="0" borderId="3" xfId="2" applyNumberFormat="1" applyFont="1" applyBorder="1" applyAlignment="1">
      <alignment horizontal="center" vertical="center" wrapText="1"/>
    </xf>
    <xf numFmtId="49" fontId="15" fillId="0" borderId="3" xfId="2" applyNumberFormat="1" applyFont="1" applyBorder="1" applyAlignment="1">
      <alignment horizontal="center" vertical="center" wrapText="1"/>
    </xf>
    <xf numFmtId="164" fontId="15" fillId="0" borderId="3" xfId="2" applyNumberFormat="1" applyFont="1" applyBorder="1" applyAlignment="1">
      <alignment horizontal="center" vertical="center"/>
    </xf>
    <xf numFmtId="0" fontId="15" fillId="0" borderId="3" xfId="4" applyFont="1" applyBorder="1" applyAlignment="1">
      <alignment horizontal="center" vertical="center" wrapText="1"/>
    </xf>
    <xf numFmtId="0" fontId="17" fillId="0" borderId="1" xfId="0" applyFont="1" applyBorder="1" applyAlignment="1">
      <alignment horizontal="center" vertical="center" wrapText="1"/>
    </xf>
    <xf numFmtId="0" fontId="17" fillId="0" borderId="1" xfId="0" applyFont="1" applyBorder="1" applyAlignment="1">
      <alignment horizontal="center" vertical="center"/>
    </xf>
    <xf numFmtId="0" fontId="52" fillId="0" borderId="0" xfId="0" applyFont="1" applyAlignment="1">
      <alignment vertical="top"/>
    </xf>
    <xf numFmtId="0" fontId="71" fillId="0" borderId="0" xfId="0" applyFont="1"/>
    <xf numFmtId="0" fontId="68" fillId="0" borderId="1" xfId="5" applyFont="1" applyBorder="1" applyAlignment="1">
      <alignment horizontal="center" vertical="center" wrapText="1"/>
    </xf>
    <xf numFmtId="0" fontId="15" fillId="0" borderId="2" xfId="0" applyFont="1" applyBorder="1" applyAlignment="1">
      <alignment horizontal="center" vertical="center" wrapText="1"/>
    </xf>
    <xf numFmtId="0" fontId="72" fillId="0" borderId="0" xfId="0" applyFont="1"/>
    <xf numFmtId="1" fontId="73" fillId="0" borderId="0" xfId="0" applyNumberFormat="1" applyFont="1" applyAlignment="1">
      <alignment horizontal="center"/>
    </xf>
    <xf numFmtId="0" fontId="73" fillId="0" borderId="0" xfId="0" applyFont="1" applyAlignment="1">
      <alignment horizontal="center"/>
    </xf>
    <xf numFmtId="1" fontId="73" fillId="0" borderId="0" xfId="0" applyNumberFormat="1" applyFont="1" applyAlignment="1">
      <alignment horizontal="left"/>
    </xf>
    <xf numFmtId="0" fontId="73" fillId="0" borderId="0" xfId="0" applyFont="1" applyAlignment="1">
      <alignment horizontal="right"/>
    </xf>
    <xf numFmtId="0" fontId="73" fillId="0" borderId="0" xfId="0" applyFont="1" applyAlignment="1">
      <alignment horizontal="left"/>
    </xf>
    <xf numFmtId="0" fontId="74" fillId="0" borderId="0" xfId="0" applyFont="1"/>
    <xf numFmtId="2" fontId="56" fillId="0" borderId="0" xfId="0" applyNumberFormat="1" applyFont="1" applyAlignment="1">
      <alignment horizontal="left"/>
    </xf>
    <xf numFmtId="0" fontId="48" fillId="0" borderId="0" xfId="0" applyFont="1" applyAlignment="1">
      <alignment horizontal="left"/>
    </xf>
    <xf numFmtId="0" fontId="0" fillId="0" borderId="0" xfId="0" applyAlignment="1">
      <alignment wrapText="1"/>
    </xf>
    <xf numFmtId="0" fontId="17" fillId="0" borderId="3" xfId="0" applyFont="1" applyBorder="1" applyAlignment="1">
      <alignment horizontal="center" vertical="center" wrapText="1"/>
    </xf>
    <xf numFmtId="0" fontId="0" fillId="0" borderId="0" xfId="0" applyAlignment="1">
      <alignment horizontal="left" vertical="center" wrapText="1"/>
    </xf>
    <xf numFmtId="0" fontId="76" fillId="0" borderId="0" xfId="0" applyFont="1"/>
    <xf numFmtId="0" fontId="23" fillId="0" borderId="0" xfId="0" applyFont="1" applyAlignment="1">
      <alignment wrapText="1"/>
    </xf>
    <xf numFmtId="0" fontId="14" fillId="0" borderId="0" xfId="0" applyFont="1"/>
    <xf numFmtId="0" fontId="77" fillId="0" borderId="0" xfId="0" applyFont="1"/>
    <xf numFmtId="0" fontId="78" fillId="0" borderId="0" xfId="0" applyFont="1"/>
    <xf numFmtId="0" fontId="10" fillId="6" borderId="0" xfId="0" applyFont="1" applyFill="1" applyAlignment="1">
      <alignment horizontal="left"/>
    </xf>
    <xf numFmtId="0" fontId="49" fillId="6" borderId="0" xfId="0" applyFont="1" applyFill="1" applyAlignment="1">
      <alignment horizontal="right"/>
    </xf>
    <xf numFmtId="0" fontId="14" fillId="0" borderId="0" xfId="0" applyFont="1" applyAlignment="1">
      <alignment horizontal="left" wrapText="1"/>
    </xf>
    <xf numFmtId="0" fontId="19" fillId="0" borderId="0" xfId="0" applyFont="1" applyAlignment="1">
      <alignment horizontal="center"/>
    </xf>
    <xf numFmtId="0" fontId="14" fillId="0" borderId="0" xfId="0" applyFont="1" applyAlignment="1">
      <alignment horizontal="left" vertical="center" wrapText="1"/>
    </xf>
    <xf numFmtId="0" fontId="15" fillId="0" borderId="0" xfId="0" applyFont="1" applyAlignment="1">
      <alignment horizontal="left" vertical="top" wrapText="1"/>
    </xf>
    <xf numFmtId="0" fontId="48" fillId="0" borderId="0" xfId="0" applyFont="1" applyAlignment="1">
      <alignment horizontal="left"/>
    </xf>
    <xf numFmtId="0" fontId="75" fillId="0" borderId="0" xfId="0" applyFont="1" applyAlignment="1">
      <alignment horizontal="left"/>
    </xf>
    <xf numFmtId="0" fontId="6" fillId="0" borderId="0" xfId="0" applyFont="1" applyAlignment="1">
      <alignment horizontal="left" wrapText="1"/>
    </xf>
    <xf numFmtId="0" fontId="6" fillId="0" borderId="0" xfId="0" applyFont="1" applyAlignment="1">
      <alignment horizontal="left"/>
    </xf>
    <xf numFmtId="0" fontId="24" fillId="0" borderId="0" xfId="0" applyFont="1" applyAlignment="1">
      <alignment horizontal="center" vertical="center" wrapText="1"/>
    </xf>
    <xf numFmtId="0" fontId="20" fillId="0" borderId="0" xfId="0" applyFont="1" applyAlignment="1">
      <alignment horizontal="center"/>
    </xf>
    <xf numFmtId="4" fontId="12" fillId="0" borderId="5" xfId="0" applyNumberFormat="1" applyFont="1" applyBorder="1" applyAlignment="1">
      <alignment horizontal="left" vertical="center"/>
    </xf>
    <xf numFmtId="0" fontId="7" fillId="0" borderId="5" xfId="0" applyFont="1" applyBorder="1" applyAlignment="1">
      <alignment horizontal="left" vertical="center"/>
    </xf>
    <xf numFmtId="0" fontId="17" fillId="0" borderId="3" xfId="0" applyFont="1" applyBorder="1" applyAlignment="1">
      <alignment horizontal="center" vertical="center" wrapText="1"/>
    </xf>
    <xf numFmtId="0" fontId="17" fillId="0" borderId="6" xfId="0" applyFont="1" applyBorder="1" applyAlignment="1">
      <alignment horizontal="center" vertical="center" wrapText="1"/>
    </xf>
    <xf numFmtId="0" fontId="14" fillId="0" borderId="2" xfId="0" applyFont="1" applyBorder="1" applyAlignment="1">
      <alignment horizontal="center" vertical="center"/>
    </xf>
    <xf numFmtId="0" fontId="14" fillId="0" borderId="4" xfId="0" applyFont="1" applyBorder="1" applyAlignment="1">
      <alignment horizontal="center" vertical="center"/>
    </xf>
    <xf numFmtId="0" fontId="17" fillId="0" borderId="2" xfId="0" applyFont="1" applyBorder="1" applyAlignment="1">
      <alignment horizontal="center" vertical="center" wrapText="1"/>
    </xf>
    <xf numFmtId="0" fontId="17" fillId="0" borderId="4" xfId="0" applyFont="1" applyBorder="1" applyAlignment="1">
      <alignment horizontal="center" vertical="center" wrapText="1"/>
    </xf>
    <xf numFmtId="0" fontId="21" fillId="0" borderId="0" xfId="0" applyFont="1" applyAlignment="1">
      <alignment horizontal="left" vertical="top" wrapText="1"/>
    </xf>
    <xf numFmtId="11" fontId="22" fillId="0" borderId="0" xfId="0" applyNumberFormat="1" applyFont="1" applyAlignment="1">
      <alignment horizontal="left"/>
    </xf>
    <xf numFmtId="0" fontId="22" fillId="0" borderId="0" xfId="0" applyFont="1" applyAlignment="1">
      <alignment horizontal="left"/>
    </xf>
    <xf numFmtId="0" fontId="52" fillId="0" borderId="0" xfId="0" applyFont="1" applyAlignment="1">
      <alignment horizontal="center" vertical="top" wrapText="1"/>
    </xf>
    <xf numFmtId="0" fontId="70" fillId="0" borderId="0" xfId="0" applyFont="1" applyAlignment="1">
      <alignment horizontal="left"/>
    </xf>
    <xf numFmtId="0" fontId="54" fillId="0" borderId="0" xfId="0" applyFont="1" applyAlignment="1">
      <alignment horizontal="left" vertical="center" wrapText="1"/>
    </xf>
    <xf numFmtId="0" fontId="52" fillId="0" borderId="0" xfId="0" applyFont="1" applyAlignment="1">
      <alignment horizontal="center"/>
    </xf>
    <xf numFmtId="49" fontId="73" fillId="0" borderId="0" xfId="0" applyNumberFormat="1" applyFont="1" applyAlignment="1">
      <alignment horizontal="center"/>
    </xf>
    <xf numFmtId="0" fontId="73" fillId="0" borderId="0" xfId="0" applyFont="1" applyAlignment="1">
      <alignment horizontal="center"/>
    </xf>
    <xf numFmtId="0" fontId="58" fillId="0" borderId="0" xfId="0" applyFont="1" applyAlignment="1">
      <alignment horizontal="left" vertical="center"/>
    </xf>
    <xf numFmtId="11" fontId="59" fillId="0" borderId="0" xfId="0" applyNumberFormat="1" applyFont="1" applyAlignment="1">
      <alignment horizontal="right" vertical="center"/>
    </xf>
    <xf numFmtId="0" fontId="69" fillId="0" borderId="0" xfId="0" applyFont="1" applyAlignment="1">
      <alignment horizontal="right"/>
    </xf>
    <xf numFmtId="0" fontId="62" fillId="0" borderId="0" xfId="0" applyFont="1" applyAlignment="1">
      <alignment horizontal="right" vertical="top"/>
    </xf>
    <xf numFmtId="0" fontId="73" fillId="0" borderId="0" xfId="0" applyFont="1" applyAlignment="1">
      <alignment horizontal="center" wrapText="1"/>
    </xf>
    <xf numFmtId="0" fontId="6" fillId="0" borderId="0" xfId="0" applyFont="1" applyAlignment="1">
      <alignment horizontal="center" vertical="center" wrapText="1"/>
    </xf>
    <xf numFmtId="0" fontId="56" fillId="0" borderId="0" xfId="0" applyFont="1" applyAlignment="1">
      <alignment horizontal="center"/>
    </xf>
    <xf numFmtId="1" fontId="6" fillId="0" borderId="0" xfId="0" applyNumberFormat="1" applyFont="1" applyAlignment="1">
      <alignment horizontal="left"/>
    </xf>
    <xf numFmtId="0" fontId="15" fillId="0" borderId="0" xfId="0" applyFont="1" applyAlignment="1">
      <alignment horizontal="left" vertical="center" wrapText="1"/>
    </xf>
    <xf numFmtId="0" fontId="15" fillId="0" borderId="0" xfId="0" applyFont="1" applyAlignment="1">
      <alignment horizontal="left" wrapText="1"/>
    </xf>
    <xf numFmtId="0" fontId="71" fillId="0" borderId="0" xfId="0" applyFont="1" applyAlignment="1">
      <alignment horizontal="left" vertical="top" wrapText="1"/>
    </xf>
    <xf numFmtId="0" fontId="10" fillId="6" borderId="0" xfId="0" applyFont="1" applyFill="1" applyAlignment="1">
      <alignment horizontal="right"/>
    </xf>
    <xf numFmtId="0" fontId="39" fillId="0" borderId="0" xfId="0" applyFont="1" applyAlignment="1">
      <alignment horizontal="right"/>
    </xf>
    <xf numFmtId="0" fontId="13" fillId="0" borderId="0" xfId="1" applyNumberFormat="1" applyAlignment="1" applyProtection="1"/>
    <xf numFmtId="0" fontId="27" fillId="3" borderId="0" xfId="0" applyFont="1" applyFill="1" applyAlignment="1">
      <alignment horizontal="center" vertical="center" wrapText="1"/>
    </xf>
    <xf numFmtId="14" fontId="32" fillId="4" borderId="0" xfId="0" applyNumberFormat="1" applyFont="1" applyFill="1" applyAlignment="1">
      <alignment horizontal="center"/>
    </xf>
    <xf numFmtId="165" fontId="34" fillId="0" borderId="0" xfId="0" applyNumberFormat="1" applyFont="1" applyAlignment="1">
      <alignment horizontal="left"/>
    </xf>
    <xf numFmtId="0" fontId="36" fillId="5" borderId="0" xfId="0" applyFont="1" applyFill="1" applyAlignment="1">
      <alignment horizontal="center" vertical="center" wrapText="1"/>
    </xf>
    <xf numFmtId="0" fontId="44" fillId="2" borderId="0" xfId="0" applyFont="1" applyFill="1" applyAlignment="1">
      <alignment horizontal="right" vertical="center" wrapText="1"/>
    </xf>
  </cellXfs>
  <cellStyles count="13">
    <cellStyle name="Гиперссылка" xfId="1" builtinId="8"/>
    <cellStyle name="Обычный" xfId="0" builtinId="0"/>
    <cellStyle name="Обычный 2" xfId="2"/>
    <cellStyle name="Обычный 2 2 2_MEGA SYSTEMS GROUP_2013 Saidahror_PARTNERS ORIGINAL TRADE_авто Saidaxror_Фум" xfId="3"/>
    <cellStyle name="Обычный 3" xfId="4"/>
    <cellStyle name="Обычный 4" xfId="5"/>
    <cellStyle name="Обычный 4 2" xfId="6"/>
    <cellStyle name="Обычный 4 2 2" xfId="8"/>
    <cellStyle name="Обычный 4 2 3" xfId="10"/>
    <cellStyle name="Обычный 4 2 4" xfId="12"/>
    <cellStyle name="Обычный 4 3" xfId="7"/>
    <cellStyle name="Обычный 4 4" xfId="9"/>
    <cellStyle name="Обычный 4 5" xfId="1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2" Type="http://schemas.microsoft.com/office/2007/relationships/hdphoto" Target="../media/hdphoto1.wdp"/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jpeg"/><Relationship Id="rId2" Type="http://schemas.microsoft.com/office/2007/relationships/hdphoto" Target="../media/hdphoto1.wdp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930088</xdr:colOff>
      <xdr:row>36</xdr:row>
      <xdr:rowOff>89647</xdr:rowOff>
    </xdr:from>
    <xdr:to>
      <xdr:col>4</xdr:col>
      <xdr:colOff>212668</xdr:colOff>
      <xdr:row>48</xdr:row>
      <xdr:rowOff>11206</xdr:rowOff>
    </xdr:to>
    <xdr:pic>
      <xdr:nvPicPr>
        <xdr:cNvPr id="9" name="Рисунок 8">
          <a:extLst>
            <a:ext uri="{FF2B5EF4-FFF2-40B4-BE49-F238E27FC236}">
              <a16:creationId xmlns:a16="http://schemas.microsoft.com/office/drawing/2014/main" id="{EEDAF594-B21E-4A36-9C5E-1385B795033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brightnessContrast contrast="4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288676" y="20237823"/>
          <a:ext cx="2823639" cy="1972236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448233</xdr:colOff>
      <xdr:row>36</xdr:row>
      <xdr:rowOff>56029</xdr:rowOff>
    </xdr:from>
    <xdr:to>
      <xdr:col>3</xdr:col>
      <xdr:colOff>459195</xdr:colOff>
      <xdr:row>47</xdr:row>
      <xdr:rowOff>134471</xdr:rowOff>
    </xdr:to>
    <xdr:pic>
      <xdr:nvPicPr>
        <xdr:cNvPr id="2" name="Рисунок 1">
          <a:extLst>
            <a:ext uri="{FF2B5EF4-FFF2-40B4-BE49-F238E27FC236}">
              <a16:creationId xmlns:a16="http://schemas.microsoft.com/office/drawing/2014/main" id="{0FB2499F-762F-4CD6-9ECF-9C83B26C58A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brightnessContrast contrast="4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06821" y="19083617"/>
          <a:ext cx="2823639" cy="1972236"/>
        </a:xfrm>
        <a:prstGeom prst="rect">
          <a:avLst/>
        </a:prstGeom>
      </xdr:spPr>
    </xdr:pic>
    <xdr:clientData/>
  </xdr:twoCellAnchor>
  <xdr:twoCellAnchor>
    <xdr:from>
      <xdr:col>6</xdr:col>
      <xdr:colOff>235323</xdr:colOff>
      <xdr:row>36</xdr:row>
      <xdr:rowOff>67235</xdr:rowOff>
    </xdr:from>
    <xdr:to>
      <xdr:col>9</xdr:col>
      <xdr:colOff>421901</xdr:colOff>
      <xdr:row>47</xdr:row>
      <xdr:rowOff>151371</xdr:rowOff>
    </xdr:to>
    <xdr:pic>
      <xdr:nvPicPr>
        <xdr:cNvPr id="3" name="Рисунок 2">
          <a:extLst>
            <a:ext uri="{FF2B5EF4-FFF2-40B4-BE49-F238E27FC236}">
              <a16:creationId xmlns:a16="http://schemas.microsoft.com/office/drawing/2014/main" id="{0B41831B-BA9B-41AB-9EFF-FFD623C2680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109882" y="19094823"/>
          <a:ext cx="1923490" cy="197793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4.bin"/></Relationships>
</file>

<file path=xl/worksheets/_rels/sheet6.xml.rels><?xml version="1.0" encoding="UTF-8" standalone="yes"?>
<Relationships xmlns="http://schemas.openxmlformats.org/package/2006/relationships"><Relationship Id="rId3" Type="http://schemas.openxmlformats.org/officeDocument/2006/relationships/hyperlink" Target="mailto:olegator@allok.ru?subject=&#1063;&#1080;&#1089;&#1083;&#1086;_&#1087;&#1088;&#1086;&#1087;&#1080;&#1089;&#1100;&#1102;_&#1074;_Excel" TargetMode="External"/><Relationship Id="rId2" Type="http://schemas.openxmlformats.org/officeDocument/2006/relationships/hyperlink" Target="http://www.allok.ru/" TargetMode="External"/><Relationship Id="rId1" Type="http://schemas.openxmlformats.org/officeDocument/2006/relationships/hyperlink" Target="http://www.allok.ru/" TargetMode="External"/><Relationship Id="rId5" Type="http://schemas.openxmlformats.org/officeDocument/2006/relationships/comments" Target="../comments1.xml"/><Relationship Id="rId4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indexed="35"/>
    <pageSetUpPr fitToPage="1"/>
  </sheetPr>
  <dimension ref="A1:Q42"/>
  <sheetViews>
    <sheetView tabSelected="1" topLeftCell="A4" zoomScaleNormal="100" workbookViewId="0">
      <selection activeCell="E26" sqref="E26:G26"/>
    </sheetView>
  </sheetViews>
  <sheetFormatPr defaultRowHeight="12.75" x14ac:dyDescent="0.2"/>
  <cols>
    <col min="1" max="1" width="5.42578125" customWidth="1"/>
    <col min="2" max="2" width="31.140625" customWidth="1"/>
    <col min="3" max="3" width="11.140625" customWidth="1"/>
    <col min="4" max="4" width="11" customWidth="1"/>
    <col min="5" max="5" width="9.140625" customWidth="1"/>
    <col min="6" max="6" width="5.5703125" customWidth="1"/>
    <col min="7" max="8" width="9.42578125" customWidth="1"/>
    <col min="9" max="9" width="7.140625" customWidth="1"/>
    <col min="10" max="10" width="11.85546875" customWidth="1"/>
    <col min="11" max="11" width="3.5703125" customWidth="1"/>
    <col min="12" max="12" width="3.7109375" customWidth="1"/>
    <col min="13" max="13" width="16.140625" customWidth="1"/>
    <col min="14" max="14" width="4.28515625" customWidth="1"/>
  </cols>
  <sheetData>
    <row r="1" spans="1:15" ht="18.75" x14ac:dyDescent="0.3">
      <c r="B1" s="19"/>
      <c r="C1" s="134" t="s">
        <v>161</v>
      </c>
      <c r="D1" s="134"/>
      <c r="E1" s="134"/>
      <c r="F1" s="133" t="s">
        <v>160</v>
      </c>
      <c r="G1" s="133"/>
      <c r="H1" s="133"/>
      <c r="I1" s="19"/>
      <c r="J1" s="19"/>
      <c r="K1" s="19"/>
      <c r="L1" s="19"/>
      <c r="M1" s="19"/>
    </row>
    <row r="2" spans="1:15" ht="18.75" x14ac:dyDescent="0.3">
      <c r="A2" s="19" t="s">
        <v>30</v>
      </c>
      <c r="B2" s="19"/>
      <c r="C2" s="140" t="s">
        <v>152</v>
      </c>
      <c r="D2" s="140"/>
      <c r="E2" s="140"/>
      <c r="F2" s="140"/>
      <c r="G2" s="140"/>
      <c r="H2" s="140"/>
      <c r="I2" s="140"/>
      <c r="J2" s="19"/>
      <c r="K2" s="19"/>
      <c r="L2" s="19"/>
      <c r="M2" s="19"/>
    </row>
    <row r="3" spans="1:15" ht="13.5" customHeight="1" x14ac:dyDescent="0.3">
      <c r="A3" s="5"/>
      <c r="B3" s="5"/>
      <c r="C3" s="5"/>
      <c r="D3" s="5"/>
      <c r="E3" s="5"/>
      <c r="F3" s="5"/>
      <c r="G3" s="5"/>
      <c r="H3" s="5"/>
      <c r="I3" s="5"/>
      <c r="J3" s="5"/>
      <c r="K3" s="5"/>
      <c r="L3" s="5"/>
      <c r="M3" s="5"/>
    </row>
    <row r="4" spans="1:15" ht="15.75" x14ac:dyDescent="0.25">
      <c r="A4" s="136" t="s">
        <v>19</v>
      </c>
      <c r="B4" s="136"/>
      <c r="C4" s="136"/>
      <c r="D4" s="136"/>
      <c r="E4" s="136"/>
      <c r="G4" s="136" t="s">
        <v>20</v>
      </c>
      <c r="H4" s="136"/>
      <c r="I4" s="136"/>
      <c r="J4" s="136"/>
      <c r="K4" s="136"/>
      <c r="L4" s="136"/>
      <c r="M4" s="136"/>
    </row>
    <row r="5" spans="1:15" ht="14.25" customHeight="1" x14ac:dyDescent="0.2">
      <c r="A5" s="135" t="s">
        <v>153</v>
      </c>
      <c r="B5" s="135"/>
      <c r="C5" s="135"/>
      <c r="D5" s="135"/>
      <c r="E5" s="135"/>
      <c r="F5" s="6"/>
      <c r="G5" s="137" t="s">
        <v>140</v>
      </c>
      <c r="H5" s="137"/>
      <c r="I5" s="137"/>
      <c r="J5" s="137"/>
      <c r="K5" s="137"/>
      <c r="L5" s="137"/>
      <c r="M5" s="137"/>
    </row>
    <row r="6" spans="1:15" ht="15" customHeight="1" x14ac:dyDescent="0.25">
      <c r="A6" s="141" t="s">
        <v>148</v>
      </c>
      <c r="B6" s="142"/>
      <c r="C6" s="142"/>
      <c r="D6" s="142"/>
      <c r="E6" s="142"/>
      <c r="F6" s="7"/>
      <c r="G6" s="139" t="s">
        <v>141</v>
      </c>
      <c r="H6" s="139"/>
      <c r="I6" s="139"/>
      <c r="J6" s="139"/>
      <c r="K6" s="139"/>
      <c r="L6" s="139"/>
      <c r="M6" s="139"/>
      <c r="N6" s="4"/>
    </row>
    <row r="7" spans="1:15" ht="15" x14ac:dyDescent="0.25">
      <c r="A7" s="142" t="s">
        <v>154</v>
      </c>
      <c r="B7" s="142"/>
      <c r="C7" s="142"/>
      <c r="D7" s="142"/>
      <c r="E7" s="142"/>
      <c r="F7" s="63"/>
      <c r="G7" s="139" t="s">
        <v>142</v>
      </c>
      <c r="H7" s="139"/>
      <c r="I7" s="139"/>
      <c r="J7" s="139"/>
      <c r="K7" s="139"/>
      <c r="L7" s="139"/>
      <c r="M7" s="139"/>
    </row>
    <row r="8" spans="1:15" ht="15" customHeight="1" x14ac:dyDescent="0.25">
      <c r="A8" s="8" t="s">
        <v>149</v>
      </c>
      <c r="B8" s="8"/>
      <c r="C8" s="8"/>
      <c r="D8" s="8"/>
      <c r="E8" s="8"/>
      <c r="F8" s="63"/>
      <c r="G8" s="7" t="s">
        <v>143</v>
      </c>
      <c r="H8" s="23"/>
      <c r="I8" s="23"/>
      <c r="J8" s="23"/>
      <c r="K8" s="23"/>
      <c r="L8" s="23"/>
      <c r="M8" s="23"/>
    </row>
    <row r="9" spans="1:15" ht="15" x14ac:dyDescent="0.25">
      <c r="A9" s="8" t="s">
        <v>155</v>
      </c>
      <c r="B9" s="8"/>
      <c r="C9" s="8"/>
      <c r="D9" s="8"/>
      <c r="E9" s="8"/>
      <c r="F9" s="7"/>
      <c r="G9" s="7" t="s">
        <v>144</v>
      </c>
      <c r="H9" s="23"/>
      <c r="I9" s="23"/>
      <c r="J9" s="23"/>
      <c r="K9" s="23"/>
      <c r="L9" s="23"/>
      <c r="M9" s="23"/>
      <c r="O9" s="7"/>
    </row>
    <row r="10" spans="1:15" ht="15" x14ac:dyDescent="0.25">
      <c r="A10" s="124" t="s">
        <v>150</v>
      </c>
      <c r="B10" s="124"/>
      <c r="C10" s="124"/>
      <c r="D10" s="124"/>
      <c r="E10" s="124"/>
      <c r="F10" s="7"/>
      <c r="G10" s="7" t="s">
        <v>139</v>
      </c>
      <c r="H10" s="23"/>
      <c r="I10" s="23"/>
      <c r="J10" s="23"/>
      <c r="K10" s="23"/>
      <c r="L10" s="23"/>
      <c r="M10" s="23"/>
    </row>
    <row r="11" spans="1:15" ht="15" x14ac:dyDescent="0.25">
      <c r="A11" s="8" t="s">
        <v>151</v>
      </c>
      <c r="B11" s="8"/>
      <c r="C11" s="8"/>
      <c r="D11" s="8"/>
      <c r="E11" s="8"/>
      <c r="F11" s="7"/>
      <c r="G11" s="7" t="s">
        <v>145</v>
      </c>
      <c r="H11" s="23"/>
      <c r="I11" s="23"/>
      <c r="J11" s="23"/>
      <c r="K11" s="23"/>
      <c r="L11" s="23"/>
      <c r="M11" s="23"/>
    </row>
    <row r="12" spans="1:15" ht="36" customHeight="1" x14ac:dyDescent="0.25">
      <c r="A12" s="99" t="s">
        <v>156</v>
      </c>
      <c r="B12" s="8"/>
      <c r="C12" s="8"/>
      <c r="D12" s="8"/>
      <c r="E12" s="8"/>
      <c r="F12" s="7"/>
      <c r="G12" s="138" t="s">
        <v>146</v>
      </c>
      <c r="H12" s="138"/>
      <c r="I12" s="138"/>
      <c r="J12" s="138"/>
      <c r="K12" s="138"/>
      <c r="L12" s="138"/>
      <c r="M12" s="138"/>
    </row>
    <row r="13" spans="1:15" ht="24" customHeight="1" x14ac:dyDescent="0.25">
      <c r="A13" s="136" t="s">
        <v>31</v>
      </c>
      <c r="B13" s="136"/>
      <c r="C13" s="136"/>
      <c r="D13" s="136"/>
      <c r="E13" s="136"/>
      <c r="G13" s="136" t="s">
        <v>21</v>
      </c>
      <c r="H13" s="144"/>
      <c r="I13" s="144"/>
      <c r="J13" s="144"/>
      <c r="K13" s="144"/>
      <c r="L13" s="144"/>
      <c r="M13" s="144"/>
    </row>
    <row r="14" spans="1:15" ht="14.25" customHeight="1" x14ac:dyDescent="0.2">
      <c r="A14" s="135" t="s">
        <v>153</v>
      </c>
      <c r="B14" s="135"/>
      <c r="C14" s="135"/>
      <c r="D14" s="135"/>
      <c r="E14" s="135"/>
      <c r="F14" s="6"/>
      <c r="G14" s="137" t="s">
        <v>140</v>
      </c>
      <c r="H14" s="137"/>
      <c r="I14" s="137"/>
      <c r="J14" s="137"/>
      <c r="K14" s="137"/>
      <c r="L14" s="137"/>
      <c r="M14" s="137"/>
    </row>
    <row r="15" spans="1:15" ht="13.9" customHeight="1" x14ac:dyDescent="0.25">
      <c r="A15" s="141" t="s">
        <v>148</v>
      </c>
      <c r="B15" s="142"/>
      <c r="C15" s="142"/>
      <c r="D15" s="142"/>
      <c r="E15" s="142"/>
      <c r="F15" s="7"/>
      <c r="G15" s="139" t="s">
        <v>141</v>
      </c>
      <c r="H15" s="139"/>
      <c r="I15" s="139"/>
      <c r="J15" s="139"/>
      <c r="K15" s="139"/>
      <c r="L15" s="139"/>
      <c r="M15" s="139"/>
    </row>
    <row r="16" spans="1:15" ht="15" x14ac:dyDescent="0.25">
      <c r="A16" s="142" t="s">
        <v>154</v>
      </c>
      <c r="B16" s="142"/>
      <c r="C16" s="142"/>
      <c r="D16" s="142"/>
      <c r="E16" s="142"/>
      <c r="F16" s="63"/>
      <c r="G16" s="139" t="s">
        <v>142</v>
      </c>
      <c r="H16" s="139"/>
      <c r="I16" s="139"/>
      <c r="J16" s="139"/>
      <c r="K16" s="139"/>
      <c r="L16" s="139"/>
      <c r="M16" s="139"/>
    </row>
    <row r="17" spans="1:17" ht="15" customHeight="1" x14ac:dyDescent="0.25">
      <c r="A17" s="8" t="s">
        <v>149</v>
      </c>
      <c r="B17" s="8"/>
      <c r="C17" s="8"/>
      <c r="D17" s="8"/>
      <c r="E17" s="8"/>
      <c r="F17" s="63"/>
      <c r="G17" s="7" t="s">
        <v>143</v>
      </c>
      <c r="H17" s="23"/>
      <c r="I17" s="23"/>
      <c r="J17" s="23"/>
      <c r="K17" s="23"/>
      <c r="L17" s="23"/>
      <c r="M17" s="23"/>
    </row>
    <row r="18" spans="1:17" ht="15" x14ac:dyDescent="0.25">
      <c r="A18" s="8" t="s">
        <v>155</v>
      </c>
      <c r="B18" s="8"/>
      <c r="C18" s="8"/>
      <c r="D18" s="8"/>
      <c r="E18" s="8"/>
      <c r="F18" s="7"/>
      <c r="G18" s="7" t="s">
        <v>144</v>
      </c>
      <c r="H18" s="23"/>
      <c r="I18" s="23"/>
      <c r="J18" s="23"/>
      <c r="K18" s="23"/>
      <c r="L18" s="23"/>
      <c r="M18" s="23"/>
    </row>
    <row r="19" spans="1:17" ht="15" x14ac:dyDescent="0.25">
      <c r="A19" s="124" t="s">
        <v>150</v>
      </c>
      <c r="B19" s="124"/>
      <c r="C19" s="124"/>
      <c r="D19" s="124"/>
      <c r="E19" s="124"/>
      <c r="F19" s="7"/>
      <c r="G19" s="7" t="s">
        <v>139</v>
      </c>
      <c r="H19" s="23"/>
      <c r="I19" s="23"/>
      <c r="J19" s="23"/>
      <c r="K19" s="23"/>
      <c r="L19" s="23"/>
      <c r="M19" s="23"/>
    </row>
    <row r="20" spans="1:17" ht="15" x14ac:dyDescent="0.25">
      <c r="A20" s="8" t="s">
        <v>151</v>
      </c>
      <c r="B20" s="8"/>
      <c r="C20" s="8"/>
      <c r="D20" s="8"/>
      <c r="E20" s="8"/>
      <c r="F20" s="7"/>
      <c r="G20" s="7" t="s">
        <v>145</v>
      </c>
      <c r="H20" s="23"/>
      <c r="I20" s="23"/>
      <c r="J20" s="23"/>
      <c r="K20" s="23"/>
      <c r="L20" s="23"/>
      <c r="M20" s="23"/>
    </row>
    <row r="21" spans="1:17" ht="15" x14ac:dyDescent="0.25">
      <c r="A21" s="99" t="s">
        <v>156</v>
      </c>
      <c r="B21" s="8"/>
      <c r="C21" s="8"/>
      <c r="D21" s="8"/>
      <c r="E21" s="8"/>
      <c r="G21" s="138" t="s">
        <v>146</v>
      </c>
      <c r="H21" s="138"/>
      <c r="I21" s="138"/>
      <c r="J21" s="138"/>
      <c r="K21" s="138"/>
      <c r="L21" s="138"/>
      <c r="M21" s="138"/>
    </row>
    <row r="22" spans="1:17" ht="43.5" customHeight="1" x14ac:dyDescent="0.25">
      <c r="A22" s="1" t="s">
        <v>88</v>
      </c>
      <c r="C22" s="65" t="s">
        <v>89</v>
      </c>
      <c r="F22" s="1"/>
    </row>
    <row r="23" spans="1:17" ht="26.25" customHeight="1" x14ac:dyDescent="0.2">
      <c r="A23" s="69" t="s">
        <v>87</v>
      </c>
      <c r="B23" s="68"/>
      <c r="C23" s="153" t="s">
        <v>159</v>
      </c>
      <c r="D23" s="153"/>
      <c r="E23" s="153"/>
      <c r="F23" s="153"/>
      <c r="G23" s="153"/>
      <c r="H23" s="153"/>
      <c r="I23" s="153"/>
      <c r="J23" s="153"/>
      <c r="K23" s="153"/>
      <c r="L23" s="153"/>
      <c r="M23" s="153"/>
    </row>
    <row r="24" spans="1:17" ht="15.75" x14ac:dyDescent="0.25">
      <c r="A24" s="20" t="s">
        <v>22</v>
      </c>
      <c r="C24" s="18" t="s">
        <v>138</v>
      </c>
      <c r="D24" s="113"/>
      <c r="E24" s="113"/>
      <c r="F24" s="113"/>
      <c r="G24" s="113"/>
      <c r="H24" s="113"/>
      <c r="I24" s="113"/>
      <c r="J24" s="113"/>
      <c r="K24" s="113"/>
      <c r="L24" s="113"/>
      <c r="M24" s="113"/>
    </row>
    <row r="25" spans="1:17" ht="15.75" x14ac:dyDescent="0.25">
      <c r="A25" s="1" t="s">
        <v>23</v>
      </c>
      <c r="C25" s="18" t="s">
        <v>24</v>
      </c>
    </row>
    <row r="26" spans="1:17" ht="15.75" x14ac:dyDescent="0.25">
      <c r="A26" s="1" t="s">
        <v>25</v>
      </c>
      <c r="C26" s="18" t="s">
        <v>26</v>
      </c>
      <c r="E26" s="154" t="s">
        <v>162</v>
      </c>
      <c r="F26" s="155"/>
      <c r="G26" s="155"/>
      <c r="J26" s="21"/>
    </row>
    <row r="27" spans="1:17" ht="34.5" customHeight="1" x14ac:dyDescent="0.25">
      <c r="A27" s="67" t="s">
        <v>110</v>
      </c>
      <c r="C27" s="18"/>
      <c r="E27" s="22"/>
      <c r="F27" s="22"/>
      <c r="G27" s="22"/>
      <c r="J27" s="21"/>
    </row>
    <row r="28" spans="1:17" ht="24" customHeight="1" x14ac:dyDescent="0.2">
      <c r="A28" s="147" t="s">
        <v>1</v>
      </c>
      <c r="B28" s="147" t="s">
        <v>2</v>
      </c>
      <c r="C28" s="147" t="s">
        <v>3</v>
      </c>
      <c r="D28" s="147" t="s">
        <v>4</v>
      </c>
      <c r="E28" s="147" t="s">
        <v>5</v>
      </c>
      <c r="F28" s="147" t="s">
        <v>6</v>
      </c>
      <c r="G28" s="151" t="s">
        <v>7</v>
      </c>
      <c r="H28" s="152"/>
      <c r="I28" s="147" t="s">
        <v>8</v>
      </c>
      <c r="J28" s="110" t="s">
        <v>9</v>
      </c>
      <c r="K28" s="151" t="s">
        <v>10</v>
      </c>
      <c r="L28" s="152"/>
      <c r="M28" s="147" t="s">
        <v>11</v>
      </c>
    </row>
    <row r="29" spans="1:17" ht="32.25" x14ac:dyDescent="0.2">
      <c r="A29" s="148"/>
      <c r="B29" s="148"/>
      <c r="C29" s="148"/>
      <c r="D29" s="148"/>
      <c r="E29" s="148"/>
      <c r="F29" s="148"/>
      <c r="G29" s="110" t="s">
        <v>12</v>
      </c>
      <c r="H29" s="110" t="s">
        <v>13</v>
      </c>
      <c r="I29" s="148"/>
      <c r="J29" s="111" t="s">
        <v>14</v>
      </c>
      <c r="K29" s="10" t="s">
        <v>15</v>
      </c>
      <c r="L29" s="10" t="s">
        <v>16</v>
      </c>
      <c r="M29" s="148"/>
    </row>
    <row r="30" spans="1:17" ht="30" x14ac:dyDescent="0.2">
      <c r="A30" s="126">
        <v>1</v>
      </c>
      <c r="B30" s="101" t="s">
        <v>126</v>
      </c>
      <c r="C30" s="107" t="s">
        <v>127</v>
      </c>
      <c r="D30" s="109" t="s">
        <v>112</v>
      </c>
      <c r="E30" s="101">
        <v>1000</v>
      </c>
      <c r="F30" s="115" t="s">
        <v>27</v>
      </c>
      <c r="G30" s="106">
        <v>23300</v>
      </c>
      <c r="H30" s="106">
        <v>21500</v>
      </c>
      <c r="I30" s="108">
        <v>0.25</v>
      </c>
      <c r="J30" s="13">
        <f t="shared" ref="J30" si="0">H30*I30</f>
        <v>5375</v>
      </c>
      <c r="K30" s="12">
        <v>0</v>
      </c>
      <c r="L30" s="12">
        <v>0</v>
      </c>
      <c r="M30" s="13">
        <f t="shared" ref="M30" si="1">J30</f>
        <v>5375</v>
      </c>
      <c r="O30" s="100"/>
      <c r="Q30" s="100"/>
    </row>
    <row r="31" spans="1:17" ht="14.25" x14ac:dyDescent="0.2">
      <c r="A31" s="149" t="s">
        <v>0</v>
      </c>
      <c r="B31" s="150"/>
      <c r="C31" s="14"/>
      <c r="D31" s="15"/>
      <c r="E31" s="64">
        <f>SUM(E30:E30)</f>
        <v>1000</v>
      </c>
      <c r="F31" s="15"/>
      <c r="G31" s="64">
        <f>SUM(G30:G30)</f>
        <v>23300</v>
      </c>
      <c r="H31" s="64">
        <f>SUM(H30:H30)</f>
        <v>21500</v>
      </c>
      <c r="I31" s="102"/>
      <c r="J31" s="17">
        <f>SUM(J30:J30)</f>
        <v>5375</v>
      </c>
      <c r="K31" s="16"/>
      <c r="L31" s="16"/>
      <c r="M31" s="17">
        <f>SUM(M30:M30)</f>
        <v>5375</v>
      </c>
      <c r="P31" s="66"/>
    </row>
    <row r="32" spans="1:17" ht="13.5" x14ac:dyDescent="0.25">
      <c r="A32" s="2" t="s">
        <v>17</v>
      </c>
      <c r="B32" s="3"/>
      <c r="C32" s="11"/>
      <c r="D32" s="11"/>
      <c r="E32" s="145" t="str">
        <f>Лист1!B3</f>
        <v>Пять тысяч триста семьдесят пять долларов США, 00 центов.</v>
      </c>
      <c r="F32" s="146"/>
      <c r="G32" s="146"/>
      <c r="H32" s="146"/>
      <c r="I32" s="146"/>
      <c r="J32" s="146"/>
      <c r="K32" s="146"/>
      <c r="L32" s="146"/>
      <c r="M32" s="146"/>
    </row>
    <row r="33" spans="1:14" ht="20.25" customHeight="1" x14ac:dyDescent="0.2">
      <c r="A33" s="143"/>
      <c r="B33" s="143"/>
      <c r="C33" s="143"/>
      <c r="D33" s="143"/>
      <c r="E33" s="143"/>
      <c r="F33" s="143"/>
      <c r="G33" s="143"/>
      <c r="H33" s="143"/>
      <c r="I33" s="143"/>
      <c r="J33" s="143"/>
      <c r="K33" s="143"/>
      <c r="L33" s="143"/>
      <c r="M33" s="143"/>
    </row>
    <row r="34" spans="1:14" ht="25.5" customHeight="1" x14ac:dyDescent="0.2">
      <c r="A34" s="143" t="s">
        <v>109</v>
      </c>
      <c r="B34" s="143"/>
      <c r="C34" s="143"/>
      <c r="D34" s="143"/>
      <c r="E34" s="143"/>
      <c r="F34" s="143"/>
      <c r="G34" s="143"/>
      <c r="H34" s="143"/>
      <c r="I34" s="143"/>
      <c r="J34" s="143"/>
      <c r="K34" s="143"/>
      <c r="L34" s="143"/>
      <c r="M34" s="143"/>
      <c r="N34" s="26"/>
    </row>
    <row r="36" spans="1:14" ht="15" x14ac:dyDescent="0.25">
      <c r="A36" s="7" t="s">
        <v>28</v>
      </c>
      <c r="B36" s="7"/>
      <c r="D36" s="25" t="s">
        <v>157</v>
      </c>
      <c r="E36" s="24"/>
    </row>
    <row r="37" spans="1:14" ht="15" x14ac:dyDescent="0.25">
      <c r="A37" s="7"/>
      <c r="B37" s="9"/>
    </row>
    <row r="38" spans="1:14" ht="15" x14ac:dyDescent="0.25">
      <c r="A38" s="7" t="s">
        <v>18</v>
      </c>
      <c r="B38" s="9"/>
    </row>
    <row r="39" spans="1:14" ht="15" x14ac:dyDescent="0.25">
      <c r="A39" s="7"/>
      <c r="B39" s="9"/>
    </row>
    <row r="40" spans="1:14" ht="15" x14ac:dyDescent="0.25">
      <c r="A40" s="7" t="s">
        <v>29</v>
      </c>
      <c r="B40" s="9"/>
    </row>
    <row r="41" spans="1:14" ht="15" x14ac:dyDescent="0.25">
      <c r="A41" s="8"/>
      <c r="B41" s="9"/>
    </row>
    <row r="42" spans="1:14" x14ac:dyDescent="0.2">
      <c r="A42" s="4"/>
    </row>
  </sheetData>
  <mergeCells count="37">
    <mergeCell ref="I28:I29"/>
    <mergeCell ref="G28:H28"/>
    <mergeCell ref="C23:M23"/>
    <mergeCell ref="E26:G26"/>
    <mergeCell ref="G7:M7"/>
    <mergeCell ref="A7:E7"/>
    <mergeCell ref="A15:E15"/>
    <mergeCell ref="A16:E16"/>
    <mergeCell ref="G21:M21"/>
    <mergeCell ref="A34:M34"/>
    <mergeCell ref="G15:M15"/>
    <mergeCell ref="G13:M13"/>
    <mergeCell ref="G14:M14"/>
    <mergeCell ref="E32:M32"/>
    <mergeCell ref="E28:E29"/>
    <mergeCell ref="C28:C29"/>
    <mergeCell ref="D28:D29"/>
    <mergeCell ref="A33:M33"/>
    <mergeCell ref="A31:B31"/>
    <mergeCell ref="G16:M16"/>
    <mergeCell ref="A28:A29"/>
    <mergeCell ref="B28:B29"/>
    <mergeCell ref="K28:L28"/>
    <mergeCell ref="F28:F29"/>
    <mergeCell ref="M28:M29"/>
    <mergeCell ref="F1:H1"/>
    <mergeCell ref="C1:E1"/>
    <mergeCell ref="A14:E14"/>
    <mergeCell ref="A13:E13"/>
    <mergeCell ref="G4:M4"/>
    <mergeCell ref="G5:M5"/>
    <mergeCell ref="A4:E4"/>
    <mergeCell ref="A5:E5"/>
    <mergeCell ref="G12:M12"/>
    <mergeCell ref="G6:M6"/>
    <mergeCell ref="C2:I2"/>
    <mergeCell ref="A6:E6"/>
  </mergeCells>
  <phoneticPr fontId="8" type="noConversion"/>
  <pageMargins left="0.26" right="0.28000000000000003" top="0.26" bottom="0.19" header="0.35" footer="0.12"/>
  <pageSetup paperSize="9" scale="73" orientation="portrait" r:id="rId1"/>
  <headerFooter alignWithMargins="0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63"/>
  <sheetViews>
    <sheetView topLeftCell="A7" zoomScale="115" zoomScaleNormal="115" workbookViewId="0">
      <selection activeCell="B31" sqref="B31:I39"/>
    </sheetView>
  </sheetViews>
  <sheetFormatPr defaultRowHeight="11.25" x14ac:dyDescent="0.2"/>
  <cols>
    <col min="1" max="1" width="6.28515625" style="70" customWidth="1"/>
    <col min="2" max="2" width="10.42578125" style="70" customWidth="1"/>
    <col min="3" max="3" width="11.42578125" style="70" customWidth="1"/>
    <col min="4" max="4" width="11" style="70" customWidth="1"/>
    <col min="5" max="5" width="1.5703125" style="70" customWidth="1"/>
    <col min="6" max="6" width="32" style="70" bestFit="1" customWidth="1"/>
    <col min="7" max="7" width="10" style="70" bestFit="1" customWidth="1"/>
    <col min="8" max="8" width="0.7109375" style="70" customWidth="1"/>
    <col min="9" max="256" width="9.140625" style="70"/>
    <col min="257" max="257" width="6.28515625" style="70" customWidth="1"/>
    <col min="258" max="258" width="10.42578125" style="70" customWidth="1"/>
    <col min="259" max="259" width="11.42578125" style="70" customWidth="1"/>
    <col min="260" max="260" width="11" style="70" customWidth="1"/>
    <col min="261" max="261" width="1.5703125" style="70" customWidth="1"/>
    <col min="262" max="262" width="20.28515625" style="70" customWidth="1"/>
    <col min="263" max="263" width="10" style="70" bestFit="1" customWidth="1"/>
    <col min="264" max="264" width="0.7109375" style="70" customWidth="1"/>
    <col min="265" max="512" width="9.140625" style="70"/>
    <col min="513" max="513" width="6.28515625" style="70" customWidth="1"/>
    <col min="514" max="514" width="10.42578125" style="70" customWidth="1"/>
    <col min="515" max="515" width="11.42578125" style="70" customWidth="1"/>
    <col min="516" max="516" width="11" style="70" customWidth="1"/>
    <col min="517" max="517" width="1.5703125" style="70" customWidth="1"/>
    <col min="518" max="518" width="20.28515625" style="70" customWidth="1"/>
    <col min="519" max="519" width="10" style="70" bestFit="1" customWidth="1"/>
    <col min="520" max="520" width="0.7109375" style="70" customWidth="1"/>
    <col min="521" max="768" width="9.140625" style="70"/>
    <col min="769" max="769" width="6.28515625" style="70" customWidth="1"/>
    <col min="770" max="770" width="10.42578125" style="70" customWidth="1"/>
    <col min="771" max="771" width="11.42578125" style="70" customWidth="1"/>
    <col min="772" max="772" width="11" style="70" customWidth="1"/>
    <col min="773" max="773" width="1.5703125" style="70" customWidth="1"/>
    <col min="774" max="774" width="20.28515625" style="70" customWidth="1"/>
    <col min="775" max="775" width="10" style="70" bestFit="1" customWidth="1"/>
    <col min="776" max="776" width="0.7109375" style="70" customWidth="1"/>
    <col min="777" max="1024" width="9.140625" style="70"/>
    <col min="1025" max="1025" width="6.28515625" style="70" customWidth="1"/>
    <col min="1026" max="1026" width="10.42578125" style="70" customWidth="1"/>
    <col min="1027" max="1027" width="11.42578125" style="70" customWidth="1"/>
    <col min="1028" max="1028" width="11" style="70" customWidth="1"/>
    <col min="1029" max="1029" width="1.5703125" style="70" customWidth="1"/>
    <col min="1030" max="1030" width="20.28515625" style="70" customWidth="1"/>
    <col min="1031" max="1031" width="10" style="70" bestFit="1" customWidth="1"/>
    <col min="1032" max="1032" width="0.7109375" style="70" customWidth="1"/>
    <col min="1033" max="1280" width="9.140625" style="70"/>
    <col min="1281" max="1281" width="6.28515625" style="70" customWidth="1"/>
    <col min="1282" max="1282" width="10.42578125" style="70" customWidth="1"/>
    <col min="1283" max="1283" width="11.42578125" style="70" customWidth="1"/>
    <col min="1284" max="1284" width="11" style="70" customWidth="1"/>
    <col min="1285" max="1285" width="1.5703125" style="70" customWidth="1"/>
    <col min="1286" max="1286" width="20.28515625" style="70" customWidth="1"/>
    <col min="1287" max="1287" width="10" style="70" bestFit="1" customWidth="1"/>
    <col min="1288" max="1288" width="0.7109375" style="70" customWidth="1"/>
    <col min="1289" max="1536" width="9.140625" style="70"/>
    <col min="1537" max="1537" width="6.28515625" style="70" customWidth="1"/>
    <col min="1538" max="1538" width="10.42578125" style="70" customWidth="1"/>
    <col min="1539" max="1539" width="11.42578125" style="70" customWidth="1"/>
    <col min="1540" max="1540" width="11" style="70" customWidth="1"/>
    <col min="1541" max="1541" width="1.5703125" style="70" customWidth="1"/>
    <col min="1542" max="1542" width="20.28515625" style="70" customWidth="1"/>
    <col min="1543" max="1543" width="10" style="70" bestFit="1" customWidth="1"/>
    <col min="1544" max="1544" width="0.7109375" style="70" customWidth="1"/>
    <col min="1545" max="1792" width="9.140625" style="70"/>
    <col min="1793" max="1793" width="6.28515625" style="70" customWidth="1"/>
    <col min="1794" max="1794" width="10.42578125" style="70" customWidth="1"/>
    <col min="1795" max="1795" width="11.42578125" style="70" customWidth="1"/>
    <col min="1796" max="1796" width="11" style="70" customWidth="1"/>
    <col min="1797" max="1797" width="1.5703125" style="70" customWidth="1"/>
    <col min="1798" max="1798" width="20.28515625" style="70" customWidth="1"/>
    <col min="1799" max="1799" width="10" style="70" bestFit="1" customWidth="1"/>
    <col min="1800" max="1800" width="0.7109375" style="70" customWidth="1"/>
    <col min="1801" max="2048" width="9.140625" style="70"/>
    <col min="2049" max="2049" width="6.28515625" style="70" customWidth="1"/>
    <col min="2050" max="2050" width="10.42578125" style="70" customWidth="1"/>
    <col min="2051" max="2051" width="11.42578125" style="70" customWidth="1"/>
    <col min="2052" max="2052" width="11" style="70" customWidth="1"/>
    <col min="2053" max="2053" width="1.5703125" style="70" customWidth="1"/>
    <col min="2054" max="2054" width="20.28515625" style="70" customWidth="1"/>
    <col min="2055" max="2055" width="10" style="70" bestFit="1" customWidth="1"/>
    <col min="2056" max="2056" width="0.7109375" style="70" customWidth="1"/>
    <col min="2057" max="2304" width="9.140625" style="70"/>
    <col min="2305" max="2305" width="6.28515625" style="70" customWidth="1"/>
    <col min="2306" max="2306" width="10.42578125" style="70" customWidth="1"/>
    <col min="2307" max="2307" width="11.42578125" style="70" customWidth="1"/>
    <col min="2308" max="2308" width="11" style="70" customWidth="1"/>
    <col min="2309" max="2309" width="1.5703125" style="70" customWidth="1"/>
    <col min="2310" max="2310" width="20.28515625" style="70" customWidth="1"/>
    <col min="2311" max="2311" width="10" style="70" bestFit="1" customWidth="1"/>
    <col min="2312" max="2312" width="0.7109375" style="70" customWidth="1"/>
    <col min="2313" max="2560" width="9.140625" style="70"/>
    <col min="2561" max="2561" width="6.28515625" style="70" customWidth="1"/>
    <col min="2562" max="2562" width="10.42578125" style="70" customWidth="1"/>
    <col min="2563" max="2563" width="11.42578125" style="70" customWidth="1"/>
    <col min="2564" max="2564" width="11" style="70" customWidth="1"/>
    <col min="2565" max="2565" width="1.5703125" style="70" customWidth="1"/>
    <col min="2566" max="2566" width="20.28515625" style="70" customWidth="1"/>
    <col min="2567" max="2567" width="10" style="70" bestFit="1" customWidth="1"/>
    <col min="2568" max="2568" width="0.7109375" style="70" customWidth="1"/>
    <col min="2569" max="2816" width="9.140625" style="70"/>
    <col min="2817" max="2817" width="6.28515625" style="70" customWidth="1"/>
    <col min="2818" max="2818" width="10.42578125" style="70" customWidth="1"/>
    <col min="2819" max="2819" width="11.42578125" style="70" customWidth="1"/>
    <col min="2820" max="2820" width="11" style="70" customWidth="1"/>
    <col min="2821" max="2821" width="1.5703125" style="70" customWidth="1"/>
    <col min="2822" max="2822" width="20.28515625" style="70" customWidth="1"/>
    <col min="2823" max="2823" width="10" style="70" bestFit="1" customWidth="1"/>
    <col min="2824" max="2824" width="0.7109375" style="70" customWidth="1"/>
    <col min="2825" max="3072" width="9.140625" style="70"/>
    <col min="3073" max="3073" width="6.28515625" style="70" customWidth="1"/>
    <col min="3074" max="3074" width="10.42578125" style="70" customWidth="1"/>
    <col min="3075" max="3075" width="11.42578125" style="70" customWidth="1"/>
    <col min="3076" max="3076" width="11" style="70" customWidth="1"/>
    <col min="3077" max="3077" width="1.5703125" style="70" customWidth="1"/>
    <col min="3078" max="3078" width="20.28515625" style="70" customWidth="1"/>
    <col min="3079" max="3079" width="10" style="70" bestFit="1" customWidth="1"/>
    <col min="3080" max="3080" width="0.7109375" style="70" customWidth="1"/>
    <col min="3081" max="3328" width="9.140625" style="70"/>
    <col min="3329" max="3329" width="6.28515625" style="70" customWidth="1"/>
    <col min="3330" max="3330" width="10.42578125" style="70" customWidth="1"/>
    <col min="3331" max="3331" width="11.42578125" style="70" customWidth="1"/>
    <col min="3332" max="3332" width="11" style="70" customWidth="1"/>
    <col min="3333" max="3333" width="1.5703125" style="70" customWidth="1"/>
    <col min="3334" max="3334" width="20.28515625" style="70" customWidth="1"/>
    <col min="3335" max="3335" width="10" style="70" bestFit="1" customWidth="1"/>
    <col min="3336" max="3336" width="0.7109375" style="70" customWidth="1"/>
    <col min="3337" max="3584" width="9.140625" style="70"/>
    <col min="3585" max="3585" width="6.28515625" style="70" customWidth="1"/>
    <col min="3586" max="3586" width="10.42578125" style="70" customWidth="1"/>
    <col min="3587" max="3587" width="11.42578125" style="70" customWidth="1"/>
    <col min="3588" max="3588" width="11" style="70" customWidth="1"/>
    <col min="3589" max="3589" width="1.5703125" style="70" customWidth="1"/>
    <col min="3590" max="3590" width="20.28515625" style="70" customWidth="1"/>
    <col min="3591" max="3591" width="10" style="70" bestFit="1" customWidth="1"/>
    <col min="3592" max="3592" width="0.7109375" style="70" customWidth="1"/>
    <col min="3593" max="3840" width="9.140625" style="70"/>
    <col min="3841" max="3841" width="6.28515625" style="70" customWidth="1"/>
    <col min="3842" max="3842" width="10.42578125" style="70" customWidth="1"/>
    <col min="3843" max="3843" width="11.42578125" style="70" customWidth="1"/>
    <col min="3844" max="3844" width="11" style="70" customWidth="1"/>
    <col min="3845" max="3845" width="1.5703125" style="70" customWidth="1"/>
    <col min="3846" max="3846" width="20.28515625" style="70" customWidth="1"/>
    <col min="3847" max="3847" width="10" style="70" bestFit="1" customWidth="1"/>
    <col min="3848" max="3848" width="0.7109375" style="70" customWidth="1"/>
    <col min="3849" max="4096" width="9.140625" style="70"/>
    <col min="4097" max="4097" width="6.28515625" style="70" customWidth="1"/>
    <col min="4098" max="4098" width="10.42578125" style="70" customWidth="1"/>
    <col min="4099" max="4099" width="11.42578125" style="70" customWidth="1"/>
    <col min="4100" max="4100" width="11" style="70" customWidth="1"/>
    <col min="4101" max="4101" width="1.5703125" style="70" customWidth="1"/>
    <col min="4102" max="4102" width="20.28515625" style="70" customWidth="1"/>
    <col min="4103" max="4103" width="10" style="70" bestFit="1" customWidth="1"/>
    <col min="4104" max="4104" width="0.7109375" style="70" customWidth="1"/>
    <col min="4105" max="4352" width="9.140625" style="70"/>
    <col min="4353" max="4353" width="6.28515625" style="70" customWidth="1"/>
    <col min="4354" max="4354" width="10.42578125" style="70" customWidth="1"/>
    <col min="4355" max="4355" width="11.42578125" style="70" customWidth="1"/>
    <col min="4356" max="4356" width="11" style="70" customWidth="1"/>
    <col min="4357" max="4357" width="1.5703125" style="70" customWidth="1"/>
    <col min="4358" max="4358" width="20.28515625" style="70" customWidth="1"/>
    <col min="4359" max="4359" width="10" style="70" bestFit="1" customWidth="1"/>
    <col min="4360" max="4360" width="0.7109375" style="70" customWidth="1"/>
    <col min="4361" max="4608" width="9.140625" style="70"/>
    <col min="4609" max="4609" width="6.28515625" style="70" customWidth="1"/>
    <col min="4610" max="4610" width="10.42578125" style="70" customWidth="1"/>
    <col min="4611" max="4611" width="11.42578125" style="70" customWidth="1"/>
    <col min="4612" max="4612" width="11" style="70" customWidth="1"/>
    <col min="4613" max="4613" width="1.5703125" style="70" customWidth="1"/>
    <col min="4614" max="4614" width="20.28515625" style="70" customWidth="1"/>
    <col min="4615" max="4615" width="10" style="70" bestFit="1" customWidth="1"/>
    <col min="4616" max="4616" width="0.7109375" style="70" customWidth="1"/>
    <col min="4617" max="4864" width="9.140625" style="70"/>
    <col min="4865" max="4865" width="6.28515625" style="70" customWidth="1"/>
    <col min="4866" max="4866" width="10.42578125" style="70" customWidth="1"/>
    <col min="4867" max="4867" width="11.42578125" style="70" customWidth="1"/>
    <col min="4868" max="4868" width="11" style="70" customWidth="1"/>
    <col min="4869" max="4869" width="1.5703125" style="70" customWidth="1"/>
    <col min="4870" max="4870" width="20.28515625" style="70" customWidth="1"/>
    <col min="4871" max="4871" width="10" style="70" bestFit="1" customWidth="1"/>
    <col min="4872" max="4872" width="0.7109375" style="70" customWidth="1"/>
    <col min="4873" max="5120" width="9.140625" style="70"/>
    <col min="5121" max="5121" width="6.28515625" style="70" customWidth="1"/>
    <col min="5122" max="5122" width="10.42578125" style="70" customWidth="1"/>
    <col min="5123" max="5123" width="11.42578125" style="70" customWidth="1"/>
    <col min="5124" max="5124" width="11" style="70" customWidth="1"/>
    <col min="5125" max="5125" width="1.5703125" style="70" customWidth="1"/>
    <col min="5126" max="5126" width="20.28515625" style="70" customWidth="1"/>
    <col min="5127" max="5127" width="10" style="70" bestFit="1" customWidth="1"/>
    <col min="5128" max="5128" width="0.7109375" style="70" customWidth="1"/>
    <col min="5129" max="5376" width="9.140625" style="70"/>
    <col min="5377" max="5377" width="6.28515625" style="70" customWidth="1"/>
    <col min="5378" max="5378" width="10.42578125" style="70" customWidth="1"/>
    <col min="5379" max="5379" width="11.42578125" style="70" customWidth="1"/>
    <col min="5380" max="5380" width="11" style="70" customWidth="1"/>
    <col min="5381" max="5381" width="1.5703125" style="70" customWidth="1"/>
    <col min="5382" max="5382" width="20.28515625" style="70" customWidth="1"/>
    <col min="5383" max="5383" width="10" style="70" bestFit="1" customWidth="1"/>
    <col min="5384" max="5384" width="0.7109375" style="70" customWidth="1"/>
    <col min="5385" max="5632" width="9.140625" style="70"/>
    <col min="5633" max="5633" width="6.28515625" style="70" customWidth="1"/>
    <col min="5634" max="5634" width="10.42578125" style="70" customWidth="1"/>
    <col min="5635" max="5635" width="11.42578125" style="70" customWidth="1"/>
    <col min="5636" max="5636" width="11" style="70" customWidth="1"/>
    <col min="5637" max="5637" width="1.5703125" style="70" customWidth="1"/>
    <col min="5638" max="5638" width="20.28515625" style="70" customWidth="1"/>
    <col min="5639" max="5639" width="10" style="70" bestFit="1" customWidth="1"/>
    <col min="5640" max="5640" width="0.7109375" style="70" customWidth="1"/>
    <col min="5641" max="5888" width="9.140625" style="70"/>
    <col min="5889" max="5889" width="6.28515625" style="70" customWidth="1"/>
    <col min="5890" max="5890" width="10.42578125" style="70" customWidth="1"/>
    <col min="5891" max="5891" width="11.42578125" style="70" customWidth="1"/>
    <col min="5892" max="5892" width="11" style="70" customWidth="1"/>
    <col min="5893" max="5893" width="1.5703125" style="70" customWidth="1"/>
    <col min="5894" max="5894" width="20.28515625" style="70" customWidth="1"/>
    <col min="5895" max="5895" width="10" style="70" bestFit="1" customWidth="1"/>
    <col min="5896" max="5896" width="0.7109375" style="70" customWidth="1"/>
    <col min="5897" max="6144" width="9.140625" style="70"/>
    <col min="6145" max="6145" width="6.28515625" style="70" customWidth="1"/>
    <col min="6146" max="6146" width="10.42578125" style="70" customWidth="1"/>
    <col min="6147" max="6147" width="11.42578125" style="70" customWidth="1"/>
    <col min="6148" max="6148" width="11" style="70" customWidth="1"/>
    <col min="6149" max="6149" width="1.5703125" style="70" customWidth="1"/>
    <col min="6150" max="6150" width="20.28515625" style="70" customWidth="1"/>
    <col min="6151" max="6151" width="10" style="70" bestFit="1" customWidth="1"/>
    <col min="6152" max="6152" width="0.7109375" style="70" customWidth="1"/>
    <col min="6153" max="6400" width="9.140625" style="70"/>
    <col min="6401" max="6401" width="6.28515625" style="70" customWidth="1"/>
    <col min="6402" max="6402" width="10.42578125" style="70" customWidth="1"/>
    <col min="6403" max="6403" width="11.42578125" style="70" customWidth="1"/>
    <col min="6404" max="6404" width="11" style="70" customWidth="1"/>
    <col min="6405" max="6405" width="1.5703125" style="70" customWidth="1"/>
    <col min="6406" max="6406" width="20.28515625" style="70" customWidth="1"/>
    <col min="6407" max="6407" width="10" style="70" bestFit="1" customWidth="1"/>
    <col min="6408" max="6408" width="0.7109375" style="70" customWidth="1"/>
    <col min="6409" max="6656" width="9.140625" style="70"/>
    <col min="6657" max="6657" width="6.28515625" style="70" customWidth="1"/>
    <col min="6658" max="6658" width="10.42578125" style="70" customWidth="1"/>
    <col min="6659" max="6659" width="11.42578125" style="70" customWidth="1"/>
    <col min="6660" max="6660" width="11" style="70" customWidth="1"/>
    <col min="6661" max="6661" width="1.5703125" style="70" customWidth="1"/>
    <col min="6662" max="6662" width="20.28515625" style="70" customWidth="1"/>
    <col min="6663" max="6663" width="10" style="70" bestFit="1" customWidth="1"/>
    <col min="6664" max="6664" width="0.7109375" style="70" customWidth="1"/>
    <col min="6665" max="6912" width="9.140625" style="70"/>
    <col min="6913" max="6913" width="6.28515625" style="70" customWidth="1"/>
    <col min="6914" max="6914" width="10.42578125" style="70" customWidth="1"/>
    <col min="6915" max="6915" width="11.42578125" style="70" customWidth="1"/>
    <col min="6916" max="6916" width="11" style="70" customWidth="1"/>
    <col min="6917" max="6917" width="1.5703125" style="70" customWidth="1"/>
    <col min="6918" max="6918" width="20.28515625" style="70" customWidth="1"/>
    <col min="6919" max="6919" width="10" style="70" bestFit="1" customWidth="1"/>
    <col min="6920" max="6920" width="0.7109375" style="70" customWidth="1"/>
    <col min="6921" max="7168" width="9.140625" style="70"/>
    <col min="7169" max="7169" width="6.28515625" style="70" customWidth="1"/>
    <col min="7170" max="7170" width="10.42578125" style="70" customWidth="1"/>
    <col min="7171" max="7171" width="11.42578125" style="70" customWidth="1"/>
    <col min="7172" max="7172" width="11" style="70" customWidth="1"/>
    <col min="7173" max="7173" width="1.5703125" style="70" customWidth="1"/>
    <col min="7174" max="7174" width="20.28515625" style="70" customWidth="1"/>
    <col min="7175" max="7175" width="10" style="70" bestFit="1" customWidth="1"/>
    <col min="7176" max="7176" width="0.7109375" style="70" customWidth="1"/>
    <col min="7177" max="7424" width="9.140625" style="70"/>
    <col min="7425" max="7425" width="6.28515625" style="70" customWidth="1"/>
    <col min="7426" max="7426" width="10.42578125" style="70" customWidth="1"/>
    <col min="7427" max="7427" width="11.42578125" style="70" customWidth="1"/>
    <col min="7428" max="7428" width="11" style="70" customWidth="1"/>
    <col min="7429" max="7429" width="1.5703125" style="70" customWidth="1"/>
    <col min="7430" max="7430" width="20.28515625" style="70" customWidth="1"/>
    <col min="7431" max="7431" width="10" style="70" bestFit="1" customWidth="1"/>
    <col min="7432" max="7432" width="0.7109375" style="70" customWidth="1"/>
    <col min="7433" max="7680" width="9.140625" style="70"/>
    <col min="7681" max="7681" width="6.28515625" style="70" customWidth="1"/>
    <col min="7682" max="7682" width="10.42578125" style="70" customWidth="1"/>
    <col min="7683" max="7683" width="11.42578125" style="70" customWidth="1"/>
    <col min="7684" max="7684" width="11" style="70" customWidth="1"/>
    <col min="7685" max="7685" width="1.5703125" style="70" customWidth="1"/>
    <col min="7686" max="7686" width="20.28515625" style="70" customWidth="1"/>
    <col min="7687" max="7687" width="10" style="70" bestFit="1" customWidth="1"/>
    <col min="7688" max="7688" width="0.7109375" style="70" customWidth="1"/>
    <col min="7689" max="7936" width="9.140625" style="70"/>
    <col min="7937" max="7937" width="6.28515625" style="70" customWidth="1"/>
    <col min="7938" max="7938" width="10.42578125" style="70" customWidth="1"/>
    <col min="7939" max="7939" width="11.42578125" style="70" customWidth="1"/>
    <col min="7940" max="7940" width="11" style="70" customWidth="1"/>
    <col min="7941" max="7941" width="1.5703125" style="70" customWidth="1"/>
    <col min="7942" max="7942" width="20.28515625" style="70" customWidth="1"/>
    <col min="7943" max="7943" width="10" style="70" bestFit="1" customWidth="1"/>
    <col min="7944" max="7944" width="0.7109375" style="70" customWidth="1"/>
    <col min="7945" max="8192" width="9.140625" style="70"/>
    <col min="8193" max="8193" width="6.28515625" style="70" customWidth="1"/>
    <col min="8194" max="8194" width="10.42578125" style="70" customWidth="1"/>
    <col min="8195" max="8195" width="11.42578125" style="70" customWidth="1"/>
    <col min="8196" max="8196" width="11" style="70" customWidth="1"/>
    <col min="8197" max="8197" width="1.5703125" style="70" customWidth="1"/>
    <col min="8198" max="8198" width="20.28515625" style="70" customWidth="1"/>
    <col min="8199" max="8199" width="10" style="70" bestFit="1" customWidth="1"/>
    <col min="8200" max="8200" width="0.7109375" style="70" customWidth="1"/>
    <col min="8201" max="8448" width="9.140625" style="70"/>
    <col min="8449" max="8449" width="6.28515625" style="70" customWidth="1"/>
    <col min="8450" max="8450" width="10.42578125" style="70" customWidth="1"/>
    <col min="8451" max="8451" width="11.42578125" style="70" customWidth="1"/>
    <col min="8452" max="8452" width="11" style="70" customWidth="1"/>
    <col min="8453" max="8453" width="1.5703125" style="70" customWidth="1"/>
    <col min="8454" max="8454" width="20.28515625" style="70" customWidth="1"/>
    <col min="8455" max="8455" width="10" style="70" bestFit="1" customWidth="1"/>
    <col min="8456" max="8456" width="0.7109375" style="70" customWidth="1"/>
    <col min="8457" max="8704" width="9.140625" style="70"/>
    <col min="8705" max="8705" width="6.28515625" style="70" customWidth="1"/>
    <col min="8706" max="8706" width="10.42578125" style="70" customWidth="1"/>
    <col min="8707" max="8707" width="11.42578125" style="70" customWidth="1"/>
    <col min="8708" max="8708" width="11" style="70" customWidth="1"/>
    <col min="8709" max="8709" width="1.5703125" style="70" customWidth="1"/>
    <col min="8710" max="8710" width="20.28515625" style="70" customWidth="1"/>
    <col min="8711" max="8711" width="10" style="70" bestFit="1" customWidth="1"/>
    <col min="8712" max="8712" width="0.7109375" style="70" customWidth="1"/>
    <col min="8713" max="8960" width="9.140625" style="70"/>
    <col min="8961" max="8961" width="6.28515625" style="70" customWidth="1"/>
    <col min="8962" max="8962" width="10.42578125" style="70" customWidth="1"/>
    <col min="8963" max="8963" width="11.42578125" style="70" customWidth="1"/>
    <col min="8964" max="8964" width="11" style="70" customWidth="1"/>
    <col min="8965" max="8965" width="1.5703125" style="70" customWidth="1"/>
    <col min="8966" max="8966" width="20.28515625" style="70" customWidth="1"/>
    <col min="8967" max="8967" width="10" style="70" bestFit="1" customWidth="1"/>
    <col min="8968" max="8968" width="0.7109375" style="70" customWidth="1"/>
    <col min="8969" max="9216" width="9.140625" style="70"/>
    <col min="9217" max="9217" width="6.28515625" style="70" customWidth="1"/>
    <col min="9218" max="9218" width="10.42578125" style="70" customWidth="1"/>
    <col min="9219" max="9219" width="11.42578125" style="70" customWidth="1"/>
    <col min="9220" max="9220" width="11" style="70" customWidth="1"/>
    <col min="9221" max="9221" width="1.5703125" style="70" customWidth="1"/>
    <col min="9222" max="9222" width="20.28515625" style="70" customWidth="1"/>
    <col min="9223" max="9223" width="10" style="70" bestFit="1" customWidth="1"/>
    <col min="9224" max="9224" width="0.7109375" style="70" customWidth="1"/>
    <col min="9225" max="9472" width="9.140625" style="70"/>
    <col min="9473" max="9473" width="6.28515625" style="70" customWidth="1"/>
    <col min="9474" max="9474" width="10.42578125" style="70" customWidth="1"/>
    <col min="9475" max="9475" width="11.42578125" style="70" customWidth="1"/>
    <col min="9476" max="9476" width="11" style="70" customWidth="1"/>
    <col min="9477" max="9477" width="1.5703125" style="70" customWidth="1"/>
    <col min="9478" max="9478" width="20.28515625" style="70" customWidth="1"/>
    <col min="9479" max="9479" width="10" style="70" bestFit="1" customWidth="1"/>
    <col min="9480" max="9480" width="0.7109375" style="70" customWidth="1"/>
    <col min="9481" max="9728" width="9.140625" style="70"/>
    <col min="9729" max="9729" width="6.28515625" style="70" customWidth="1"/>
    <col min="9730" max="9730" width="10.42578125" style="70" customWidth="1"/>
    <col min="9731" max="9731" width="11.42578125" style="70" customWidth="1"/>
    <col min="9732" max="9732" width="11" style="70" customWidth="1"/>
    <col min="9733" max="9733" width="1.5703125" style="70" customWidth="1"/>
    <col min="9734" max="9734" width="20.28515625" style="70" customWidth="1"/>
    <col min="9735" max="9735" width="10" style="70" bestFit="1" customWidth="1"/>
    <col min="9736" max="9736" width="0.7109375" style="70" customWidth="1"/>
    <col min="9737" max="9984" width="9.140625" style="70"/>
    <col min="9985" max="9985" width="6.28515625" style="70" customWidth="1"/>
    <col min="9986" max="9986" width="10.42578125" style="70" customWidth="1"/>
    <col min="9987" max="9987" width="11.42578125" style="70" customWidth="1"/>
    <col min="9988" max="9988" width="11" style="70" customWidth="1"/>
    <col min="9989" max="9989" width="1.5703125" style="70" customWidth="1"/>
    <col min="9990" max="9990" width="20.28515625" style="70" customWidth="1"/>
    <col min="9991" max="9991" width="10" style="70" bestFit="1" customWidth="1"/>
    <col min="9992" max="9992" width="0.7109375" style="70" customWidth="1"/>
    <col min="9993" max="10240" width="9.140625" style="70"/>
    <col min="10241" max="10241" width="6.28515625" style="70" customWidth="1"/>
    <col min="10242" max="10242" width="10.42578125" style="70" customWidth="1"/>
    <col min="10243" max="10243" width="11.42578125" style="70" customWidth="1"/>
    <col min="10244" max="10244" width="11" style="70" customWidth="1"/>
    <col min="10245" max="10245" width="1.5703125" style="70" customWidth="1"/>
    <col min="10246" max="10246" width="20.28515625" style="70" customWidth="1"/>
    <col min="10247" max="10247" width="10" style="70" bestFit="1" customWidth="1"/>
    <col min="10248" max="10248" width="0.7109375" style="70" customWidth="1"/>
    <col min="10249" max="10496" width="9.140625" style="70"/>
    <col min="10497" max="10497" width="6.28515625" style="70" customWidth="1"/>
    <col min="10498" max="10498" width="10.42578125" style="70" customWidth="1"/>
    <col min="10499" max="10499" width="11.42578125" style="70" customWidth="1"/>
    <col min="10500" max="10500" width="11" style="70" customWidth="1"/>
    <col min="10501" max="10501" width="1.5703125" style="70" customWidth="1"/>
    <col min="10502" max="10502" width="20.28515625" style="70" customWidth="1"/>
    <col min="10503" max="10503" width="10" style="70" bestFit="1" customWidth="1"/>
    <col min="10504" max="10504" width="0.7109375" style="70" customWidth="1"/>
    <col min="10505" max="10752" width="9.140625" style="70"/>
    <col min="10753" max="10753" width="6.28515625" style="70" customWidth="1"/>
    <col min="10754" max="10754" width="10.42578125" style="70" customWidth="1"/>
    <col min="10755" max="10755" width="11.42578125" style="70" customWidth="1"/>
    <col min="10756" max="10756" width="11" style="70" customWidth="1"/>
    <col min="10757" max="10757" width="1.5703125" style="70" customWidth="1"/>
    <col min="10758" max="10758" width="20.28515625" style="70" customWidth="1"/>
    <col min="10759" max="10759" width="10" style="70" bestFit="1" customWidth="1"/>
    <col min="10760" max="10760" width="0.7109375" style="70" customWidth="1"/>
    <col min="10761" max="11008" width="9.140625" style="70"/>
    <col min="11009" max="11009" width="6.28515625" style="70" customWidth="1"/>
    <col min="11010" max="11010" width="10.42578125" style="70" customWidth="1"/>
    <col min="11011" max="11011" width="11.42578125" style="70" customWidth="1"/>
    <col min="11012" max="11012" width="11" style="70" customWidth="1"/>
    <col min="11013" max="11013" width="1.5703125" style="70" customWidth="1"/>
    <col min="11014" max="11014" width="20.28515625" style="70" customWidth="1"/>
    <col min="11015" max="11015" width="10" style="70" bestFit="1" customWidth="1"/>
    <col min="11016" max="11016" width="0.7109375" style="70" customWidth="1"/>
    <col min="11017" max="11264" width="9.140625" style="70"/>
    <col min="11265" max="11265" width="6.28515625" style="70" customWidth="1"/>
    <col min="11266" max="11266" width="10.42578125" style="70" customWidth="1"/>
    <col min="11267" max="11267" width="11.42578125" style="70" customWidth="1"/>
    <col min="11268" max="11268" width="11" style="70" customWidth="1"/>
    <col min="11269" max="11269" width="1.5703125" style="70" customWidth="1"/>
    <col min="11270" max="11270" width="20.28515625" style="70" customWidth="1"/>
    <col min="11271" max="11271" width="10" style="70" bestFit="1" customWidth="1"/>
    <col min="11272" max="11272" width="0.7109375" style="70" customWidth="1"/>
    <col min="11273" max="11520" width="9.140625" style="70"/>
    <col min="11521" max="11521" width="6.28515625" style="70" customWidth="1"/>
    <col min="11522" max="11522" width="10.42578125" style="70" customWidth="1"/>
    <col min="11523" max="11523" width="11.42578125" style="70" customWidth="1"/>
    <col min="11524" max="11524" width="11" style="70" customWidth="1"/>
    <col min="11525" max="11525" width="1.5703125" style="70" customWidth="1"/>
    <col min="11526" max="11526" width="20.28515625" style="70" customWidth="1"/>
    <col min="11527" max="11527" width="10" style="70" bestFit="1" customWidth="1"/>
    <col min="11528" max="11528" width="0.7109375" style="70" customWidth="1"/>
    <col min="11529" max="11776" width="9.140625" style="70"/>
    <col min="11777" max="11777" width="6.28515625" style="70" customWidth="1"/>
    <col min="11778" max="11778" width="10.42578125" style="70" customWidth="1"/>
    <col min="11779" max="11779" width="11.42578125" style="70" customWidth="1"/>
    <col min="11780" max="11780" width="11" style="70" customWidth="1"/>
    <col min="11781" max="11781" width="1.5703125" style="70" customWidth="1"/>
    <col min="11782" max="11782" width="20.28515625" style="70" customWidth="1"/>
    <col min="11783" max="11783" width="10" style="70" bestFit="1" customWidth="1"/>
    <col min="11784" max="11784" width="0.7109375" style="70" customWidth="1"/>
    <col min="11785" max="12032" width="9.140625" style="70"/>
    <col min="12033" max="12033" width="6.28515625" style="70" customWidth="1"/>
    <col min="12034" max="12034" width="10.42578125" style="70" customWidth="1"/>
    <col min="12035" max="12035" width="11.42578125" style="70" customWidth="1"/>
    <col min="12036" max="12036" width="11" style="70" customWidth="1"/>
    <col min="12037" max="12037" width="1.5703125" style="70" customWidth="1"/>
    <col min="12038" max="12038" width="20.28515625" style="70" customWidth="1"/>
    <col min="12039" max="12039" width="10" style="70" bestFit="1" customWidth="1"/>
    <col min="12040" max="12040" width="0.7109375" style="70" customWidth="1"/>
    <col min="12041" max="12288" width="9.140625" style="70"/>
    <col min="12289" max="12289" width="6.28515625" style="70" customWidth="1"/>
    <col min="12290" max="12290" width="10.42578125" style="70" customWidth="1"/>
    <col min="12291" max="12291" width="11.42578125" style="70" customWidth="1"/>
    <col min="12292" max="12292" width="11" style="70" customWidth="1"/>
    <col min="12293" max="12293" width="1.5703125" style="70" customWidth="1"/>
    <col min="12294" max="12294" width="20.28515625" style="70" customWidth="1"/>
    <col min="12295" max="12295" width="10" style="70" bestFit="1" customWidth="1"/>
    <col min="12296" max="12296" width="0.7109375" style="70" customWidth="1"/>
    <col min="12297" max="12544" width="9.140625" style="70"/>
    <col min="12545" max="12545" width="6.28515625" style="70" customWidth="1"/>
    <col min="12546" max="12546" width="10.42578125" style="70" customWidth="1"/>
    <col min="12547" max="12547" width="11.42578125" style="70" customWidth="1"/>
    <col min="12548" max="12548" width="11" style="70" customWidth="1"/>
    <col min="12549" max="12549" width="1.5703125" style="70" customWidth="1"/>
    <col min="12550" max="12550" width="20.28515625" style="70" customWidth="1"/>
    <col min="12551" max="12551" width="10" style="70" bestFit="1" customWidth="1"/>
    <col min="12552" max="12552" width="0.7109375" style="70" customWidth="1"/>
    <col min="12553" max="12800" width="9.140625" style="70"/>
    <col min="12801" max="12801" width="6.28515625" style="70" customWidth="1"/>
    <col min="12802" max="12802" width="10.42578125" style="70" customWidth="1"/>
    <col min="12803" max="12803" width="11.42578125" style="70" customWidth="1"/>
    <col min="12804" max="12804" width="11" style="70" customWidth="1"/>
    <col min="12805" max="12805" width="1.5703125" style="70" customWidth="1"/>
    <col min="12806" max="12806" width="20.28515625" style="70" customWidth="1"/>
    <col min="12807" max="12807" width="10" style="70" bestFit="1" customWidth="1"/>
    <col min="12808" max="12808" width="0.7109375" style="70" customWidth="1"/>
    <col min="12809" max="13056" width="9.140625" style="70"/>
    <col min="13057" max="13057" width="6.28515625" style="70" customWidth="1"/>
    <col min="13058" max="13058" width="10.42578125" style="70" customWidth="1"/>
    <col min="13059" max="13059" width="11.42578125" style="70" customWidth="1"/>
    <col min="13060" max="13060" width="11" style="70" customWidth="1"/>
    <col min="13061" max="13061" width="1.5703125" style="70" customWidth="1"/>
    <col min="13062" max="13062" width="20.28515625" style="70" customWidth="1"/>
    <col min="13063" max="13063" width="10" style="70" bestFit="1" customWidth="1"/>
    <col min="13064" max="13064" width="0.7109375" style="70" customWidth="1"/>
    <col min="13065" max="13312" width="9.140625" style="70"/>
    <col min="13313" max="13313" width="6.28515625" style="70" customWidth="1"/>
    <col min="13314" max="13314" width="10.42578125" style="70" customWidth="1"/>
    <col min="13315" max="13315" width="11.42578125" style="70" customWidth="1"/>
    <col min="13316" max="13316" width="11" style="70" customWidth="1"/>
    <col min="13317" max="13317" width="1.5703125" style="70" customWidth="1"/>
    <col min="13318" max="13318" width="20.28515625" style="70" customWidth="1"/>
    <col min="13319" max="13319" width="10" style="70" bestFit="1" customWidth="1"/>
    <col min="13320" max="13320" width="0.7109375" style="70" customWidth="1"/>
    <col min="13321" max="13568" width="9.140625" style="70"/>
    <col min="13569" max="13569" width="6.28515625" style="70" customWidth="1"/>
    <col min="13570" max="13570" width="10.42578125" style="70" customWidth="1"/>
    <col min="13571" max="13571" width="11.42578125" style="70" customWidth="1"/>
    <col min="13572" max="13572" width="11" style="70" customWidth="1"/>
    <col min="13573" max="13573" width="1.5703125" style="70" customWidth="1"/>
    <col min="13574" max="13574" width="20.28515625" style="70" customWidth="1"/>
    <col min="13575" max="13575" width="10" style="70" bestFit="1" customWidth="1"/>
    <col min="13576" max="13576" width="0.7109375" style="70" customWidth="1"/>
    <col min="13577" max="13824" width="9.140625" style="70"/>
    <col min="13825" max="13825" width="6.28515625" style="70" customWidth="1"/>
    <col min="13826" max="13826" width="10.42578125" style="70" customWidth="1"/>
    <col min="13827" max="13827" width="11.42578125" style="70" customWidth="1"/>
    <col min="13828" max="13828" width="11" style="70" customWidth="1"/>
    <col min="13829" max="13829" width="1.5703125" style="70" customWidth="1"/>
    <col min="13830" max="13830" width="20.28515625" style="70" customWidth="1"/>
    <col min="13831" max="13831" width="10" style="70" bestFit="1" customWidth="1"/>
    <col min="13832" max="13832" width="0.7109375" style="70" customWidth="1"/>
    <col min="13833" max="14080" width="9.140625" style="70"/>
    <col min="14081" max="14081" width="6.28515625" style="70" customWidth="1"/>
    <col min="14082" max="14082" width="10.42578125" style="70" customWidth="1"/>
    <col min="14083" max="14083" width="11.42578125" style="70" customWidth="1"/>
    <col min="14084" max="14084" width="11" style="70" customWidth="1"/>
    <col min="14085" max="14085" width="1.5703125" style="70" customWidth="1"/>
    <col min="14086" max="14086" width="20.28515625" style="70" customWidth="1"/>
    <col min="14087" max="14087" width="10" style="70" bestFit="1" customWidth="1"/>
    <col min="14088" max="14088" width="0.7109375" style="70" customWidth="1"/>
    <col min="14089" max="14336" width="9.140625" style="70"/>
    <col min="14337" max="14337" width="6.28515625" style="70" customWidth="1"/>
    <col min="14338" max="14338" width="10.42578125" style="70" customWidth="1"/>
    <col min="14339" max="14339" width="11.42578125" style="70" customWidth="1"/>
    <col min="14340" max="14340" width="11" style="70" customWidth="1"/>
    <col min="14341" max="14341" width="1.5703125" style="70" customWidth="1"/>
    <col min="14342" max="14342" width="20.28515625" style="70" customWidth="1"/>
    <col min="14343" max="14343" width="10" style="70" bestFit="1" customWidth="1"/>
    <col min="14344" max="14344" width="0.7109375" style="70" customWidth="1"/>
    <col min="14345" max="14592" width="9.140625" style="70"/>
    <col min="14593" max="14593" width="6.28515625" style="70" customWidth="1"/>
    <col min="14594" max="14594" width="10.42578125" style="70" customWidth="1"/>
    <col min="14595" max="14595" width="11.42578125" style="70" customWidth="1"/>
    <col min="14596" max="14596" width="11" style="70" customWidth="1"/>
    <col min="14597" max="14597" width="1.5703125" style="70" customWidth="1"/>
    <col min="14598" max="14598" width="20.28515625" style="70" customWidth="1"/>
    <col min="14599" max="14599" width="10" style="70" bestFit="1" customWidth="1"/>
    <col min="14600" max="14600" width="0.7109375" style="70" customWidth="1"/>
    <col min="14601" max="14848" width="9.140625" style="70"/>
    <col min="14849" max="14849" width="6.28515625" style="70" customWidth="1"/>
    <col min="14850" max="14850" width="10.42578125" style="70" customWidth="1"/>
    <col min="14851" max="14851" width="11.42578125" style="70" customWidth="1"/>
    <col min="14852" max="14852" width="11" style="70" customWidth="1"/>
    <col min="14853" max="14853" width="1.5703125" style="70" customWidth="1"/>
    <col min="14854" max="14854" width="20.28515625" style="70" customWidth="1"/>
    <col min="14855" max="14855" width="10" style="70" bestFit="1" customWidth="1"/>
    <col min="14856" max="14856" width="0.7109375" style="70" customWidth="1"/>
    <col min="14857" max="15104" width="9.140625" style="70"/>
    <col min="15105" max="15105" width="6.28515625" style="70" customWidth="1"/>
    <col min="15106" max="15106" width="10.42578125" style="70" customWidth="1"/>
    <col min="15107" max="15107" width="11.42578125" style="70" customWidth="1"/>
    <col min="15108" max="15108" width="11" style="70" customWidth="1"/>
    <col min="15109" max="15109" width="1.5703125" style="70" customWidth="1"/>
    <col min="15110" max="15110" width="20.28515625" style="70" customWidth="1"/>
    <col min="15111" max="15111" width="10" style="70" bestFit="1" customWidth="1"/>
    <col min="15112" max="15112" width="0.7109375" style="70" customWidth="1"/>
    <col min="15113" max="15360" width="9.140625" style="70"/>
    <col min="15361" max="15361" width="6.28515625" style="70" customWidth="1"/>
    <col min="15362" max="15362" width="10.42578125" style="70" customWidth="1"/>
    <col min="15363" max="15363" width="11.42578125" style="70" customWidth="1"/>
    <col min="15364" max="15364" width="11" style="70" customWidth="1"/>
    <col min="15365" max="15365" width="1.5703125" style="70" customWidth="1"/>
    <col min="15366" max="15366" width="20.28515625" style="70" customWidth="1"/>
    <col min="15367" max="15367" width="10" style="70" bestFit="1" customWidth="1"/>
    <col min="15368" max="15368" width="0.7109375" style="70" customWidth="1"/>
    <col min="15369" max="15616" width="9.140625" style="70"/>
    <col min="15617" max="15617" width="6.28515625" style="70" customWidth="1"/>
    <col min="15618" max="15618" width="10.42578125" style="70" customWidth="1"/>
    <col min="15619" max="15619" width="11.42578125" style="70" customWidth="1"/>
    <col min="15620" max="15620" width="11" style="70" customWidth="1"/>
    <col min="15621" max="15621" width="1.5703125" style="70" customWidth="1"/>
    <col min="15622" max="15622" width="20.28515625" style="70" customWidth="1"/>
    <col min="15623" max="15623" width="10" style="70" bestFit="1" customWidth="1"/>
    <col min="15624" max="15624" width="0.7109375" style="70" customWidth="1"/>
    <col min="15625" max="15872" width="9.140625" style="70"/>
    <col min="15873" max="15873" width="6.28515625" style="70" customWidth="1"/>
    <col min="15874" max="15874" width="10.42578125" style="70" customWidth="1"/>
    <col min="15875" max="15875" width="11.42578125" style="70" customWidth="1"/>
    <col min="15876" max="15876" width="11" style="70" customWidth="1"/>
    <col min="15877" max="15877" width="1.5703125" style="70" customWidth="1"/>
    <col min="15878" max="15878" width="20.28515625" style="70" customWidth="1"/>
    <col min="15879" max="15879" width="10" style="70" bestFit="1" customWidth="1"/>
    <col min="15880" max="15880" width="0.7109375" style="70" customWidth="1"/>
    <col min="15881" max="16128" width="9.140625" style="70"/>
    <col min="16129" max="16129" width="6.28515625" style="70" customWidth="1"/>
    <col min="16130" max="16130" width="10.42578125" style="70" customWidth="1"/>
    <col min="16131" max="16131" width="11.42578125" style="70" customWidth="1"/>
    <col min="16132" max="16132" width="11" style="70" customWidth="1"/>
    <col min="16133" max="16133" width="1.5703125" style="70" customWidth="1"/>
    <col min="16134" max="16134" width="20.28515625" style="70" customWidth="1"/>
    <col min="16135" max="16135" width="10" style="70" bestFit="1" customWidth="1"/>
    <col min="16136" max="16136" width="0.7109375" style="70" customWidth="1"/>
    <col min="16137" max="16384" width="9.140625" style="70"/>
  </cols>
  <sheetData>
    <row r="1" spans="1:11" ht="30" customHeight="1" x14ac:dyDescent="0.2"/>
    <row r="2" spans="1:11" ht="20.25" customHeight="1" x14ac:dyDescent="0.2">
      <c r="B2" s="70" t="str">
        <f>+Инвойс!A5</f>
        <v>OOO UCHQIZIL FRUITS EXPORT</v>
      </c>
    </row>
    <row r="3" spans="1:11" ht="11.25" customHeight="1" x14ac:dyDescent="0.2">
      <c r="B3" s="70" t="str">
        <f>+Инвойс!A6</f>
        <v>РЕСПУБЛИКА УЗБЕКИСТАН. СУРХАНДАРЬИНСКАЯ ОБЛАСТЬ,</v>
      </c>
    </row>
    <row r="4" spans="1:11" ht="11.25" customHeight="1" x14ac:dyDescent="0.2">
      <c r="B4" s="70" t="str">
        <f>+Инвойс!A7</f>
        <v>ТЕРМИЗСКИЙ РАЙОН,ЯНГИХАЯТ МФЙ, УЛИЦА БОГИ ШАМОЛ, 20-А</v>
      </c>
    </row>
    <row r="5" spans="1:11" ht="12.75" customHeight="1" x14ac:dyDescent="0.2"/>
    <row r="6" spans="1:11" ht="26.25" customHeight="1" x14ac:dyDescent="0.2"/>
    <row r="7" spans="1:11" ht="12" customHeight="1" x14ac:dyDescent="0.2">
      <c r="B7" s="70" t="str">
        <f>+Инвойс!G14</f>
        <v>ООО «ГРИН ВОРЛД»</v>
      </c>
    </row>
    <row r="8" spans="1:11" x14ac:dyDescent="0.2">
      <c r="B8" s="70" t="str">
        <f>+Инвойс!G15</f>
        <v xml:space="preserve">454106, ЧЕЛЯБИНСКАЯ ОБЛАСТЬ, Г ЧЕЛЯБИНСК, </v>
      </c>
    </row>
    <row r="9" spans="1:11" ht="12.75" customHeight="1" x14ac:dyDescent="0.2">
      <c r="B9" s="70" t="str">
        <f>+Инвойс!G16</f>
        <v>УЛ ОСТРОВСКОГО, Д. 36, КВ. 176</v>
      </c>
    </row>
    <row r="10" spans="1:11" ht="13.5" customHeight="1" x14ac:dyDescent="0.2"/>
    <row r="11" spans="1:11" ht="3.75" hidden="1" customHeight="1" x14ac:dyDescent="0.2"/>
    <row r="12" spans="1:11" ht="24" customHeight="1" x14ac:dyDescent="0.2"/>
    <row r="13" spans="1:11" ht="9.75" customHeight="1" x14ac:dyDescent="0.2">
      <c r="A13" s="70" t="s">
        <v>90</v>
      </c>
      <c r="B13" s="112" t="s">
        <v>111</v>
      </c>
      <c r="C13" s="112"/>
      <c r="D13" s="112"/>
      <c r="E13" s="112"/>
      <c r="F13" s="112"/>
      <c r="G13" s="112"/>
      <c r="H13" s="112"/>
      <c r="I13" s="112"/>
      <c r="J13" s="112"/>
      <c r="K13" s="112"/>
    </row>
    <row r="14" spans="1:11" ht="11.25" customHeight="1" x14ac:dyDescent="0.2">
      <c r="A14" s="70" t="s">
        <v>91</v>
      </c>
      <c r="B14" s="70" t="s">
        <v>108</v>
      </c>
    </row>
    <row r="15" spans="1:11" ht="7.5" hidden="1" customHeight="1" x14ac:dyDescent="0.2"/>
    <row r="16" spans="1:11" ht="12" customHeight="1" x14ac:dyDescent="0.2">
      <c r="B16" s="70" t="s">
        <v>131</v>
      </c>
    </row>
    <row r="17" spans="1:9" ht="25.5" customHeight="1" x14ac:dyDescent="0.2"/>
    <row r="18" spans="1:9" ht="13.5" customHeight="1" x14ac:dyDescent="0.2">
      <c r="A18" s="70" t="s">
        <v>92</v>
      </c>
      <c r="B18" s="70" t="s">
        <v>113</v>
      </c>
    </row>
    <row r="19" spans="1:9" ht="1.5" hidden="1" customHeight="1" x14ac:dyDescent="0.2"/>
    <row r="20" spans="1:9" ht="12" hidden="1" customHeight="1" x14ac:dyDescent="0.2"/>
    <row r="21" spans="1:9" ht="11.25" hidden="1" customHeight="1" x14ac:dyDescent="0.2"/>
    <row r="22" spans="1:9" x14ac:dyDescent="0.2">
      <c r="A22" s="70" t="s">
        <v>93</v>
      </c>
      <c r="C22" s="70" t="str">
        <f>+Инвойс!F1</f>
        <v xml:space="preserve"> 29.08.2025г.</v>
      </c>
      <c r="F22" s="71"/>
      <c r="G22" s="71"/>
    </row>
    <row r="23" spans="1:9" ht="25.5" customHeight="1" x14ac:dyDescent="0.2">
      <c r="E23" s="72"/>
      <c r="F23" s="72"/>
      <c r="G23" s="72"/>
    </row>
    <row r="24" spans="1:9" ht="11.25" customHeight="1" x14ac:dyDescent="0.2">
      <c r="B24" s="156" t="str">
        <f>+CONCATENATE(Инвойс!C1,Инвойс!F1)</f>
        <v>ИНВОЙС № UFG-M-29 от  29.08.2025г.</v>
      </c>
      <c r="C24" s="156"/>
      <c r="D24" s="156"/>
      <c r="E24" s="73"/>
      <c r="F24" s="73"/>
      <c r="G24" s="73"/>
      <c r="H24" s="73"/>
      <c r="I24" s="73"/>
    </row>
    <row r="25" spans="1:9" x14ac:dyDescent="0.2">
      <c r="B25" s="157" t="s">
        <v>106</v>
      </c>
      <c r="C25" s="157"/>
      <c r="D25" s="157"/>
    </row>
    <row r="26" spans="1:9" ht="22.5" hidden="1" customHeight="1" x14ac:dyDescent="0.2"/>
    <row r="27" spans="1:9" ht="11.25" hidden="1" customHeight="1" x14ac:dyDescent="0.2"/>
    <row r="28" spans="1:9" ht="11.25" hidden="1" customHeight="1" x14ac:dyDescent="0.2"/>
    <row r="29" spans="1:9" ht="14.25" customHeight="1" x14ac:dyDescent="0.2">
      <c r="A29" s="74"/>
    </row>
    <row r="30" spans="1:9" ht="9" customHeight="1" x14ac:dyDescent="0.2">
      <c r="A30" s="74"/>
      <c r="B30" s="103">
        <f>+Инвойс!A30</f>
        <v>1</v>
      </c>
      <c r="C30" s="103">
        <f>+Инвойс!E30</f>
        <v>1000</v>
      </c>
      <c r="D30" s="103" t="str">
        <f>+Инвойс!D30</f>
        <v>Карт.Коробок</v>
      </c>
      <c r="E30" s="103"/>
      <c r="F30" s="103" t="str">
        <f>+Инвойс!B30</f>
        <v>Дыни свежие</v>
      </c>
      <c r="G30" s="104" t="str">
        <f>+Инвойс!C30</f>
        <v>0807190001</v>
      </c>
      <c r="H30" s="103"/>
      <c r="I30" s="105">
        <f>+Инвойс!G30</f>
        <v>23300</v>
      </c>
    </row>
    <row r="31" spans="1:9" ht="9" customHeight="1" x14ac:dyDescent="0.2">
      <c r="A31" s="74"/>
      <c r="B31" s="103"/>
      <c r="C31" s="103"/>
      <c r="D31" s="103"/>
      <c r="E31" s="103"/>
      <c r="F31" s="103"/>
      <c r="G31" s="104"/>
      <c r="H31" s="103"/>
      <c r="I31" s="105"/>
    </row>
    <row r="32" spans="1:9" ht="9" customHeight="1" x14ac:dyDescent="0.2">
      <c r="A32" s="74"/>
      <c r="B32" s="103"/>
      <c r="C32" s="103"/>
      <c r="D32" s="103"/>
      <c r="E32" s="103"/>
      <c r="F32" s="103"/>
      <c r="G32" s="104"/>
      <c r="H32" s="103"/>
      <c r="I32" s="105"/>
    </row>
    <row r="33" spans="1:9" ht="9" customHeight="1" x14ac:dyDescent="0.2">
      <c r="A33" s="74"/>
      <c r="B33" s="103"/>
      <c r="C33" s="103"/>
      <c r="D33" s="103"/>
      <c r="E33" s="103"/>
      <c r="F33" s="103"/>
      <c r="G33" s="104"/>
      <c r="H33" s="103"/>
      <c r="I33" s="105"/>
    </row>
    <row r="34" spans="1:9" ht="9" customHeight="1" x14ac:dyDescent="0.2">
      <c r="A34" s="74"/>
      <c r="B34" s="103"/>
      <c r="C34" s="103"/>
      <c r="D34" s="103"/>
      <c r="E34" s="103"/>
      <c r="F34" s="103"/>
      <c r="G34" s="104"/>
      <c r="H34" s="103"/>
      <c r="I34" s="105"/>
    </row>
    <row r="35" spans="1:9" ht="9" customHeight="1" x14ac:dyDescent="0.2">
      <c r="B35" s="103"/>
      <c r="C35" s="103"/>
      <c r="D35" s="103"/>
      <c r="E35" s="103"/>
      <c r="F35" s="103"/>
      <c r="G35" s="104"/>
      <c r="H35" s="103"/>
      <c r="I35" s="105"/>
    </row>
    <row r="36" spans="1:9" x14ac:dyDescent="0.2">
      <c r="B36" s="103"/>
      <c r="C36" s="103"/>
      <c r="D36" s="103"/>
      <c r="E36" s="103"/>
      <c r="F36" s="103"/>
      <c r="G36" s="104"/>
      <c r="H36" s="103"/>
      <c r="I36" s="105"/>
    </row>
    <row r="37" spans="1:9" ht="9.75" customHeight="1" x14ac:dyDescent="0.2">
      <c r="B37" s="103"/>
      <c r="C37" s="103"/>
      <c r="D37" s="103"/>
      <c r="E37" s="103"/>
      <c r="F37" s="103"/>
      <c r="G37" s="104"/>
      <c r="H37" s="103"/>
      <c r="I37" s="105"/>
    </row>
    <row r="38" spans="1:9" ht="9" customHeight="1" x14ac:dyDescent="0.2">
      <c r="B38" s="103"/>
      <c r="C38" s="103"/>
      <c r="D38" s="103"/>
      <c r="E38" s="103"/>
      <c r="F38" s="103"/>
      <c r="G38" s="104"/>
      <c r="H38" s="103"/>
      <c r="I38" s="105"/>
    </row>
    <row r="39" spans="1:9" ht="9" customHeight="1" x14ac:dyDescent="0.2">
      <c r="B39" s="103"/>
      <c r="C39" s="103"/>
      <c r="D39" s="103"/>
      <c r="E39" s="103"/>
      <c r="F39" s="103"/>
      <c r="G39" s="104"/>
      <c r="H39" s="103"/>
      <c r="I39" s="105"/>
    </row>
    <row r="40" spans="1:9" ht="4.5" customHeight="1" x14ac:dyDescent="0.2">
      <c r="B40" s="103"/>
      <c r="C40" s="103"/>
      <c r="D40" s="103"/>
      <c r="E40" s="103"/>
      <c r="F40" s="103"/>
      <c r="G40" s="104"/>
      <c r="H40" s="103"/>
      <c r="I40" s="105"/>
    </row>
    <row r="41" spans="1:9" ht="5.25" customHeight="1" x14ac:dyDescent="0.2">
      <c r="B41" s="103"/>
      <c r="C41" s="103"/>
      <c r="D41" s="103"/>
      <c r="E41" s="103"/>
      <c r="F41" s="103"/>
      <c r="G41" s="104"/>
      <c r="H41" s="103"/>
      <c r="I41" s="105"/>
    </row>
    <row r="42" spans="1:9" ht="5.25" customHeight="1" x14ac:dyDescent="0.2">
      <c r="B42" s="103"/>
      <c r="C42" s="103"/>
      <c r="D42" s="103"/>
      <c r="E42" s="103"/>
      <c r="F42" s="103"/>
      <c r="G42" s="104"/>
      <c r="H42" s="103"/>
      <c r="I42" s="105"/>
    </row>
    <row r="43" spans="1:9" ht="3.75" customHeight="1" x14ac:dyDescent="0.2">
      <c r="B43" s="103"/>
      <c r="C43" s="103"/>
      <c r="D43" s="103"/>
      <c r="E43" s="103"/>
      <c r="F43" s="103"/>
      <c r="G43" s="104"/>
      <c r="H43" s="103"/>
      <c r="I43" s="105"/>
    </row>
    <row r="44" spans="1:9" ht="4.5" customHeight="1" x14ac:dyDescent="0.2">
      <c r="B44" s="76"/>
      <c r="C44" s="77"/>
      <c r="D44" s="75"/>
      <c r="E44" s="75"/>
      <c r="F44" s="75"/>
      <c r="G44" s="75"/>
      <c r="H44" s="75"/>
      <c r="I44" s="78"/>
    </row>
    <row r="45" spans="1:9" ht="51.75" customHeight="1" x14ac:dyDescent="0.2">
      <c r="A45" s="70" t="s">
        <v>94</v>
      </c>
      <c r="B45" s="158" t="str">
        <f>+Инвойс!C23</f>
        <v>г.Челябинский таможенный пост г.Челябинск ул. Ениссйская, 87А код поста 10504080   ООО "ГРИН ВОРЛД" 
RU/0237/2 от 27.12.2024</v>
      </c>
      <c r="C45" s="158"/>
      <c r="D45" s="158"/>
    </row>
    <row r="46" spans="1:9" ht="11.25" customHeight="1" x14ac:dyDescent="0.2">
      <c r="B46" s="158"/>
      <c r="C46" s="158"/>
      <c r="D46" s="158"/>
    </row>
    <row r="47" spans="1:9" ht="21" customHeight="1" x14ac:dyDescent="0.2"/>
    <row r="48" spans="1:9" ht="17.25" customHeight="1" x14ac:dyDescent="0.2"/>
    <row r="49" spans="1:6" ht="27" customHeight="1" x14ac:dyDescent="0.2">
      <c r="B49" s="70" t="s">
        <v>114</v>
      </c>
      <c r="D49" s="159" t="str">
        <f>+C22</f>
        <v xml:space="preserve"> 29.08.2025г.</v>
      </c>
      <c r="E49" s="159"/>
      <c r="F49" s="159"/>
    </row>
    <row r="50" spans="1:6" ht="29.25" customHeight="1" x14ac:dyDescent="0.2"/>
    <row r="51" spans="1:6" ht="10.5" customHeight="1" x14ac:dyDescent="0.2"/>
    <row r="52" spans="1:6" ht="10.5" customHeight="1" x14ac:dyDescent="0.2"/>
    <row r="53" spans="1:6" ht="34.5" customHeight="1" x14ac:dyDescent="0.2"/>
    <row r="54" spans="1:6" ht="0.75" hidden="1" customHeight="1" x14ac:dyDescent="0.2"/>
    <row r="55" spans="1:6" ht="11.25" hidden="1" customHeight="1" x14ac:dyDescent="0.2"/>
    <row r="56" spans="1:6" ht="24.75" customHeight="1" x14ac:dyDescent="0.2"/>
    <row r="57" spans="1:6" ht="11.25" customHeight="1" x14ac:dyDescent="0.2">
      <c r="A57" s="70" t="s">
        <v>95</v>
      </c>
      <c r="C57" s="80" t="str">
        <f>+Инвойс!E26</f>
        <v>50187QBA/504284BA</v>
      </c>
    </row>
    <row r="59" spans="1:6" ht="39.75" customHeight="1" x14ac:dyDescent="0.2">
      <c r="B59" s="79"/>
    </row>
    <row r="60" spans="1:6" ht="11.25" hidden="1" customHeight="1" x14ac:dyDescent="0.2"/>
    <row r="61" spans="1:6" ht="11.25" hidden="1" customHeight="1" x14ac:dyDescent="0.2"/>
    <row r="62" spans="1:6" ht="11.25" hidden="1" customHeight="1" x14ac:dyDescent="0.2"/>
    <row r="63" spans="1:6" ht="23.25" customHeight="1" x14ac:dyDescent="0.2">
      <c r="B63" s="79"/>
    </row>
  </sheetData>
  <mergeCells count="4">
    <mergeCell ref="B24:D24"/>
    <mergeCell ref="B25:D25"/>
    <mergeCell ref="B45:D46"/>
    <mergeCell ref="D49:F49"/>
  </mergeCells>
  <pageMargins left="0.43307086614173229" right="0.19685039370078741" top="0.39370078740157483" bottom="0.19685039370078741" header="0.39370078740157483" footer="0.51181102362204722"/>
  <pageSetup paperSize="9" orientation="portrait" verticalDpi="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K51"/>
  <sheetViews>
    <sheetView topLeftCell="A8" zoomScaleNormal="100" workbookViewId="0">
      <selection activeCell="F20" sqref="F20:J37"/>
    </sheetView>
  </sheetViews>
  <sheetFormatPr defaultRowHeight="15" x14ac:dyDescent="0.25"/>
  <cols>
    <col min="1" max="1" width="4" style="81" customWidth="1"/>
    <col min="2" max="2" width="9.140625" style="81"/>
    <col min="3" max="3" width="10.28515625" style="81" customWidth="1"/>
    <col min="4" max="4" width="8" style="81" customWidth="1"/>
    <col min="5" max="6" width="6.140625" style="81" customWidth="1"/>
    <col min="7" max="7" width="6.7109375" style="81" customWidth="1"/>
    <col min="8" max="8" width="25.140625" style="81" customWidth="1"/>
    <col min="9" max="9" width="6.7109375" style="81" customWidth="1"/>
    <col min="10" max="10" width="15.5703125" style="81" customWidth="1"/>
    <col min="11" max="256" width="9.140625" style="81"/>
    <col min="257" max="257" width="4" style="81" customWidth="1"/>
    <col min="258" max="258" width="9.140625" style="81"/>
    <col min="259" max="259" width="10.28515625" style="81" customWidth="1"/>
    <col min="260" max="260" width="8" style="81" customWidth="1"/>
    <col min="261" max="262" width="6.140625" style="81" customWidth="1"/>
    <col min="263" max="263" width="6.7109375" style="81" customWidth="1"/>
    <col min="264" max="264" width="25.140625" style="81" customWidth="1"/>
    <col min="265" max="265" width="6.7109375" style="81" customWidth="1"/>
    <col min="266" max="266" width="15.5703125" style="81" customWidth="1"/>
    <col min="267" max="512" width="9.140625" style="81"/>
    <col min="513" max="513" width="4" style="81" customWidth="1"/>
    <col min="514" max="514" width="9.140625" style="81"/>
    <col min="515" max="515" width="10.28515625" style="81" customWidth="1"/>
    <col min="516" max="516" width="8" style="81" customWidth="1"/>
    <col min="517" max="518" width="6.140625" style="81" customWidth="1"/>
    <col min="519" max="519" width="6.7109375" style="81" customWidth="1"/>
    <col min="520" max="520" width="25.140625" style="81" customWidth="1"/>
    <col min="521" max="521" width="6.7109375" style="81" customWidth="1"/>
    <col min="522" max="522" width="15.5703125" style="81" customWidth="1"/>
    <col min="523" max="768" width="9.140625" style="81"/>
    <col min="769" max="769" width="4" style="81" customWidth="1"/>
    <col min="770" max="770" width="9.140625" style="81"/>
    <col min="771" max="771" width="10.28515625" style="81" customWidth="1"/>
    <col min="772" max="772" width="8" style="81" customWidth="1"/>
    <col min="773" max="774" width="6.140625" style="81" customWidth="1"/>
    <col min="775" max="775" width="6.7109375" style="81" customWidth="1"/>
    <col min="776" max="776" width="25.140625" style="81" customWidth="1"/>
    <col min="777" max="777" width="6.7109375" style="81" customWidth="1"/>
    <col min="778" max="778" width="15.5703125" style="81" customWidth="1"/>
    <col min="779" max="1024" width="9.140625" style="81"/>
    <col min="1025" max="1025" width="4" style="81" customWidth="1"/>
    <col min="1026" max="1026" width="9.140625" style="81"/>
    <col min="1027" max="1027" width="10.28515625" style="81" customWidth="1"/>
    <col min="1028" max="1028" width="8" style="81" customWidth="1"/>
    <col min="1029" max="1030" width="6.140625" style="81" customWidth="1"/>
    <col min="1031" max="1031" width="6.7109375" style="81" customWidth="1"/>
    <col min="1032" max="1032" width="25.140625" style="81" customWidth="1"/>
    <col min="1033" max="1033" width="6.7109375" style="81" customWidth="1"/>
    <col min="1034" max="1034" width="15.5703125" style="81" customWidth="1"/>
    <col min="1035" max="1280" width="9.140625" style="81"/>
    <col min="1281" max="1281" width="4" style="81" customWidth="1"/>
    <col min="1282" max="1282" width="9.140625" style="81"/>
    <col min="1283" max="1283" width="10.28515625" style="81" customWidth="1"/>
    <col min="1284" max="1284" width="8" style="81" customWidth="1"/>
    <col min="1285" max="1286" width="6.140625" style="81" customWidth="1"/>
    <col min="1287" max="1287" width="6.7109375" style="81" customWidth="1"/>
    <col min="1288" max="1288" width="25.140625" style="81" customWidth="1"/>
    <col min="1289" max="1289" width="6.7109375" style="81" customWidth="1"/>
    <col min="1290" max="1290" width="15.5703125" style="81" customWidth="1"/>
    <col min="1291" max="1536" width="9.140625" style="81"/>
    <col min="1537" max="1537" width="4" style="81" customWidth="1"/>
    <col min="1538" max="1538" width="9.140625" style="81"/>
    <col min="1539" max="1539" width="10.28515625" style="81" customWidth="1"/>
    <col min="1540" max="1540" width="8" style="81" customWidth="1"/>
    <col min="1541" max="1542" width="6.140625" style="81" customWidth="1"/>
    <col min="1543" max="1543" width="6.7109375" style="81" customWidth="1"/>
    <col min="1544" max="1544" width="25.140625" style="81" customWidth="1"/>
    <col min="1545" max="1545" width="6.7109375" style="81" customWidth="1"/>
    <col min="1546" max="1546" width="15.5703125" style="81" customWidth="1"/>
    <col min="1547" max="1792" width="9.140625" style="81"/>
    <col min="1793" max="1793" width="4" style="81" customWidth="1"/>
    <col min="1794" max="1794" width="9.140625" style="81"/>
    <col min="1795" max="1795" width="10.28515625" style="81" customWidth="1"/>
    <col min="1796" max="1796" width="8" style="81" customWidth="1"/>
    <col min="1797" max="1798" width="6.140625" style="81" customWidth="1"/>
    <col min="1799" max="1799" width="6.7109375" style="81" customWidth="1"/>
    <col min="1800" max="1800" width="25.140625" style="81" customWidth="1"/>
    <col min="1801" max="1801" width="6.7109375" style="81" customWidth="1"/>
    <col min="1802" max="1802" width="15.5703125" style="81" customWidth="1"/>
    <col min="1803" max="2048" width="9.140625" style="81"/>
    <col min="2049" max="2049" width="4" style="81" customWidth="1"/>
    <col min="2050" max="2050" width="9.140625" style="81"/>
    <col min="2051" max="2051" width="10.28515625" style="81" customWidth="1"/>
    <col min="2052" max="2052" width="8" style="81" customWidth="1"/>
    <col min="2053" max="2054" width="6.140625" style="81" customWidth="1"/>
    <col min="2055" max="2055" width="6.7109375" style="81" customWidth="1"/>
    <col min="2056" max="2056" width="25.140625" style="81" customWidth="1"/>
    <col min="2057" max="2057" width="6.7109375" style="81" customWidth="1"/>
    <col min="2058" max="2058" width="15.5703125" style="81" customWidth="1"/>
    <col min="2059" max="2304" width="9.140625" style="81"/>
    <col min="2305" max="2305" width="4" style="81" customWidth="1"/>
    <col min="2306" max="2306" width="9.140625" style="81"/>
    <col min="2307" max="2307" width="10.28515625" style="81" customWidth="1"/>
    <col min="2308" max="2308" width="8" style="81" customWidth="1"/>
    <col min="2309" max="2310" width="6.140625" style="81" customWidth="1"/>
    <col min="2311" max="2311" width="6.7109375" style="81" customWidth="1"/>
    <col min="2312" max="2312" width="25.140625" style="81" customWidth="1"/>
    <col min="2313" max="2313" width="6.7109375" style="81" customWidth="1"/>
    <col min="2314" max="2314" width="15.5703125" style="81" customWidth="1"/>
    <col min="2315" max="2560" width="9.140625" style="81"/>
    <col min="2561" max="2561" width="4" style="81" customWidth="1"/>
    <col min="2562" max="2562" width="9.140625" style="81"/>
    <col min="2563" max="2563" width="10.28515625" style="81" customWidth="1"/>
    <col min="2564" max="2564" width="8" style="81" customWidth="1"/>
    <col min="2565" max="2566" width="6.140625" style="81" customWidth="1"/>
    <col min="2567" max="2567" width="6.7109375" style="81" customWidth="1"/>
    <col min="2568" max="2568" width="25.140625" style="81" customWidth="1"/>
    <col min="2569" max="2569" width="6.7109375" style="81" customWidth="1"/>
    <col min="2570" max="2570" width="15.5703125" style="81" customWidth="1"/>
    <col min="2571" max="2816" width="9.140625" style="81"/>
    <col min="2817" max="2817" width="4" style="81" customWidth="1"/>
    <col min="2818" max="2818" width="9.140625" style="81"/>
    <col min="2819" max="2819" width="10.28515625" style="81" customWidth="1"/>
    <col min="2820" max="2820" width="8" style="81" customWidth="1"/>
    <col min="2821" max="2822" width="6.140625" style="81" customWidth="1"/>
    <col min="2823" max="2823" width="6.7109375" style="81" customWidth="1"/>
    <col min="2824" max="2824" width="25.140625" style="81" customWidth="1"/>
    <col min="2825" max="2825" width="6.7109375" style="81" customWidth="1"/>
    <col min="2826" max="2826" width="15.5703125" style="81" customWidth="1"/>
    <col min="2827" max="3072" width="9.140625" style="81"/>
    <col min="3073" max="3073" width="4" style="81" customWidth="1"/>
    <col min="3074" max="3074" width="9.140625" style="81"/>
    <col min="3075" max="3075" width="10.28515625" style="81" customWidth="1"/>
    <col min="3076" max="3076" width="8" style="81" customWidth="1"/>
    <col min="3077" max="3078" width="6.140625" style="81" customWidth="1"/>
    <col min="3079" max="3079" width="6.7109375" style="81" customWidth="1"/>
    <col min="3080" max="3080" width="25.140625" style="81" customWidth="1"/>
    <col min="3081" max="3081" width="6.7109375" style="81" customWidth="1"/>
    <col min="3082" max="3082" width="15.5703125" style="81" customWidth="1"/>
    <col min="3083" max="3328" width="9.140625" style="81"/>
    <col min="3329" max="3329" width="4" style="81" customWidth="1"/>
    <col min="3330" max="3330" width="9.140625" style="81"/>
    <col min="3331" max="3331" width="10.28515625" style="81" customWidth="1"/>
    <col min="3332" max="3332" width="8" style="81" customWidth="1"/>
    <col min="3333" max="3334" width="6.140625" style="81" customWidth="1"/>
    <col min="3335" max="3335" width="6.7109375" style="81" customWidth="1"/>
    <col min="3336" max="3336" width="25.140625" style="81" customWidth="1"/>
    <col min="3337" max="3337" width="6.7109375" style="81" customWidth="1"/>
    <col min="3338" max="3338" width="15.5703125" style="81" customWidth="1"/>
    <col min="3339" max="3584" width="9.140625" style="81"/>
    <col min="3585" max="3585" width="4" style="81" customWidth="1"/>
    <col min="3586" max="3586" width="9.140625" style="81"/>
    <col min="3587" max="3587" width="10.28515625" style="81" customWidth="1"/>
    <col min="3588" max="3588" width="8" style="81" customWidth="1"/>
    <col min="3589" max="3590" width="6.140625" style="81" customWidth="1"/>
    <col min="3591" max="3591" width="6.7109375" style="81" customWidth="1"/>
    <col min="3592" max="3592" width="25.140625" style="81" customWidth="1"/>
    <col min="3593" max="3593" width="6.7109375" style="81" customWidth="1"/>
    <col min="3594" max="3594" width="15.5703125" style="81" customWidth="1"/>
    <col min="3595" max="3840" width="9.140625" style="81"/>
    <col min="3841" max="3841" width="4" style="81" customWidth="1"/>
    <col min="3842" max="3842" width="9.140625" style="81"/>
    <col min="3843" max="3843" width="10.28515625" style="81" customWidth="1"/>
    <col min="3844" max="3844" width="8" style="81" customWidth="1"/>
    <col min="3845" max="3846" width="6.140625" style="81" customWidth="1"/>
    <col min="3847" max="3847" width="6.7109375" style="81" customWidth="1"/>
    <col min="3848" max="3848" width="25.140625" style="81" customWidth="1"/>
    <col min="3849" max="3849" width="6.7109375" style="81" customWidth="1"/>
    <col min="3850" max="3850" width="15.5703125" style="81" customWidth="1"/>
    <col min="3851" max="4096" width="9.140625" style="81"/>
    <col min="4097" max="4097" width="4" style="81" customWidth="1"/>
    <col min="4098" max="4098" width="9.140625" style="81"/>
    <col min="4099" max="4099" width="10.28515625" style="81" customWidth="1"/>
    <col min="4100" max="4100" width="8" style="81" customWidth="1"/>
    <col min="4101" max="4102" width="6.140625" style="81" customWidth="1"/>
    <col min="4103" max="4103" width="6.7109375" style="81" customWidth="1"/>
    <col min="4104" max="4104" width="25.140625" style="81" customWidth="1"/>
    <col min="4105" max="4105" width="6.7109375" style="81" customWidth="1"/>
    <col min="4106" max="4106" width="15.5703125" style="81" customWidth="1"/>
    <col min="4107" max="4352" width="9.140625" style="81"/>
    <col min="4353" max="4353" width="4" style="81" customWidth="1"/>
    <col min="4354" max="4354" width="9.140625" style="81"/>
    <col min="4355" max="4355" width="10.28515625" style="81" customWidth="1"/>
    <col min="4356" max="4356" width="8" style="81" customWidth="1"/>
    <col min="4357" max="4358" width="6.140625" style="81" customWidth="1"/>
    <col min="4359" max="4359" width="6.7109375" style="81" customWidth="1"/>
    <col min="4360" max="4360" width="25.140625" style="81" customWidth="1"/>
    <col min="4361" max="4361" width="6.7109375" style="81" customWidth="1"/>
    <col min="4362" max="4362" width="15.5703125" style="81" customWidth="1"/>
    <col min="4363" max="4608" width="9.140625" style="81"/>
    <col min="4609" max="4609" width="4" style="81" customWidth="1"/>
    <col min="4610" max="4610" width="9.140625" style="81"/>
    <col min="4611" max="4611" width="10.28515625" style="81" customWidth="1"/>
    <col min="4612" max="4612" width="8" style="81" customWidth="1"/>
    <col min="4613" max="4614" width="6.140625" style="81" customWidth="1"/>
    <col min="4615" max="4615" width="6.7109375" style="81" customWidth="1"/>
    <col min="4616" max="4616" width="25.140625" style="81" customWidth="1"/>
    <col min="4617" max="4617" width="6.7109375" style="81" customWidth="1"/>
    <col min="4618" max="4618" width="15.5703125" style="81" customWidth="1"/>
    <col min="4619" max="4864" width="9.140625" style="81"/>
    <col min="4865" max="4865" width="4" style="81" customWidth="1"/>
    <col min="4866" max="4866" width="9.140625" style="81"/>
    <col min="4867" max="4867" width="10.28515625" style="81" customWidth="1"/>
    <col min="4868" max="4868" width="8" style="81" customWidth="1"/>
    <col min="4869" max="4870" width="6.140625" style="81" customWidth="1"/>
    <col min="4871" max="4871" width="6.7109375" style="81" customWidth="1"/>
    <col min="4872" max="4872" width="25.140625" style="81" customWidth="1"/>
    <col min="4873" max="4873" width="6.7109375" style="81" customWidth="1"/>
    <col min="4874" max="4874" width="15.5703125" style="81" customWidth="1"/>
    <col min="4875" max="5120" width="9.140625" style="81"/>
    <col min="5121" max="5121" width="4" style="81" customWidth="1"/>
    <col min="5122" max="5122" width="9.140625" style="81"/>
    <col min="5123" max="5123" width="10.28515625" style="81" customWidth="1"/>
    <col min="5124" max="5124" width="8" style="81" customWidth="1"/>
    <col min="5125" max="5126" width="6.140625" style="81" customWidth="1"/>
    <col min="5127" max="5127" width="6.7109375" style="81" customWidth="1"/>
    <col min="5128" max="5128" width="25.140625" style="81" customWidth="1"/>
    <col min="5129" max="5129" width="6.7109375" style="81" customWidth="1"/>
    <col min="5130" max="5130" width="15.5703125" style="81" customWidth="1"/>
    <col min="5131" max="5376" width="9.140625" style="81"/>
    <col min="5377" max="5377" width="4" style="81" customWidth="1"/>
    <col min="5378" max="5378" width="9.140625" style="81"/>
    <col min="5379" max="5379" width="10.28515625" style="81" customWidth="1"/>
    <col min="5380" max="5380" width="8" style="81" customWidth="1"/>
    <col min="5381" max="5382" width="6.140625" style="81" customWidth="1"/>
    <col min="5383" max="5383" width="6.7109375" style="81" customWidth="1"/>
    <col min="5384" max="5384" width="25.140625" style="81" customWidth="1"/>
    <col min="5385" max="5385" width="6.7109375" style="81" customWidth="1"/>
    <col min="5386" max="5386" width="15.5703125" style="81" customWidth="1"/>
    <col min="5387" max="5632" width="9.140625" style="81"/>
    <col min="5633" max="5633" width="4" style="81" customWidth="1"/>
    <col min="5634" max="5634" width="9.140625" style="81"/>
    <col min="5635" max="5635" width="10.28515625" style="81" customWidth="1"/>
    <col min="5636" max="5636" width="8" style="81" customWidth="1"/>
    <col min="5637" max="5638" width="6.140625" style="81" customWidth="1"/>
    <col min="5639" max="5639" width="6.7109375" style="81" customWidth="1"/>
    <col min="5640" max="5640" width="25.140625" style="81" customWidth="1"/>
    <col min="5641" max="5641" width="6.7109375" style="81" customWidth="1"/>
    <col min="5642" max="5642" width="15.5703125" style="81" customWidth="1"/>
    <col min="5643" max="5888" width="9.140625" style="81"/>
    <col min="5889" max="5889" width="4" style="81" customWidth="1"/>
    <col min="5890" max="5890" width="9.140625" style="81"/>
    <col min="5891" max="5891" width="10.28515625" style="81" customWidth="1"/>
    <col min="5892" max="5892" width="8" style="81" customWidth="1"/>
    <col min="5893" max="5894" width="6.140625" style="81" customWidth="1"/>
    <col min="5895" max="5895" width="6.7109375" style="81" customWidth="1"/>
    <col min="5896" max="5896" width="25.140625" style="81" customWidth="1"/>
    <col min="5897" max="5897" width="6.7109375" style="81" customWidth="1"/>
    <col min="5898" max="5898" width="15.5703125" style="81" customWidth="1"/>
    <col min="5899" max="6144" width="9.140625" style="81"/>
    <col min="6145" max="6145" width="4" style="81" customWidth="1"/>
    <col min="6146" max="6146" width="9.140625" style="81"/>
    <col min="6147" max="6147" width="10.28515625" style="81" customWidth="1"/>
    <col min="6148" max="6148" width="8" style="81" customWidth="1"/>
    <col min="6149" max="6150" width="6.140625" style="81" customWidth="1"/>
    <col min="6151" max="6151" width="6.7109375" style="81" customWidth="1"/>
    <col min="6152" max="6152" width="25.140625" style="81" customWidth="1"/>
    <col min="6153" max="6153" width="6.7109375" style="81" customWidth="1"/>
    <col min="6154" max="6154" width="15.5703125" style="81" customWidth="1"/>
    <col min="6155" max="6400" width="9.140625" style="81"/>
    <col min="6401" max="6401" width="4" style="81" customWidth="1"/>
    <col min="6402" max="6402" width="9.140625" style="81"/>
    <col min="6403" max="6403" width="10.28515625" style="81" customWidth="1"/>
    <col min="6404" max="6404" width="8" style="81" customWidth="1"/>
    <col min="6405" max="6406" width="6.140625" style="81" customWidth="1"/>
    <col min="6407" max="6407" width="6.7109375" style="81" customWidth="1"/>
    <col min="6408" max="6408" width="25.140625" style="81" customWidth="1"/>
    <col min="6409" max="6409" width="6.7109375" style="81" customWidth="1"/>
    <col min="6410" max="6410" width="15.5703125" style="81" customWidth="1"/>
    <col min="6411" max="6656" width="9.140625" style="81"/>
    <col min="6657" max="6657" width="4" style="81" customWidth="1"/>
    <col min="6658" max="6658" width="9.140625" style="81"/>
    <col min="6659" max="6659" width="10.28515625" style="81" customWidth="1"/>
    <col min="6660" max="6660" width="8" style="81" customWidth="1"/>
    <col min="6661" max="6662" width="6.140625" style="81" customWidth="1"/>
    <col min="6663" max="6663" width="6.7109375" style="81" customWidth="1"/>
    <col min="6664" max="6664" width="25.140625" style="81" customWidth="1"/>
    <col min="6665" max="6665" width="6.7109375" style="81" customWidth="1"/>
    <col min="6666" max="6666" width="15.5703125" style="81" customWidth="1"/>
    <col min="6667" max="6912" width="9.140625" style="81"/>
    <col min="6913" max="6913" width="4" style="81" customWidth="1"/>
    <col min="6914" max="6914" width="9.140625" style="81"/>
    <col min="6915" max="6915" width="10.28515625" style="81" customWidth="1"/>
    <col min="6916" max="6916" width="8" style="81" customWidth="1"/>
    <col min="6917" max="6918" width="6.140625" style="81" customWidth="1"/>
    <col min="6919" max="6919" width="6.7109375" style="81" customWidth="1"/>
    <col min="6920" max="6920" width="25.140625" style="81" customWidth="1"/>
    <col min="6921" max="6921" width="6.7109375" style="81" customWidth="1"/>
    <col min="6922" max="6922" width="15.5703125" style="81" customWidth="1"/>
    <col min="6923" max="7168" width="9.140625" style="81"/>
    <col min="7169" max="7169" width="4" style="81" customWidth="1"/>
    <col min="7170" max="7170" width="9.140625" style="81"/>
    <col min="7171" max="7171" width="10.28515625" style="81" customWidth="1"/>
    <col min="7172" max="7172" width="8" style="81" customWidth="1"/>
    <col min="7173" max="7174" width="6.140625" style="81" customWidth="1"/>
    <col min="7175" max="7175" width="6.7109375" style="81" customWidth="1"/>
    <col min="7176" max="7176" width="25.140625" style="81" customWidth="1"/>
    <col min="7177" max="7177" width="6.7109375" style="81" customWidth="1"/>
    <col min="7178" max="7178" width="15.5703125" style="81" customWidth="1"/>
    <col min="7179" max="7424" width="9.140625" style="81"/>
    <col min="7425" max="7425" width="4" style="81" customWidth="1"/>
    <col min="7426" max="7426" width="9.140625" style="81"/>
    <col min="7427" max="7427" width="10.28515625" style="81" customWidth="1"/>
    <col min="7428" max="7428" width="8" style="81" customWidth="1"/>
    <col min="7429" max="7430" width="6.140625" style="81" customWidth="1"/>
    <col min="7431" max="7431" width="6.7109375" style="81" customWidth="1"/>
    <col min="7432" max="7432" width="25.140625" style="81" customWidth="1"/>
    <col min="7433" max="7433" width="6.7109375" style="81" customWidth="1"/>
    <col min="7434" max="7434" width="15.5703125" style="81" customWidth="1"/>
    <col min="7435" max="7680" width="9.140625" style="81"/>
    <col min="7681" max="7681" width="4" style="81" customWidth="1"/>
    <col min="7682" max="7682" width="9.140625" style="81"/>
    <col min="7683" max="7683" width="10.28515625" style="81" customWidth="1"/>
    <col min="7684" max="7684" width="8" style="81" customWidth="1"/>
    <col min="7685" max="7686" width="6.140625" style="81" customWidth="1"/>
    <col min="7687" max="7687" width="6.7109375" style="81" customWidth="1"/>
    <col min="7688" max="7688" width="25.140625" style="81" customWidth="1"/>
    <col min="7689" max="7689" width="6.7109375" style="81" customWidth="1"/>
    <col min="7690" max="7690" width="15.5703125" style="81" customWidth="1"/>
    <col min="7691" max="7936" width="9.140625" style="81"/>
    <col min="7937" max="7937" width="4" style="81" customWidth="1"/>
    <col min="7938" max="7938" width="9.140625" style="81"/>
    <col min="7939" max="7939" width="10.28515625" style="81" customWidth="1"/>
    <col min="7940" max="7940" width="8" style="81" customWidth="1"/>
    <col min="7941" max="7942" width="6.140625" style="81" customWidth="1"/>
    <col min="7943" max="7943" width="6.7109375" style="81" customWidth="1"/>
    <col min="7944" max="7944" width="25.140625" style="81" customWidth="1"/>
    <col min="7945" max="7945" width="6.7109375" style="81" customWidth="1"/>
    <col min="7946" max="7946" width="15.5703125" style="81" customWidth="1"/>
    <col min="7947" max="8192" width="9.140625" style="81"/>
    <col min="8193" max="8193" width="4" style="81" customWidth="1"/>
    <col min="8194" max="8194" width="9.140625" style="81"/>
    <col min="8195" max="8195" width="10.28515625" style="81" customWidth="1"/>
    <col min="8196" max="8196" width="8" style="81" customWidth="1"/>
    <col min="8197" max="8198" width="6.140625" style="81" customWidth="1"/>
    <col min="8199" max="8199" width="6.7109375" style="81" customWidth="1"/>
    <col min="8200" max="8200" width="25.140625" style="81" customWidth="1"/>
    <col min="8201" max="8201" width="6.7109375" style="81" customWidth="1"/>
    <col min="8202" max="8202" width="15.5703125" style="81" customWidth="1"/>
    <col min="8203" max="8448" width="9.140625" style="81"/>
    <col min="8449" max="8449" width="4" style="81" customWidth="1"/>
    <col min="8450" max="8450" width="9.140625" style="81"/>
    <col min="8451" max="8451" width="10.28515625" style="81" customWidth="1"/>
    <col min="8452" max="8452" width="8" style="81" customWidth="1"/>
    <col min="8453" max="8454" width="6.140625" style="81" customWidth="1"/>
    <col min="8455" max="8455" width="6.7109375" style="81" customWidth="1"/>
    <col min="8456" max="8456" width="25.140625" style="81" customWidth="1"/>
    <col min="8457" max="8457" width="6.7109375" style="81" customWidth="1"/>
    <col min="8458" max="8458" width="15.5703125" style="81" customWidth="1"/>
    <col min="8459" max="8704" width="9.140625" style="81"/>
    <col min="8705" max="8705" width="4" style="81" customWidth="1"/>
    <col min="8706" max="8706" width="9.140625" style="81"/>
    <col min="8707" max="8707" width="10.28515625" style="81" customWidth="1"/>
    <col min="8708" max="8708" width="8" style="81" customWidth="1"/>
    <col min="8709" max="8710" width="6.140625" style="81" customWidth="1"/>
    <col min="8711" max="8711" width="6.7109375" style="81" customWidth="1"/>
    <col min="8712" max="8712" width="25.140625" style="81" customWidth="1"/>
    <col min="8713" max="8713" width="6.7109375" style="81" customWidth="1"/>
    <col min="8714" max="8714" width="15.5703125" style="81" customWidth="1"/>
    <col min="8715" max="8960" width="9.140625" style="81"/>
    <col min="8961" max="8961" width="4" style="81" customWidth="1"/>
    <col min="8962" max="8962" width="9.140625" style="81"/>
    <col min="8963" max="8963" width="10.28515625" style="81" customWidth="1"/>
    <col min="8964" max="8964" width="8" style="81" customWidth="1"/>
    <col min="8965" max="8966" width="6.140625" style="81" customWidth="1"/>
    <col min="8967" max="8967" width="6.7109375" style="81" customWidth="1"/>
    <col min="8968" max="8968" width="25.140625" style="81" customWidth="1"/>
    <col min="8969" max="8969" width="6.7109375" style="81" customWidth="1"/>
    <col min="8970" max="8970" width="15.5703125" style="81" customWidth="1"/>
    <col min="8971" max="9216" width="9.140625" style="81"/>
    <col min="9217" max="9217" width="4" style="81" customWidth="1"/>
    <col min="9218" max="9218" width="9.140625" style="81"/>
    <col min="9219" max="9219" width="10.28515625" style="81" customWidth="1"/>
    <col min="9220" max="9220" width="8" style="81" customWidth="1"/>
    <col min="9221" max="9222" width="6.140625" style="81" customWidth="1"/>
    <col min="9223" max="9223" width="6.7109375" style="81" customWidth="1"/>
    <col min="9224" max="9224" width="25.140625" style="81" customWidth="1"/>
    <col min="9225" max="9225" width="6.7109375" style="81" customWidth="1"/>
    <col min="9226" max="9226" width="15.5703125" style="81" customWidth="1"/>
    <col min="9227" max="9472" width="9.140625" style="81"/>
    <col min="9473" max="9473" width="4" style="81" customWidth="1"/>
    <col min="9474" max="9474" width="9.140625" style="81"/>
    <col min="9475" max="9475" width="10.28515625" style="81" customWidth="1"/>
    <col min="9476" max="9476" width="8" style="81" customWidth="1"/>
    <col min="9477" max="9478" width="6.140625" style="81" customWidth="1"/>
    <col min="9479" max="9479" width="6.7109375" style="81" customWidth="1"/>
    <col min="9480" max="9480" width="25.140625" style="81" customWidth="1"/>
    <col min="9481" max="9481" width="6.7109375" style="81" customWidth="1"/>
    <col min="9482" max="9482" width="15.5703125" style="81" customWidth="1"/>
    <col min="9483" max="9728" width="9.140625" style="81"/>
    <col min="9729" max="9729" width="4" style="81" customWidth="1"/>
    <col min="9730" max="9730" width="9.140625" style="81"/>
    <col min="9731" max="9731" width="10.28515625" style="81" customWidth="1"/>
    <col min="9732" max="9732" width="8" style="81" customWidth="1"/>
    <col min="9733" max="9734" width="6.140625" style="81" customWidth="1"/>
    <col min="9735" max="9735" width="6.7109375" style="81" customWidth="1"/>
    <col min="9736" max="9736" width="25.140625" style="81" customWidth="1"/>
    <col min="9737" max="9737" width="6.7109375" style="81" customWidth="1"/>
    <col min="9738" max="9738" width="15.5703125" style="81" customWidth="1"/>
    <col min="9739" max="9984" width="9.140625" style="81"/>
    <col min="9985" max="9985" width="4" style="81" customWidth="1"/>
    <col min="9986" max="9986" width="9.140625" style="81"/>
    <col min="9987" max="9987" width="10.28515625" style="81" customWidth="1"/>
    <col min="9988" max="9988" width="8" style="81" customWidth="1"/>
    <col min="9989" max="9990" width="6.140625" style="81" customWidth="1"/>
    <col min="9991" max="9991" width="6.7109375" style="81" customWidth="1"/>
    <col min="9992" max="9992" width="25.140625" style="81" customWidth="1"/>
    <col min="9993" max="9993" width="6.7109375" style="81" customWidth="1"/>
    <col min="9994" max="9994" width="15.5703125" style="81" customWidth="1"/>
    <col min="9995" max="10240" width="9.140625" style="81"/>
    <col min="10241" max="10241" width="4" style="81" customWidth="1"/>
    <col min="10242" max="10242" width="9.140625" style="81"/>
    <col min="10243" max="10243" width="10.28515625" style="81" customWidth="1"/>
    <col min="10244" max="10244" width="8" style="81" customWidth="1"/>
    <col min="10245" max="10246" width="6.140625" style="81" customWidth="1"/>
    <col min="10247" max="10247" width="6.7109375" style="81" customWidth="1"/>
    <col min="10248" max="10248" width="25.140625" style="81" customWidth="1"/>
    <col min="10249" max="10249" width="6.7109375" style="81" customWidth="1"/>
    <col min="10250" max="10250" width="15.5703125" style="81" customWidth="1"/>
    <col min="10251" max="10496" width="9.140625" style="81"/>
    <col min="10497" max="10497" width="4" style="81" customWidth="1"/>
    <col min="10498" max="10498" width="9.140625" style="81"/>
    <col min="10499" max="10499" width="10.28515625" style="81" customWidth="1"/>
    <col min="10500" max="10500" width="8" style="81" customWidth="1"/>
    <col min="10501" max="10502" width="6.140625" style="81" customWidth="1"/>
    <col min="10503" max="10503" width="6.7109375" style="81" customWidth="1"/>
    <col min="10504" max="10504" width="25.140625" style="81" customWidth="1"/>
    <col min="10505" max="10505" width="6.7109375" style="81" customWidth="1"/>
    <col min="10506" max="10506" width="15.5703125" style="81" customWidth="1"/>
    <col min="10507" max="10752" width="9.140625" style="81"/>
    <col min="10753" max="10753" width="4" style="81" customWidth="1"/>
    <col min="10754" max="10754" width="9.140625" style="81"/>
    <col min="10755" max="10755" width="10.28515625" style="81" customWidth="1"/>
    <col min="10756" max="10756" width="8" style="81" customWidth="1"/>
    <col min="10757" max="10758" width="6.140625" style="81" customWidth="1"/>
    <col min="10759" max="10759" width="6.7109375" style="81" customWidth="1"/>
    <col min="10760" max="10760" width="25.140625" style="81" customWidth="1"/>
    <col min="10761" max="10761" width="6.7109375" style="81" customWidth="1"/>
    <col min="10762" max="10762" width="15.5703125" style="81" customWidth="1"/>
    <col min="10763" max="11008" width="9.140625" style="81"/>
    <col min="11009" max="11009" width="4" style="81" customWidth="1"/>
    <col min="11010" max="11010" width="9.140625" style="81"/>
    <col min="11011" max="11011" width="10.28515625" style="81" customWidth="1"/>
    <col min="11012" max="11012" width="8" style="81" customWidth="1"/>
    <col min="11013" max="11014" width="6.140625" style="81" customWidth="1"/>
    <col min="11015" max="11015" width="6.7109375" style="81" customWidth="1"/>
    <col min="11016" max="11016" width="25.140625" style="81" customWidth="1"/>
    <col min="11017" max="11017" width="6.7109375" style="81" customWidth="1"/>
    <col min="11018" max="11018" width="15.5703125" style="81" customWidth="1"/>
    <col min="11019" max="11264" width="9.140625" style="81"/>
    <col min="11265" max="11265" width="4" style="81" customWidth="1"/>
    <col min="11266" max="11266" width="9.140625" style="81"/>
    <col min="11267" max="11267" width="10.28515625" style="81" customWidth="1"/>
    <col min="11268" max="11268" width="8" style="81" customWidth="1"/>
    <col min="11269" max="11270" width="6.140625" style="81" customWidth="1"/>
    <col min="11271" max="11271" width="6.7109375" style="81" customWidth="1"/>
    <col min="11272" max="11272" width="25.140625" style="81" customWidth="1"/>
    <col min="11273" max="11273" width="6.7109375" style="81" customWidth="1"/>
    <col min="11274" max="11274" width="15.5703125" style="81" customWidth="1"/>
    <col min="11275" max="11520" width="9.140625" style="81"/>
    <col min="11521" max="11521" width="4" style="81" customWidth="1"/>
    <col min="11522" max="11522" width="9.140625" style="81"/>
    <col min="11523" max="11523" width="10.28515625" style="81" customWidth="1"/>
    <col min="11524" max="11524" width="8" style="81" customWidth="1"/>
    <col min="11525" max="11526" width="6.140625" style="81" customWidth="1"/>
    <col min="11527" max="11527" width="6.7109375" style="81" customWidth="1"/>
    <col min="11528" max="11528" width="25.140625" style="81" customWidth="1"/>
    <col min="11529" max="11529" width="6.7109375" style="81" customWidth="1"/>
    <col min="11530" max="11530" width="15.5703125" style="81" customWidth="1"/>
    <col min="11531" max="11776" width="9.140625" style="81"/>
    <col min="11777" max="11777" width="4" style="81" customWidth="1"/>
    <col min="11778" max="11778" width="9.140625" style="81"/>
    <col min="11779" max="11779" width="10.28515625" style="81" customWidth="1"/>
    <col min="11780" max="11780" width="8" style="81" customWidth="1"/>
    <col min="11781" max="11782" width="6.140625" style="81" customWidth="1"/>
    <col min="11783" max="11783" width="6.7109375" style="81" customWidth="1"/>
    <col min="11784" max="11784" width="25.140625" style="81" customWidth="1"/>
    <col min="11785" max="11785" width="6.7109375" style="81" customWidth="1"/>
    <col min="11786" max="11786" width="15.5703125" style="81" customWidth="1"/>
    <col min="11787" max="12032" width="9.140625" style="81"/>
    <col min="12033" max="12033" width="4" style="81" customWidth="1"/>
    <col min="12034" max="12034" width="9.140625" style="81"/>
    <col min="12035" max="12035" width="10.28515625" style="81" customWidth="1"/>
    <col min="12036" max="12036" width="8" style="81" customWidth="1"/>
    <col min="12037" max="12038" width="6.140625" style="81" customWidth="1"/>
    <col min="12039" max="12039" width="6.7109375" style="81" customWidth="1"/>
    <col min="12040" max="12040" width="25.140625" style="81" customWidth="1"/>
    <col min="12041" max="12041" width="6.7109375" style="81" customWidth="1"/>
    <col min="12042" max="12042" width="15.5703125" style="81" customWidth="1"/>
    <col min="12043" max="12288" width="9.140625" style="81"/>
    <col min="12289" max="12289" width="4" style="81" customWidth="1"/>
    <col min="12290" max="12290" width="9.140625" style="81"/>
    <col min="12291" max="12291" width="10.28515625" style="81" customWidth="1"/>
    <col min="12292" max="12292" width="8" style="81" customWidth="1"/>
    <col min="12293" max="12294" width="6.140625" style="81" customWidth="1"/>
    <col min="12295" max="12295" width="6.7109375" style="81" customWidth="1"/>
    <col min="12296" max="12296" width="25.140625" style="81" customWidth="1"/>
    <col min="12297" max="12297" width="6.7109375" style="81" customWidth="1"/>
    <col min="12298" max="12298" width="15.5703125" style="81" customWidth="1"/>
    <col min="12299" max="12544" width="9.140625" style="81"/>
    <col min="12545" max="12545" width="4" style="81" customWidth="1"/>
    <col min="12546" max="12546" width="9.140625" style="81"/>
    <col min="12547" max="12547" width="10.28515625" style="81" customWidth="1"/>
    <col min="12548" max="12548" width="8" style="81" customWidth="1"/>
    <col min="12549" max="12550" width="6.140625" style="81" customWidth="1"/>
    <col min="12551" max="12551" width="6.7109375" style="81" customWidth="1"/>
    <col min="12552" max="12552" width="25.140625" style="81" customWidth="1"/>
    <col min="12553" max="12553" width="6.7109375" style="81" customWidth="1"/>
    <col min="12554" max="12554" width="15.5703125" style="81" customWidth="1"/>
    <col min="12555" max="12800" width="9.140625" style="81"/>
    <col min="12801" max="12801" width="4" style="81" customWidth="1"/>
    <col min="12802" max="12802" width="9.140625" style="81"/>
    <col min="12803" max="12803" width="10.28515625" style="81" customWidth="1"/>
    <col min="12804" max="12804" width="8" style="81" customWidth="1"/>
    <col min="12805" max="12806" width="6.140625" style="81" customWidth="1"/>
    <col min="12807" max="12807" width="6.7109375" style="81" customWidth="1"/>
    <col min="12808" max="12808" width="25.140625" style="81" customWidth="1"/>
    <col min="12809" max="12809" width="6.7109375" style="81" customWidth="1"/>
    <col min="12810" max="12810" width="15.5703125" style="81" customWidth="1"/>
    <col min="12811" max="13056" width="9.140625" style="81"/>
    <col min="13057" max="13057" width="4" style="81" customWidth="1"/>
    <col min="13058" max="13058" width="9.140625" style="81"/>
    <col min="13059" max="13059" width="10.28515625" style="81" customWidth="1"/>
    <col min="13060" max="13060" width="8" style="81" customWidth="1"/>
    <col min="13061" max="13062" width="6.140625" style="81" customWidth="1"/>
    <col min="13063" max="13063" width="6.7109375" style="81" customWidth="1"/>
    <col min="13064" max="13064" width="25.140625" style="81" customWidth="1"/>
    <col min="13065" max="13065" width="6.7109375" style="81" customWidth="1"/>
    <col min="13066" max="13066" width="15.5703125" style="81" customWidth="1"/>
    <col min="13067" max="13312" width="9.140625" style="81"/>
    <col min="13313" max="13313" width="4" style="81" customWidth="1"/>
    <col min="13314" max="13314" width="9.140625" style="81"/>
    <col min="13315" max="13315" width="10.28515625" style="81" customWidth="1"/>
    <col min="13316" max="13316" width="8" style="81" customWidth="1"/>
    <col min="13317" max="13318" width="6.140625" style="81" customWidth="1"/>
    <col min="13319" max="13319" width="6.7109375" style="81" customWidth="1"/>
    <col min="13320" max="13320" width="25.140625" style="81" customWidth="1"/>
    <col min="13321" max="13321" width="6.7109375" style="81" customWidth="1"/>
    <col min="13322" max="13322" width="15.5703125" style="81" customWidth="1"/>
    <col min="13323" max="13568" width="9.140625" style="81"/>
    <col min="13569" max="13569" width="4" style="81" customWidth="1"/>
    <col min="13570" max="13570" width="9.140625" style="81"/>
    <col min="13571" max="13571" width="10.28515625" style="81" customWidth="1"/>
    <col min="13572" max="13572" width="8" style="81" customWidth="1"/>
    <col min="13573" max="13574" width="6.140625" style="81" customWidth="1"/>
    <col min="13575" max="13575" width="6.7109375" style="81" customWidth="1"/>
    <col min="13576" max="13576" width="25.140625" style="81" customWidth="1"/>
    <col min="13577" max="13577" width="6.7109375" style="81" customWidth="1"/>
    <col min="13578" max="13578" width="15.5703125" style="81" customWidth="1"/>
    <col min="13579" max="13824" width="9.140625" style="81"/>
    <col min="13825" max="13825" width="4" style="81" customWidth="1"/>
    <col min="13826" max="13826" width="9.140625" style="81"/>
    <col min="13827" max="13827" width="10.28515625" style="81" customWidth="1"/>
    <col min="13828" max="13828" width="8" style="81" customWidth="1"/>
    <col min="13829" max="13830" width="6.140625" style="81" customWidth="1"/>
    <col min="13831" max="13831" width="6.7109375" style="81" customWidth="1"/>
    <col min="13832" max="13832" width="25.140625" style="81" customWidth="1"/>
    <col min="13833" max="13833" width="6.7109375" style="81" customWidth="1"/>
    <col min="13834" max="13834" width="15.5703125" style="81" customWidth="1"/>
    <col min="13835" max="14080" width="9.140625" style="81"/>
    <col min="14081" max="14081" width="4" style="81" customWidth="1"/>
    <col min="14082" max="14082" width="9.140625" style="81"/>
    <col min="14083" max="14083" width="10.28515625" style="81" customWidth="1"/>
    <col min="14084" max="14084" width="8" style="81" customWidth="1"/>
    <col min="14085" max="14086" width="6.140625" style="81" customWidth="1"/>
    <col min="14087" max="14087" width="6.7109375" style="81" customWidth="1"/>
    <col min="14088" max="14088" width="25.140625" style="81" customWidth="1"/>
    <col min="14089" max="14089" width="6.7109375" style="81" customWidth="1"/>
    <col min="14090" max="14090" width="15.5703125" style="81" customWidth="1"/>
    <col min="14091" max="14336" width="9.140625" style="81"/>
    <col min="14337" max="14337" width="4" style="81" customWidth="1"/>
    <col min="14338" max="14338" width="9.140625" style="81"/>
    <col min="14339" max="14339" width="10.28515625" style="81" customWidth="1"/>
    <col min="14340" max="14340" width="8" style="81" customWidth="1"/>
    <col min="14341" max="14342" width="6.140625" style="81" customWidth="1"/>
    <col min="14343" max="14343" width="6.7109375" style="81" customWidth="1"/>
    <col min="14344" max="14344" width="25.140625" style="81" customWidth="1"/>
    <col min="14345" max="14345" width="6.7109375" style="81" customWidth="1"/>
    <col min="14346" max="14346" width="15.5703125" style="81" customWidth="1"/>
    <col min="14347" max="14592" width="9.140625" style="81"/>
    <col min="14593" max="14593" width="4" style="81" customWidth="1"/>
    <col min="14594" max="14594" width="9.140625" style="81"/>
    <col min="14595" max="14595" width="10.28515625" style="81" customWidth="1"/>
    <col min="14596" max="14596" width="8" style="81" customWidth="1"/>
    <col min="14597" max="14598" width="6.140625" style="81" customWidth="1"/>
    <col min="14599" max="14599" width="6.7109375" style="81" customWidth="1"/>
    <col min="14600" max="14600" width="25.140625" style="81" customWidth="1"/>
    <col min="14601" max="14601" width="6.7109375" style="81" customWidth="1"/>
    <col min="14602" max="14602" width="15.5703125" style="81" customWidth="1"/>
    <col min="14603" max="14848" width="9.140625" style="81"/>
    <col min="14849" max="14849" width="4" style="81" customWidth="1"/>
    <col min="14850" max="14850" width="9.140625" style="81"/>
    <col min="14851" max="14851" width="10.28515625" style="81" customWidth="1"/>
    <col min="14852" max="14852" width="8" style="81" customWidth="1"/>
    <col min="14853" max="14854" width="6.140625" style="81" customWidth="1"/>
    <col min="14855" max="14855" width="6.7109375" style="81" customWidth="1"/>
    <col min="14856" max="14856" width="25.140625" style="81" customWidth="1"/>
    <col min="14857" max="14857" width="6.7109375" style="81" customWidth="1"/>
    <col min="14858" max="14858" width="15.5703125" style="81" customWidth="1"/>
    <col min="14859" max="15104" width="9.140625" style="81"/>
    <col min="15105" max="15105" width="4" style="81" customWidth="1"/>
    <col min="15106" max="15106" width="9.140625" style="81"/>
    <col min="15107" max="15107" width="10.28515625" style="81" customWidth="1"/>
    <col min="15108" max="15108" width="8" style="81" customWidth="1"/>
    <col min="15109" max="15110" width="6.140625" style="81" customWidth="1"/>
    <col min="15111" max="15111" width="6.7109375" style="81" customWidth="1"/>
    <col min="15112" max="15112" width="25.140625" style="81" customWidth="1"/>
    <col min="15113" max="15113" width="6.7109375" style="81" customWidth="1"/>
    <col min="15114" max="15114" width="15.5703125" style="81" customWidth="1"/>
    <col min="15115" max="15360" width="9.140625" style="81"/>
    <col min="15361" max="15361" width="4" style="81" customWidth="1"/>
    <col min="15362" max="15362" width="9.140625" style="81"/>
    <col min="15363" max="15363" width="10.28515625" style="81" customWidth="1"/>
    <col min="15364" max="15364" width="8" style="81" customWidth="1"/>
    <col min="15365" max="15366" width="6.140625" style="81" customWidth="1"/>
    <col min="15367" max="15367" width="6.7109375" style="81" customWidth="1"/>
    <col min="15368" max="15368" width="25.140625" style="81" customWidth="1"/>
    <col min="15369" max="15369" width="6.7109375" style="81" customWidth="1"/>
    <col min="15370" max="15370" width="15.5703125" style="81" customWidth="1"/>
    <col min="15371" max="15616" width="9.140625" style="81"/>
    <col min="15617" max="15617" width="4" style="81" customWidth="1"/>
    <col min="15618" max="15618" width="9.140625" style="81"/>
    <col min="15619" max="15619" width="10.28515625" style="81" customWidth="1"/>
    <col min="15620" max="15620" width="8" style="81" customWidth="1"/>
    <col min="15621" max="15622" width="6.140625" style="81" customWidth="1"/>
    <col min="15623" max="15623" width="6.7109375" style="81" customWidth="1"/>
    <col min="15624" max="15624" width="25.140625" style="81" customWidth="1"/>
    <col min="15625" max="15625" width="6.7109375" style="81" customWidth="1"/>
    <col min="15626" max="15626" width="15.5703125" style="81" customWidth="1"/>
    <col min="15627" max="15872" width="9.140625" style="81"/>
    <col min="15873" max="15873" width="4" style="81" customWidth="1"/>
    <col min="15874" max="15874" width="9.140625" style="81"/>
    <col min="15875" max="15875" width="10.28515625" style="81" customWidth="1"/>
    <col min="15876" max="15876" width="8" style="81" customWidth="1"/>
    <col min="15877" max="15878" width="6.140625" style="81" customWidth="1"/>
    <col min="15879" max="15879" width="6.7109375" style="81" customWidth="1"/>
    <col min="15880" max="15880" width="25.140625" style="81" customWidth="1"/>
    <col min="15881" max="15881" width="6.7109375" style="81" customWidth="1"/>
    <col min="15882" max="15882" width="15.5703125" style="81" customWidth="1"/>
    <col min="15883" max="16128" width="9.140625" style="81"/>
    <col min="16129" max="16129" width="4" style="81" customWidth="1"/>
    <col min="16130" max="16130" width="9.140625" style="81"/>
    <col min="16131" max="16131" width="10.28515625" style="81" customWidth="1"/>
    <col min="16132" max="16132" width="8" style="81" customWidth="1"/>
    <col min="16133" max="16134" width="6.140625" style="81" customWidth="1"/>
    <col min="16135" max="16135" width="6.7109375" style="81" customWidth="1"/>
    <col min="16136" max="16136" width="25.140625" style="81" customWidth="1"/>
    <col min="16137" max="16137" width="6.7109375" style="81" customWidth="1"/>
    <col min="16138" max="16138" width="15.5703125" style="81" customWidth="1"/>
    <col min="16139" max="16384" width="9.140625" style="81"/>
  </cols>
  <sheetData>
    <row r="1" spans="2:11" ht="25.5" customHeight="1" x14ac:dyDescent="0.25"/>
    <row r="2" spans="2:11" ht="21" customHeight="1" x14ac:dyDescent="0.25">
      <c r="B2" s="162" t="s">
        <v>96</v>
      </c>
      <c r="C2" s="162"/>
    </row>
    <row r="3" spans="2:11" ht="20.25" x14ac:dyDescent="0.25">
      <c r="B3" s="82"/>
    </row>
    <row r="4" spans="2:11" ht="15.75" x14ac:dyDescent="0.25">
      <c r="B4" s="83"/>
    </row>
    <row r="5" spans="2:11" ht="15.75" x14ac:dyDescent="0.25">
      <c r="B5" s="83"/>
    </row>
    <row r="6" spans="2:11" ht="15.75" x14ac:dyDescent="0.25">
      <c r="B6" s="83"/>
    </row>
    <row r="7" spans="2:11" ht="16.5" x14ac:dyDescent="0.25">
      <c r="B7" s="83"/>
      <c r="D7" s="84" t="s">
        <v>97</v>
      </c>
      <c r="F7" s="84"/>
      <c r="G7" s="85" t="s">
        <v>98</v>
      </c>
    </row>
    <row r="8" spans="2:11" ht="15.75" x14ac:dyDescent="0.25">
      <c r="B8" s="83"/>
    </row>
    <row r="9" spans="2:11" ht="15.75" customHeight="1" x14ac:dyDescent="0.25">
      <c r="B9" s="86"/>
    </row>
    <row r="10" spans="2:11" ht="4.5" customHeight="1" x14ac:dyDescent="0.25">
      <c r="B10" s="83"/>
    </row>
    <row r="11" spans="2:11" ht="2.25" customHeight="1" x14ac:dyDescent="0.25">
      <c r="I11" s="84"/>
      <c r="J11" s="85"/>
      <c r="K11" s="85"/>
    </row>
    <row r="12" spans="2:11" ht="4.5" customHeight="1" x14ac:dyDescent="0.25">
      <c r="B12" s="87"/>
    </row>
    <row r="13" spans="2:11" ht="4.5" hidden="1" customHeight="1" x14ac:dyDescent="0.25">
      <c r="F13" s="83" t="s">
        <v>99</v>
      </c>
    </row>
    <row r="14" spans="2:11" ht="21" customHeight="1" x14ac:dyDescent="0.3">
      <c r="B14" s="163" t="str">
        <f>+Инвойс!E26</f>
        <v>50187QBA/504284BA</v>
      </c>
      <c r="C14" s="163"/>
      <c r="D14" s="163"/>
      <c r="E14" s="163"/>
      <c r="F14" s="163"/>
      <c r="G14" s="163"/>
      <c r="H14" s="164" t="s">
        <v>107</v>
      </c>
      <c r="I14" s="164"/>
      <c r="J14" s="88" t="str">
        <f>+Инвойс!F1</f>
        <v xml:space="preserve"> 29.08.2025г.</v>
      </c>
      <c r="K14" s="89"/>
    </row>
    <row r="15" spans="2:11" ht="21" x14ac:dyDescent="0.35">
      <c r="B15" s="82" t="s">
        <v>100</v>
      </c>
      <c r="C15" s="90"/>
      <c r="D15" s="90"/>
      <c r="E15" s="90"/>
      <c r="F15" s="90"/>
      <c r="G15" s="89" t="s">
        <v>101</v>
      </c>
      <c r="H15" s="165" t="str">
        <f>+CMR!B24</f>
        <v>ИНВОЙС № UFG-M-29 от  29.08.2025г.</v>
      </c>
      <c r="I15" s="165"/>
      <c r="J15" s="165"/>
      <c r="K15" s="89"/>
    </row>
    <row r="16" spans="2:11" ht="15.75" x14ac:dyDescent="0.25">
      <c r="B16" s="83"/>
    </row>
    <row r="17" spans="2:10" ht="23.25" customHeight="1" x14ac:dyDescent="0.25">
      <c r="B17" s="83" t="s">
        <v>102</v>
      </c>
    </row>
    <row r="18" spans="2:10" ht="13.5" customHeight="1" x14ac:dyDescent="0.25">
      <c r="B18" s="91"/>
      <c r="E18" s="116"/>
      <c r="F18" s="117">
        <f>+Инвойс!E30</f>
        <v>1000</v>
      </c>
      <c r="G18" s="166" t="str">
        <f>+CMR!F30</f>
        <v>Дыни свежие</v>
      </c>
      <c r="H18" s="166"/>
      <c r="I18" s="118"/>
      <c r="J18" s="119"/>
    </row>
    <row r="19" spans="2:10" ht="11.25" customHeight="1" x14ac:dyDescent="0.25">
      <c r="B19" s="91"/>
      <c r="E19" s="116"/>
      <c r="F19" s="120" t="str">
        <f>+Инвойс!D30</f>
        <v>Карт.Коробок</v>
      </c>
      <c r="G19" s="160" t="str">
        <f>+Инвойс!C30</f>
        <v>0807190001</v>
      </c>
      <c r="H19" s="161"/>
      <c r="I19" s="121" t="s">
        <v>103</v>
      </c>
      <c r="J19" s="119">
        <f>+Инвойс!G30</f>
        <v>23300</v>
      </c>
    </row>
    <row r="20" spans="2:10" ht="13.5" customHeight="1" x14ac:dyDescent="0.25">
      <c r="B20" s="83"/>
      <c r="E20" s="122"/>
      <c r="F20" s="117"/>
      <c r="G20" s="166"/>
      <c r="H20" s="166"/>
      <c r="I20" s="118"/>
      <c r="J20" s="119"/>
    </row>
    <row r="21" spans="2:10" ht="13.5" customHeight="1" x14ac:dyDescent="0.25">
      <c r="B21" s="83" t="s">
        <v>104</v>
      </c>
      <c r="E21" s="122"/>
      <c r="F21" s="120"/>
      <c r="G21" s="160"/>
      <c r="H21" s="161"/>
      <c r="I21" s="121"/>
      <c r="J21" s="119"/>
    </row>
    <row r="22" spans="2:10" ht="12.75" customHeight="1" x14ac:dyDescent="0.25">
      <c r="B22" s="83"/>
      <c r="E22" s="122"/>
      <c r="F22" s="117"/>
      <c r="G22" s="166"/>
      <c r="H22" s="166"/>
      <c r="I22" s="118"/>
      <c r="J22" s="119"/>
    </row>
    <row r="23" spans="2:10" ht="14.25" customHeight="1" x14ac:dyDescent="0.25">
      <c r="B23" s="83"/>
      <c r="E23" s="122"/>
      <c r="F23" s="120"/>
      <c r="G23" s="160"/>
      <c r="H23" s="161"/>
      <c r="I23" s="121"/>
      <c r="J23" s="119"/>
    </row>
    <row r="24" spans="2:10" ht="12.75" customHeight="1" x14ac:dyDescent="0.25">
      <c r="B24" s="87"/>
      <c r="E24" s="122"/>
      <c r="F24" s="117"/>
      <c r="G24" s="166"/>
      <c r="H24" s="166"/>
      <c r="I24" s="118"/>
      <c r="J24" s="119"/>
    </row>
    <row r="25" spans="2:10" ht="12.75" customHeight="1" x14ac:dyDescent="0.25">
      <c r="B25" s="87"/>
      <c r="E25" s="122"/>
      <c r="F25" s="120"/>
      <c r="G25" s="160"/>
      <c r="H25" s="161"/>
      <c r="I25" s="121"/>
      <c r="J25" s="119"/>
    </row>
    <row r="26" spans="2:10" ht="12" customHeight="1" x14ac:dyDescent="0.25">
      <c r="B26" s="87"/>
      <c r="E26" s="122"/>
      <c r="F26" s="117"/>
      <c r="G26" s="166"/>
      <c r="H26" s="166"/>
      <c r="I26" s="118"/>
      <c r="J26" s="119"/>
    </row>
    <row r="27" spans="2:10" ht="14.25" customHeight="1" x14ac:dyDescent="0.25">
      <c r="B27" s="87"/>
      <c r="E27" s="122"/>
      <c r="F27" s="120"/>
      <c r="G27" s="160"/>
      <c r="H27" s="161"/>
      <c r="I27" s="121"/>
      <c r="J27" s="119"/>
    </row>
    <row r="28" spans="2:10" ht="12.75" customHeight="1" x14ac:dyDescent="0.25">
      <c r="B28" s="87"/>
      <c r="E28" s="122"/>
      <c r="F28" s="117"/>
      <c r="G28" s="166"/>
      <c r="H28" s="166"/>
      <c r="I28" s="118"/>
      <c r="J28" s="119"/>
    </row>
    <row r="29" spans="2:10" ht="12.75" customHeight="1" x14ac:dyDescent="0.25">
      <c r="B29" s="87"/>
      <c r="E29" s="122"/>
      <c r="F29" s="120"/>
      <c r="G29" s="160"/>
      <c r="H29" s="161"/>
      <c r="I29" s="121"/>
      <c r="J29" s="119"/>
    </row>
    <row r="30" spans="2:10" ht="12.75" customHeight="1" x14ac:dyDescent="0.25">
      <c r="B30" s="87"/>
      <c r="E30" s="122"/>
      <c r="F30" s="117"/>
      <c r="G30" s="166"/>
      <c r="H30" s="166"/>
      <c r="I30" s="118"/>
      <c r="J30" s="119"/>
    </row>
    <row r="31" spans="2:10" ht="13.5" customHeight="1" x14ac:dyDescent="0.25">
      <c r="B31" s="87"/>
      <c r="E31" s="122"/>
      <c r="F31" s="120"/>
      <c r="G31" s="160"/>
      <c r="H31" s="161"/>
      <c r="I31" s="121"/>
      <c r="J31" s="119"/>
    </row>
    <row r="32" spans="2:10" ht="13.5" customHeight="1" x14ac:dyDescent="0.25">
      <c r="B32" s="87"/>
      <c r="E32" s="122"/>
      <c r="F32" s="117"/>
      <c r="G32" s="166"/>
      <c r="H32" s="166"/>
      <c r="I32" s="118"/>
      <c r="J32" s="119"/>
    </row>
    <row r="33" spans="2:10" ht="13.5" customHeight="1" x14ac:dyDescent="0.25">
      <c r="B33" s="87"/>
      <c r="E33" s="122"/>
      <c r="F33" s="120"/>
      <c r="G33" s="160"/>
      <c r="H33" s="161"/>
      <c r="I33" s="121"/>
      <c r="J33" s="119"/>
    </row>
    <row r="34" spans="2:10" ht="13.5" customHeight="1" x14ac:dyDescent="0.25">
      <c r="B34" s="87"/>
      <c r="E34" s="122"/>
      <c r="F34" s="117"/>
      <c r="G34" s="166"/>
      <c r="H34" s="166"/>
      <c r="I34" s="118"/>
      <c r="J34" s="119"/>
    </row>
    <row r="35" spans="2:10" ht="12.75" customHeight="1" x14ac:dyDescent="0.25">
      <c r="B35" s="87"/>
      <c r="E35" s="122"/>
      <c r="F35" s="120"/>
      <c r="G35" s="160"/>
      <c r="H35" s="161"/>
      <c r="I35" s="121"/>
      <c r="J35" s="119"/>
    </row>
    <row r="36" spans="2:10" x14ac:dyDescent="0.25">
      <c r="B36" s="87"/>
      <c r="E36" s="122"/>
      <c r="F36" s="117"/>
      <c r="G36" s="166"/>
      <c r="H36" s="166"/>
      <c r="I36" s="118"/>
      <c r="J36" s="119"/>
    </row>
    <row r="37" spans="2:10" ht="13.5" customHeight="1" x14ac:dyDescent="0.25">
      <c r="B37" s="87"/>
      <c r="E37" s="122"/>
      <c r="F37" s="120"/>
      <c r="G37" s="160"/>
      <c r="H37" s="161"/>
      <c r="I37" s="121"/>
      <c r="J37" s="119"/>
    </row>
    <row r="38" spans="2:10" x14ac:dyDescent="0.25">
      <c r="B38" s="87"/>
      <c r="E38" s="122"/>
      <c r="F38" s="117"/>
      <c r="G38" s="166"/>
      <c r="H38" s="166"/>
      <c r="I38" s="118"/>
      <c r="J38" s="119"/>
    </row>
    <row r="39" spans="2:10" ht="13.5" customHeight="1" x14ac:dyDescent="0.25">
      <c r="B39" s="87"/>
      <c r="E39" s="122"/>
      <c r="F39" s="120"/>
      <c r="G39" s="160"/>
      <c r="H39" s="161"/>
      <c r="I39" s="121"/>
      <c r="J39" s="119"/>
    </row>
    <row r="40" spans="2:10" ht="14.25" hidden="1" customHeight="1" x14ac:dyDescent="0.25">
      <c r="B40" s="87"/>
      <c r="E40" s="122"/>
      <c r="F40" s="117"/>
      <c r="G40" s="166"/>
      <c r="H40" s="166"/>
      <c r="I40" s="118"/>
      <c r="J40" s="119"/>
    </row>
    <row r="41" spans="2:10" ht="14.25" hidden="1" customHeight="1" x14ac:dyDescent="0.25">
      <c r="B41" s="87"/>
      <c r="E41" s="122"/>
      <c r="F41" s="120"/>
      <c r="G41" s="160"/>
      <c r="H41" s="161"/>
      <c r="I41" s="121"/>
      <c r="J41" s="119"/>
    </row>
    <row r="42" spans="2:10" hidden="1" x14ac:dyDescent="0.25">
      <c r="B42" s="87"/>
      <c r="E42" s="122"/>
      <c r="F42" s="117"/>
      <c r="G42" s="166"/>
      <c r="H42" s="166"/>
      <c r="I42" s="118"/>
      <c r="J42" s="119"/>
    </row>
    <row r="43" spans="2:10" x14ac:dyDescent="0.25">
      <c r="B43" s="87"/>
      <c r="E43" s="122"/>
      <c r="F43" s="120"/>
      <c r="G43" s="160"/>
      <c r="H43" s="161"/>
      <c r="I43" s="121"/>
      <c r="J43" s="119"/>
    </row>
    <row r="44" spans="2:10" ht="9" customHeight="1" x14ac:dyDescent="0.25">
      <c r="B44" s="87"/>
      <c r="E44" s="95"/>
      <c r="F44" s="92"/>
      <c r="G44" s="168"/>
      <c r="H44" s="168"/>
      <c r="I44" s="94"/>
      <c r="J44" s="123"/>
    </row>
    <row r="45" spans="2:10" ht="15" customHeight="1" x14ac:dyDescent="0.25">
      <c r="B45" s="87"/>
      <c r="E45" s="95"/>
      <c r="F45" s="92"/>
      <c r="G45" s="93"/>
      <c r="H45" s="94"/>
      <c r="I45" s="121"/>
      <c r="J45" s="119"/>
    </row>
    <row r="46" spans="2:10" ht="30" customHeight="1" x14ac:dyDescent="0.25">
      <c r="B46" s="87"/>
      <c r="F46" s="95"/>
      <c r="G46" s="95"/>
      <c r="H46" s="95"/>
      <c r="I46" s="96"/>
      <c r="J46" s="97"/>
    </row>
    <row r="47" spans="2:10" ht="20.25" customHeight="1" x14ac:dyDescent="0.25">
      <c r="B47" s="98"/>
      <c r="D47" s="169">
        <f>+F18+F20+F22+F24+F26+F28+F30+F32+F34+F36+F38+F40+F42</f>
        <v>1000</v>
      </c>
      <c r="E47" s="142"/>
    </row>
    <row r="48" spans="2:10" ht="17.25" customHeight="1" x14ac:dyDescent="0.25">
      <c r="B48" s="167" t="s">
        <v>105</v>
      </c>
      <c r="C48" s="167"/>
      <c r="D48" s="167"/>
      <c r="E48" s="167"/>
    </row>
    <row r="49" spans="2:5" ht="21.75" customHeight="1" x14ac:dyDescent="0.25">
      <c r="B49" s="167"/>
      <c r="C49" s="167"/>
      <c r="D49" s="167"/>
      <c r="E49" s="167"/>
    </row>
    <row r="50" spans="2:5" x14ac:dyDescent="0.25">
      <c r="B50" s="98"/>
    </row>
    <row r="51" spans="2:5" x14ac:dyDescent="0.25">
      <c r="B51" s="98"/>
    </row>
  </sheetData>
  <mergeCells count="33">
    <mergeCell ref="G39:H39"/>
    <mergeCell ref="G40:H40"/>
    <mergeCell ref="G41:H41"/>
    <mergeCell ref="G42:H42"/>
    <mergeCell ref="G43:H43"/>
    <mergeCell ref="G26:H26"/>
    <mergeCell ref="B48:E49"/>
    <mergeCell ref="G27:H27"/>
    <mergeCell ref="G28:H28"/>
    <mergeCell ref="G29:H29"/>
    <mergeCell ref="G30:H30"/>
    <mergeCell ref="G31:H31"/>
    <mergeCell ref="G32:H32"/>
    <mergeCell ref="G33:H33"/>
    <mergeCell ref="G34:H34"/>
    <mergeCell ref="G35:H35"/>
    <mergeCell ref="G44:H44"/>
    <mergeCell ref="D47:E47"/>
    <mergeCell ref="G36:H36"/>
    <mergeCell ref="G37:H37"/>
    <mergeCell ref="G38:H38"/>
    <mergeCell ref="G25:H25"/>
    <mergeCell ref="B2:C2"/>
    <mergeCell ref="B14:G14"/>
    <mergeCell ref="H14:I14"/>
    <mergeCell ref="H15:J15"/>
    <mergeCell ref="G20:H20"/>
    <mergeCell ref="G21:H21"/>
    <mergeCell ref="G22:H22"/>
    <mergeCell ref="G23:H23"/>
    <mergeCell ref="G24:H24"/>
    <mergeCell ref="G18:H18"/>
    <mergeCell ref="G19:H19"/>
  </mergeCells>
  <pageMargins left="0.70866141732283472" right="0.70866141732283472" top="0.74803149606299213" bottom="0.74803149606299213" header="0.31496062992125984" footer="0.31496062992125984"/>
  <pageSetup paperSize="9" scale="86" orientation="portrait" verticalDpi="0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Q42"/>
  <sheetViews>
    <sheetView zoomScale="85" zoomScaleNormal="85" workbookViewId="0">
      <selection activeCell="E26" sqref="E26:G26"/>
    </sheetView>
  </sheetViews>
  <sheetFormatPr defaultRowHeight="12.75" x14ac:dyDescent="0.2"/>
  <cols>
    <col min="1" max="1" width="5.42578125" customWidth="1"/>
    <col min="2" max="2" width="31.140625" customWidth="1"/>
    <col min="3" max="3" width="11.140625" customWidth="1"/>
    <col min="4" max="4" width="11" customWidth="1"/>
    <col min="5" max="5" width="9.140625" customWidth="1"/>
    <col min="6" max="6" width="5.5703125" customWidth="1"/>
    <col min="7" max="8" width="9.42578125" customWidth="1"/>
    <col min="9" max="9" width="7.140625" customWidth="1"/>
    <col min="10" max="10" width="11.85546875" customWidth="1"/>
    <col min="11" max="11" width="3.5703125" customWidth="1"/>
    <col min="12" max="12" width="3.7109375" customWidth="1"/>
    <col min="13" max="13" width="16.140625" customWidth="1"/>
    <col min="14" max="14" width="4.28515625" customWidth="1"/>
  </cols>
  <sheetData>
    <row r="1" spans="1:15" ht="18.75" x14ac:dyDescent="0.3">
      <c r="B1" s="173" t="s">
        <v>163</v>
      </c>
      <c r="C1" s="173"/>
      <c r="D1" s="173"/>
      <c r="E1" s="173"/>
      <c r="F1" s="133" t="str">
        <f>+Инвойс!F1</f>
        <v xml:space="preserve"> 29.08.2025г.</v>
      </c>
      <c r="G1" s="133"/>
      <c r="H1" s="133"/>
      <c r="I1" s="19"/>
      <c r="J1" s="19"/>
      <c r="K1" s="19"/>
      <c r="L1" s="19"/>
      <c r="M1" s="19"/>
    </row>
    <row r="2" spans="1:15" ht="18.75" x14ac:dyDescent="0.3">
      <c r="A2" s="19" t="s">
        <v>30</v>
      </c>
      <c r="B2" s="19"/>
      <c r="C2" s="140" t="str">
        <f>+Инвойс!C2</f>
        <v>к контракту № GR-UF-01 от 22.08.2025 года</v>
      </c>
      <c r="D2" s="140"/>
      <c r="E2" s="140"/>
      <c r="F2" s="140"/>
      <c r="G2" s="140"/>
      <c r="H2" s="140"/>
      <c r="I2" s="140"/>
      <c r="J2" s="19"/>
      <c r="K2" s="19"/>
      <c r="L2" s="19"/>
      <c r="M2" s="19"/>
    </row>
    <row r="3" spans="1:15" ht="13.5" customHeight="1" x14ac:dyDescent="0.3">
      <c r="A3" s="5"/>
      <c r="B3" s="5"/>
      <c r="C3" s="5"/>
      <c r="D3" s="5"/>
      <c r="E3" s="5"/>
      <c r="F3" s="5"/>
      <c r="G3" s="5"/>
      <c r="H3" s="5"/>
      <c r="I3" s="5"/>
      <c r="J3" s="5"/>
      <c r="K3" s="5"/>
      <c r="L3" s="5"/>
      <c r="M3" s="5"/>
    </row>
    <row r="4" spans="1:15" ht="15.75" x14ac:dyDescent="0.25">
      <c r="A4" s="136" t="s">
        <v>19</v>
      </c>
      <c r="B4" s="136"/>
      <c r="C4" s="136"/>
      <c r="D4" s="136"/>
      <c r="E4" s="136"/>
      <c r="G4" s="136" t="s">
        <v>20</v>
      </c>
      <c r="H4" s="136"/>
      <c r="I4" s="136"/>
      <c r="J4" s="136"/>
      <c r="K4" s="136"/>
      <c r="L4" s="136"/>
      <c r="M4" s="136"/>
    </row>
    <row r="5" spans="1:15" ht="14.25" customHeight="1" x14ac:dyDescent="0.2">
      <c r="A5" s="135" t="str">
        <f>+Инвойс!A5</f>
        <v>OOO UCHQIZIL FRUITS EXPORT</v>
      </c>
      <c r="B5" s="135"/>
      <c r="C5" s="135"/>
      <c r="D5" s="135"/>
      <c r="E5" s="135"/>
      <c r="F5" s="6"/>
      <c r="G5" s="137" t="str">
        <f>+Инвойс!G5</f>
        <v>ООО «ГРИН ВОРЛД»</v>
      </c>
      <c r="H5" s="137"/>
      <c r="I5" s="137"/>
      <c r="J5" s="137"/>
      <c r="K5" s="137"/>
      <c r="L5" s="137"/>
      <c r="M5" s="137"/>
    </row>
    <row r="6" spans="1:15" ht="15" x14ac:dyDescent="0.25">
      <c r="A6" s="171" t="str">
        <f>+Инвойс!A6</f>
        <v>РЕСПУБЛИКА УЗБЕКИСТАН. СУРХАНДАРЬИНСКАЯ ОБЛАСТЬ,</v>
      </c>
      <c r="B6" s="171"/>
      <c r="C6" s="171"/>
      <c r="D6" s="171"/>
      <c r="E6" s="171"/>
      <c r="F6" s="7"/>
      <c r="G6" s="170" t="str">
        <f>+Инвойс!G6</f>
        <v xml:space="preserve">454106, ЧЕЛЯБИНСКАЯ ОБЛАСТЬ, Г ЧЕЛЯБИНСК, </v>
      </c>
      <c r="H6" s="170"/>
      <c r="I6" s="170"/>
      <c r="J6" s="170"/>
      <c r="K6" s="170"/>
      <c r="L6" s="170"/>
      <c r="M6" s="170"/>
      <c r="N6" s="4"/>
    </row>
    <row r="7" spans="1:15" ht="15" x14ac:dyDescent="0.25">
      <c r="A7" s="171" t="str">
        <f>+Инвойс!A7</f>
        <v>ТЕРМИЗСКИЙ РАЙОН,ЯНГИХАЯТ МФЙ, УЛИЦА БОГИ ШАМОЛ, 20-А</v>
      </c>
      <c r="B7" s="171"/>
      <c r="C7" s="171"/>
      <c r="D7" s="171"/>
      <c r="E7" s="171"/>
      <c r="F7" s="63"/>
      <c r="G7" s="170" t="str">
        <f>+Инвойс!G7</f>
        <v>УЛ ОСТРОВСКОГО, Д. 36, КВ. 176</v>
      </c>
      <c r="H7" s="170"/>
      <c r="I7" s="170"/>
      <c r="J7" s="170"/>
      <c r="K7" s="170"/>
      <c r="L7" s="170"/>
      <c r="M7" s="170"/>
    </row>
    <row r="8" spans="1:15" ht="15" customHeight="1" x14ac:dyDescent="0.25">
      <c r="A8" s="171" t="str">
        <f>+Инвойс!A8</f>
        <v>в АКБ“KAPITAL BANK”  МФО: 01158  Swift: KACHUZ22</v>
      </c>
      <c r="B8" s="171"/>
      <c r="C8" s="171"/>
      <c r="D8" s="171"/>
      <c r="E8" s="171"/>
      <c r="F8" s="63"/>
      <c r="G8" s="170" t="str">
        <f>+Инвойс!G8</f>
        <v>ИНН/ КПП 7448223299 / 744801001</v>
      </c>
      <c r="H8" s="170"/>
      <c r="I8" s="170"/>
      <c r="J8" s="170"/>
      <c r="K8" s="170"/>
      <c r="L8" s="170"/>
      <c r="M8" s="170"/>
    </row>
    <row r="9" spans="1:15" ht="15" x14ac:dyDescent="0.25">
      <c r="A9" s="171" t="str">
        <f>+Инвойс!A9</f>
        <v>Доллар США: 20208840207293094001</v>
      </c>
      <c r="B9" s="171"/>
      <c r="C9" s="171"/>
      <c r="D9" s="171"/>
      <c r="E9" s="171"/>
      <c r="F9" s="7"/>
      <c r="G9" s="170" t="str">
        <f>+Инвойс!G9</f>
        <v>р/с 40702810000000024357</v>
      </c>
      <c r="H9" s="170"/>
      <c r="I9" s="170"/>
      <c r="J9" s="170"/>
      <c r="K9" s="170"/>
      <c r="L9" s="170"/>
      <c r="M9" s="170"/>
      <c r="O9" s="7"/>
    </row>
    <row r="10" spans="1:15" ht="15" x14ac:dyDescent="0.25">
      <c r="A10" s="171" t="str">
        <f>+Инвойс!A10</f>
        <v>Корреспондирующий банк (RUB): АКБ "Азия Инвест Банк" (АО) :</v>
      </c>
      <c r="B10" s="171"/>
      <c r="C10" s="171"/>
      <c r="D10" s="171"/>
      <c r="E10" s="171"/>
      <c r="F10" s="7"/>
      <c r="G10" s="170" t="str">
        <f>+Инвойс!G10</f>
        <v>Корр. счет: 30101810445250000234</v>
      </c>
      <c r="H10" s="170"/>
      <c r="I10" s="170"/>
      <c r="J10" s="170"/>
      <c r="K10" s="170"/>
      <c r="L10" s="170"/>
      <c r="M10" s="170"/>
    </row>
    <row r="11" spans="1:15" ht="15" x14ac:dyDescent="0.25">
      <c r="A11" s="171" t="str">
        <f>+Инвойс!A11</f>
        <v>SWIFT:ASIJRUMM / БИК 044525234,</v>
      </c>
      <c r="B11" s="171"/>
      <c r="C11" s="171"/>
      <c r="D11" s="171"/>
      <c r="E11" s="171"/>
      <c r="F11" s="7"/>
      <c r="G11" s="170" t="str">
        <f>+Инвойс!G11</f>
        <v>Азия-Инвест Банк (АО) г. Москва</v>
      </c>
      <c r="H11" s="170"/>
      <c r="I11" s="170"/>
      <c r="J11" s="170"/>
      <c r="K11" s="170"/>
      <c r="L11" s="170"/>
      <c r="M11" s="170"/>
    </row>
    <row r="12" spans="1:15" ht="36" customHeight="1" x14ac:dyDescent="0.25">
      <c r="A12" s="138"/>
      <c r="B12" s="138"/>
      <c r="C12" s="138"/>
      <c r="D12" s="138"/>
      <c r="E12" s="138"/>
      <c r="F12" s="7"/>
      <c r="G12" s="138"/>
      <c r="H12" s="138"/>
      <c r="I12" s="138"/>
      <c r="J12" s="138"/>
      <c r="K12" s="138"/>
      <c r="L12" s="138"/>
      <c r="M12" s="138"/>
    </row>
    <row r="13" spans="1:15" ht="24" customHeight="1" x14ac:dyDescent="0.25">
      <c r="A13" s="136" t="s">
        <v>31</v>
      </c>
      <c r="B13" s="136"/>
      <c r="C13" s="136"/>
      <c r="D13" s="136"/>
      <c r="E13" s="136"/>
      <c r="G13" s="136" t="s">
        <v>21</v>
      </c>
      <c r="H13" s="144"/>
      <c r="I13" s="144"/>
      <c r="J13" s="144"/>
      <c r="K13" s="144"/>
      <c r="L13" s="144"/>
      <c r="M13" s="144"/>
    </row>
    <row r="14" spans="1:15" ht="14.25" customHeight="1" x14ac:dyDescent="0.2">
      <c r="A14" s="135" t="str">
        <f>+Инвойс!A14</f>
        <v>OOO UCHQIZIL FRUITS EXPORT</v>
      </c>
      <c r="B14" s="135"/>
      <c r="C14" s="135"/>
      <c r="D14" s="135"/>
      <c r="E14" s="135"/>
      <c r="F14" s="6"/>
      <c r="G14" s="137" t="str">
        <f>+Инвойс!G14</f>
        <v>ООО «ГРИН ВОРЛД»</v>
      </c>
      <c r="H14" s="137"/>
      <c r="I14" s="137"/>
      <c r="J14" s="137"/>
      <c r="K14" s="137"/>
      <c r="L14" s="137"/>
      <c r="M14" s="137"/>
    </row>
    <row r="15" spans="1:15" ht="13.9" customHeight="1" x14ac:dyDescent="0.25">
      <c r="A15" s="171" t="str">
        <f>+Инвойс!A15</f>
        <v>РЕСПУБЛИКА УЗБЕКИСТАН. СУРХАНДАРЬИНСКАЯ ОБЛАСТЬ,</v>
      </c>
      <c r="B15" s="171"/>
      <c r="C15" s="171"/>
      <c r="D15" s="171"/>
      <c r="E15" s="171"/>
      <c r="F15" s="7"/>
      <c r="G15" s="170" t="str">
        <f>+Инвойс!G15</f>
        <v xml:space="preserve">454106, ЧЕЛЯБИНСКАЯ ОБЛАСТЬ, Г ЧЕЛЯБИНСК, </v>
      </c>
      <c r="H15" s="170"/>
      <c r="I15" s="170"/>
      <c r="J15" s="170"/>
      <c r="K15" s="170"/>
      <c r="L15" s="170"/>
      <c r="M15" s="170"/>
    </row>
    <row r="16" spans="1:15" ht="15" x14ac:dyDescent="0.25">
      <c r="A16" s="171" t="str">
        <f>+Инвойс!A16</f>
        <v>ТЕРМИЗСКИЙ РАЙОН,ЯНГИХАЯТ МФЙ, УЛИЦА БОГИ ШАМОЛ, 20-А</v>
      </c>
      <c r="B16" s="171"/>
      <c r="C16" s="171"/>
      <c r="D16" s="171"/>
      <c r="E16" s="171"/>
      <c r="F16" s="63"/>
      <c r="G16" s="170" t="str">
        <f>+Инвойс!G16</f>
        <v>УЛ ОСТРОВСКОГО, Д. 36, КВ. 176</v>
      </c>
      <c r="H16" s="170"/>
      <c r="I16" s="170"/>
      <c r="J16" s="170"/>
      <c r="K16" s="170"/>
      <c r="L16" s="170"/>
      <c r="M16" s="170"/>
    </row>
    <row r="17" spans="1:17" ht="15" customHeight="1" x14ac:dyDescent="0.25">
      <c r="A17" s="171" t="str">
        <f>+Инвойс!A17</f>
        <v>в АКБ“KAPITAL BANK”  МФО: 01158  Swift: KACHUZ22</v>
      </c>
      <c r="B17" s="171"/>
      <c r="C17" s="171"/>
      <c r="D17" s="171"/>
      <c r="E17" s="171"/>
      <c r="F17" s="63"/>
      <c r="G17" s="170" t="str">
        <f>+Инвойс!G17</f>
        <v>ИНН/ КПП 7448223299 / 744801001</v>
      </c>
      <c r="H17" s="170"/>
      <c r="I17" s="170"/>
      <c r="J17" s="170"/>
      <c r="K17" s="170"/>
      <c r="L17" s="170"/>
      <c r="M17" s="170"/>
    </row>
    <row r="18" spans="1:17" ht="15" x14ac:dyDescent="0.25">
      <c r="A18" s="171" t="str">
        <f>+Инвойс!A18</f>
        <v>Доллар США: 20208840207293094001</v>
      </c>
      <c r="B18" s="171"/>
      <c r="C18" s="171"/>
      <c r="D18" s="171"/>
      <c r="E18" s="171"/>
      <c r="F18" s="7"/>
      <c r="G18" s="170" t="str">
        <f>+Инвойс!G18</f>
        <v>р/с 40702810000000024357</v>
      </c>
      <c r="H18" s="170"/>
      <c r="I18" s="170"/>
      <c r="J18" s="170"/>
      <c r="K18" s="170"/>
      <c r="L18" s="170"/>
      <c r="M18" s="170"/>
    </row>
    <row r="19" spans="1:17" ht="15" x14ac:dyDescent="0.25">
      <c r="A19" s="171" t="str">
        <f>+Инвойс!A19</f>
        <v>Корреспондирующий банк (RUB): АКБ "Азия Инвест Банк" (АО) :</v>
      </c>
      <c r="B19" s="171"/>
      <c r="C19" s="171"/>
      <c r="D19" s="171"/>
      <c r="E19" s="171"/>
      <c r="F19" s="7"/>
      <c r="G19" s="170" t="str">
        <f>+Инвойс!G19</f>
        <v>Корр. счет: 30101810445250000234</v>
      </c>
      <c r="H19" s="170"/>
      <c r="I19" s="170"/>
      <c r="J19" s="170"/>
      <c r="K19" s="170"/>
      <c r="L19" s="170"/>
      <c r="M19" s="170"/>
    </row>
    <row r="20" spans="1:17" ht="15" x14ac:dyDescent="0.25">
      <c r="A20" s="171" t="str">
        <f>+Инвойс!A20</f>
        <v>SWIFT:ASIJRUMM / БИК 044525234,</v>
      </c>
      <c r="B20" s="171"/>
      <c r="C20" s="171"/>
      <c r="D20" s="171"/>
      <c r="E20" s="171"/>
      <c r="F20" s="7"/>
      <c r="G20" s="170" t="str">
        <f>+Инвойс!G20</f>
        <v>Азия-Инвест Банк (АО) г. Москва</v>
      </c>
      <c r="H20" s="170"/>
      <c r="I20" s="170"/>
      <c r="J20" s="170"/>
      <c r="K20" s="170"/>
      <c r="L20" s="170"/>
      <c r="M20" s="170"/>
    </row>
    <row r="21" spans="1:17" ht="15" x14ac:dyDescent="0.25">
      <c r="A21" s="171"/>
      <c r="B21" s="171"/>
      <c r="C21" s="171"/>
      <c r="D21" s="171"/>
      <c r="E21" s="171"/>
      <c r="G21" s="7"/>
      <c r="H21" s="23"/>
      <c r="I21" s="23"/>
      <c r="J21" s="23"/>
    </row>
    <row r="22" spans="1:17" ht="43.5" customHeight="1" x14ac:dyDescent="0.25">
      <c r="A22" s="1" t="s">
        <v>124</v>
      </c>
      <c r="C22" s="65"/>
      <c r="F22" s="1"/>
    </row>
    <row r="23" spans="1:17" ht="26.25" hidden="1" customHeight="1" x14ac:dyDescent="0.2">
      <c r="A23" s="69" t="s">
        <v>87</v>
      </c>
      <c r="B23" s="68"/>
      <c r="C23" s="172" t="s">
        <v>115</v>
      </c>
      <c r="D23" s="172"/>
      <c r="E23" s="172"/>
      <c r="F23" s="172"/>
      <c r="G23" s="172"/>
      <c r="H23" s="172"/>
      <c r="I23" s="172"/>
      <c r="J23" s="172"/>
      <c r="K23" s="172"/>
      <c r="L23" s="172"/>
      <c r="M23" s="172"/>
    </row>
    <row r="24" spans="1:17" ht="15.75" x14ac:dyDescent="0.25">
      <c r="A24" s="20" t="s">
        <v>22</v>
      </c>
      <c r="C24" s="18" t="str">
        <f>+Инвойс!C24</f>
        <v>DAP - с Амандык, Республика Казахстан</v>
      </c>
      <c r="D24" s="113"/>
      <c r="E24" s="113"/>
      <c r="F24" s="113"/>
      <c r="G24" s="113"/>
      <c r="H24" s="113"/>
      <c r="I24" s="113"/>
      <c r="J24" s="113"/>
      <c r="K24" s="113"/>
      <c r="L24" s="113"/>
      <c r="M24" s="113"/>
    </row>
    <row r="25" spans="1:17" ht="15.75" x14ac:dyDescent="0.25">
      <c r="A25" s="1" t="s">
        <v>23</v>
      </c>
      <c r="C25" s="18" t="s">
        <v>24</v>
      </c>
    </row>
    <row r="26" spans="1:17" ht="15.75" x14ac:dyDescent="0.25">
      <c r="A26" s="1" t="s">
        <v>25</v>
      </c>
      <c r="C26" s="18" t="s">
        <v>26</v>
      </c>
      <c r="E26" s="154" t="str">
        <f>+Инвойс!E26</f>
        <v>50187QBA/504284BA</v>
      </c>
      <c r="F26" s="155"/>
      <c r="G26" s="155"/>
      <c r="J26" s="21"/>
    </row>
    <row r="27" spans="1:17" ht="34.5" customHeight="1" x14ac:dyDescent="0.25">
      <c r="A27" s="67" t="s">
        <v>125</v>
      </c>
      <c r="C27" s="18"/>
      <c r="E27" s="22"/>
      <c r="F27" s="22"/>
      <c r="G27" s="22"/>
      <c r="J27" s="21"/>
    </row>
    <row r="28" spans="1:17" ht="24" customHeight="1" x14ac:dyDescent="0.2">
      <c r="A28" s="147" t="s">
        <v>1</v>
      </c>
      <c r="B28" s="147" t="s">
        <v>2</v>
      </c>
      <c r="C28" s="147" t="s">
        <v>3</v>
      </c>
      <c r="D28" s="147" t="s">
        <v>4</v>
      </c>
      <c r="E28" s="147" t="s">
        <v>5</v>
      </c>
      <c r="F28" s="147" t="s">
        <v>6</v>
      </c>
      <c r="G28" s="151" t="s">
        <v>7</v>
      </c>
      <c r="H28" s="152"/>
      <c r="I28" s="147" t="s">
        <v>8</v>
      </c>
      <c r="J28" s="110" t="s">
        <v>9</v>
      </c>
      <c r="K28" s="151" t="s">
        <v>10</v>
      </c>
      <c r="L28" s="152"/>
      <c r="M28" s="147" t="s">
        <v>11</v>
      </c>
    </row>
    <row r="29" spans="1:17" ht="32.25" x14ac:dyDescent="0.2">
      <c r="A29" s="148"/>
      <c r="B29" s="148"/>
      <c r="C29" s="148"/>
      <c r="D29" s="148"/>
      <c r="E29" s="148"/>
      <c r="F29" s="148"/>
      <c r="G29" s="110" t="s">
        <v>12</v>
      </c>
      <c r="H29" s="110" t="s">
        <v>13</v>
      </c>
      <c r="I29" s="148"/>
      <c r="J29" s="111" t="s">
        <v>14</v>
      </c>
      <c r="K29" s="10" t="s">
        <v>15</v>
      </c>
      <c r="L29" s="10" t="s">
        <v>16</v>
      </c>
      <c r="M29" s="148"/>
    </row>
    <row r="30" spans="1:17" ht="30" customHeight="1" x14ac:dyDescent="0.2">
      <c r="A30" s="126">
        <f>+Инвойс!A30</f>
        <v>1</v>
      </c>
      <c r="B30" s="101" t="str">
        <f>+Инвойс!B30</f>
        <v>Дыни свежие</v>
      </c>
      <c r="C30" s="107" t="str">
        <f>+Инвойс!C30</f>
        <v>0807190001</v>
      </c>
      <c r="D30" s="114" t="str">
        <f>+Инвойс!D30</f>
        <v>Карт.Коробок</v>
      </c>
      <c r="E30" s="101">
        <f>+Инвойс!E30</f>
        <v>1000</v>
      </c>
      <c r="F30" s="115" t="str">
        <f>+Инвойс!F30</f>
        <v>кг</v>
      </c>
      <c r="G30" s="106">
        <f>+Инвойс!G30</f>
        <v>23300</v>
      </c>
      <c r="H30" s="106">
        <f>+Инвойс!H30</f>
        <v>21500</v>
      </c>
      <c r="I30" s="108">
        <f>+Инвойс!I30</f>
        <v>0.25</v>
      </c>
      <c r="J30" s="13">
        <f>+Инвойс!J30</f>
        <v>5375</v>
      </c>
      <c r="K30" s="12">
        <v>0</v>
      </c>
      <c r="L30" s="12">
        <v>0</v>
      </c>
      <c r="M30" s="13">
        <f>+Инвойс!M30</f>
        <v>5375</v>
      </c>
      <c r="O30" s="100"/>
      <c r="Q30" s="100"/>
    </row>
    <row r="31" spans="1:17" ht="14.25" x14ac:dyDescent="0.2">
      <c r="A31" s="149" t="s">
        <v>0</v>
      </c>
      <c r="B31" s="150"/>
      <c r="C31" s="14"/>
      <c r="D31" s="15"/>
      <c r="E31" s="64">
        <f>SUM(E30:E30)</f>
        <v>1000</v>
      </c>
      <c r="F31" s="15"/>
      <c r="G31" s="64">
        <f>SUM(G30:G30)</f>
        <v>23300</v>
      </c>
      <c r="H31" s="64">
        <f>SUM(H30:H30)</f>
        <v>21500</v>
      </c>
      <c r="I31" s="102"/>
      <c r="J31" s="17">
        <f>SUM(J30:J30)</f>
        <v>5375</v>
      </c>
      <c r="K31" s="16"/>
      <c r="L31" s="16"/>
      <c r="M31" s="17">
        <f>SUM(M30:M30)</f>
        <v>5375</v>
      </c>
      <c r="P31" s="66"/>
    </row>
    <row r="32" spans="1:17" ht="13.5" x14ac:dyDescent="0.25">
      <c r="A32" s="2" t="s">
        <v>17</v>
      </c>
      <c r="B32" s="3"/>
      <c r="C32" s="11"/>
      <c r="D32" s="11"/>
      <c r="E32" s="145" t="str">
        <f>Лист1!B3</f>
        <v>Пять тысяч триста семьдесят пять долларов США, 00 центов.</v>
      </c>
      <c r="F32" s="146"/>
      <c r="G32" s="146"/>
      <c r="H32" s="146"/>
      <c r="I32" s="146"/>
      <c r="J32" s="146"/>
      <c r="K32" s="146"/>
      <c r="L32" s="146"/>
      <c r="M32" s="146"/>
    </row>
    <row r="33" spans="1:14" ht="20.25" customHeight="1" x14ac:dyDescent="0.2">
      <c r="A33" s="143"/>
      <c r="B33" s="143"/>
      <c r="C33" s="143"/>
      <c r="D33" s="143"/>
      <c r="E33" s="143"/>
      <c r="F33" s="143"/>
      <c r="G33" s="143"/>
      <c r="H33" s="143"/>
      <c r="I33" s="143"/>
      <c r="J33" s="143"/>
      <c r="K33" s="143"/>
      <c r="L33" s="143"/>
      <c r="M33" s="143"/>
    </row>
    <row r="34" spans="1:14" ht="25.5" customHeight="1" x14ac:dyDescent="0.2">
      <c r="A34" s="143"/>
      <c r="B34" s="143"/>
      <c r="C34" s="143"/>
      <c r="D34" s="143"/>
      <c r="E34" s="143"/>
      <c r="F34" s="143"/>
      <c r="G34" s="143"/>
      <c r="H34" s="143"/>
      <c r="I34" s="143"/>
      <c r="J34" s="143"/>
      <c r="K34" s="143"/>
      <c r="L34" s="143"/>
      <c r="M34" s="143"/>
      <c r="N34" s="26"/>
    </row>
    <row r="36" spans="1:14" s="18" customFormat="1" ht="15.75" x14ac:dyDescent="0.25">
      <c r="A36" s="130" t="s">
        <v>158</v>
      </c>
      <c r="B36" s="130"/>
      <c r="D36" s="18" t="str">
        <f>+Инвойс!D36</f>
        <v>ЭШТЕМИРОВ Х.Х</v>
      </c>
      <c r="E36" s="131"/>
      <c r="G36" s="128" t="s">
        <v>130</v>
      </c>
      <c r="H36" s="18" t="str">
        <f>Инвойс!G5</f>
        <v>ООО «ГРИН ВОРЛД»</v>
      </c>
      <c r="K36" s="132" t="s">
        <v>147</v>
      </c>
    </row>
    <row r="37" spans="1:14" ht="15" x14ac:dyDescent="0.25">
      <c r="A37" s="7"/>
      <c r="B37" s="9"/>
    </row>
    <row r="38" spans="1:14" ht="15" x14ac:dyDescent="0.25">
      <c r="A38" s="7"/>
      <c r="B38" s="9"/>
    </row>
    <row r="39" spans="1:14" ht="15" x14ac:dyDescent="0.25">
      <c r="A39" s="7"/>
      <c r="B39" s="9"/>
    </row>
    <row r="40" spans="1:14" ht="15" x14ac:dyDescent="0.25">
      <c r="A40" s="7"/>
      <c r="B40" s="9"/>
    </row>
    <row r="41" spans="1:14" ht="15" x14ac:dyDescent="0.25">
      <c r="A41" s="8"/>
      <c r="B41" s="9"/>
    </row>
    <row r="42" spans="1:14" x14ac:dyDescent="0.2">
      <c r="A42" s="4"/>
    </row>
  </sheetData>
  <mergeCells count="54">
    <mergeCell ref="A5:E5"/>
    <mergeCell ref="G5:M5"/>
    <mergeCell ref="F1:H1"/>
    <mergeCell ref="C2:I2"/>
    <mergeCell ref="A4:E4"/>
    <mergeCell ref="G4:M4"/>
    <mergeCell ref="B1:E1"/>
    <mergeCell ref="E26:G26"/>
    <mergeCell ref="G6:M6"/>
    <mergeCell ref="G7:M7"/>
    <mergeCell ref="G8:M8"/>
    <mergeCell ref="G12:M12"/>
    <mergeCell ref="A13:E13"/>
    <mergeCell ref="G13:M13"/>
    <mergeCell ref="A14:E14"/>
    <mergeCell ref="G14:M14"/>
    <mergeCell ref="G15:M15"/>
    <mergeCell ref="G16:M16"/>
    <mergeCell ref="C23:M23"/>
    <mergeCell ref="A6:E6"/>
    <mergeCell ref="A7:E7"/>
    <mergeCell ref="A8:E8"/>
    <mergeCell ref="A9:E9"/>
    <mergeCell ref="A33:M33"/>
    <mergeCell ref="A34:M34"/>
    <mergeCell ref="G28:H28"/>
    <mergeCell ref="I28:I29"/>
    <mergeCell ref="K28:L28"/>
    <mergeCell ref="M28:M29"/>
    <mergeCell ref="A31:B31"/>
    <mergeCell ref="E32:M32"/>
    <mergeCell ref="A28:A29"/>
    <mergeCell ref="B28:B29"/>
    <mergeCell ref="C28:C29"/>
    <mergeCell ref="D28:D29"/>
    <mergeCell ref="E28:E29"/>
    <mergeCell ref="F28:F29"/>
    <mergeCell ref="A10:E10"/>
    <mergeCell ref="A11:E11"/>
    <mergeCell ref="A12:E12"/>
    <mergeCell ref="A15:E15"/>
    <mergeCell ref="A16:E16"/>
    <mergeCell ref="A17:E17"/>
    <mergeCell ref="A18:E18"/>
    <mergeCell ref="A19:E19"/>
    <mergeCell ref="A20:E20"/>
    <mergeCell ref="A21:E21"/>
    <mergeCell ref="G19:M19"/>
    <mergeCell ref="G20:M20"/>
    <mergeCell ref="G9:M9"/>
    <mergeCell ref="G10:M10"/>
    <mergeCell ref="G11:M11"/>
    <mergeCell ref="G17:M17"/>
    <mergeCell ref="G18:M18"/>
  </mergeCells>
  <phoneticPr fontId="8" type="noConversion"/>
  <pageMargins left="0.7" right="0.7" top="0.75" bottom="0.75" header="0.3" footer="0.3"/>
  <pageSetup paperSize="9" scale="65" orientation="portrait" horizontalDpi="200" verticalDpi="200" r:id="rId1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29"/>
  <sheetViews>
    <sheetView zoomScale="85" zoomScaleNormal="85" workbookViewId="0">
      <selection activeCell="E8" sqref="E8"/>
    </sheetView>
  </sheetViews>
  <sheetFormatPr defaultRowHeight="12.75" x14ac:dyDescent="0.2"/>
  <cols>
    <col min="1" max="1" width="48.7109375" bestFit="1" customWidth="1"/>
  </cols>
  <sheetData>
    <row r="1" spans="1:10" ht="38.25" x14ac:dyDescent="0.2">
      <c r="A1" s="125" t="s">
        <v>116</v>
      </c>
    </row>
    <row r="3" spans="1:10" ht="51" x14ac:dyDescent="0.2">
      <c r="A3" s="129" t="s">
        <v>128</v>
      </c>
    </row>
    <row r="5" spans="1:10" ht="38.25" x14ac:dyDescent="0.2">
      <c r="A5" s="125" t="s">
        <v>117</v>
      </c>
    </row>
    <row r="6" spans="1:10" x14ac:dyDescent="0.2">
      <c r="E6" s="18" t="s">
        <v>129</v>
      </c>
      <c r="J6" s="25" t="s">
        <v>132</v>
      </c>
    </row>
    <row r="7" spans="1:10" ht="51" x14ac:dyDescent="0.2">
      <c r="A7" s="125" t="s">
        <v>118</v>
      </c>
    </row>
    <row r="8" spans="1:10" x14ac:dyDescent="0.2">
      <c r="E8" s="18" t="s">
        <v>138</v>
      </c>
      <c r="J8" s="25" t="s">
        <v>133</v>
      </c>
    </row>
    <row r="9" spans="1:10" ht="51" x14ac:dyDescent="0.2">
      <c r="A9" s="125" t="s">
        <v>119</v>
      </c>
    </row>
    <row r="10" spans="1:10" x14ac:dyDescent="0.2">
      <c r="A10" s="125"/>
      <c r="E10" s="18" t="s">
        <v>134</v>
      </c>
      <c r="J10" s="25" t="s">
        <v>135</v>
      </c>
    </row>
    <row r="11" spans="1:10" ht="51" x14ac:dyDescent="0.2">
      <c r="A11" s="125" t="s">
        <v>159</v>
      </c>
    </row>
    <row r="12" spans="1:10" x14ac:dyDescent="0.2">
      <c r="E12" s="18" t="s">
        <v>136</v>
      </c>
      <c r="J12" s="25" t="s">
        <v>137</v>
      </c>
    </row>
    <row r="13" spans="1:10" ht="51" x14ac:dyDescent="0.2">
      <c r="A13" s="125" t="s">
        <v>120</v>
      </c>
    </row>
    <row r="15" spans="1:10" ht="38.25" x14ac:dyDescent="0.2">
      <c r="A15" s="125" t="s">
        <v>121</v>
      </c>
    </row>
    <row r="17" spans="1:1" ht="38.25" x14ac:dyDescent="0.2">
      <c r="A17" s="125" t="s">
        <v>122</v>
      </c>
    </row>
    <row r="19" spans="1:1" ht="38.25" x14ac:dyDescent="0.2">
      <c r="A19" s="127" t="s">
        <v>123</v>
      </c>
    </row>
    <row r="21" spans="1:1" ht="12.75" customHeight="1" x14ac:dyDescent="0.2"/>
    <row r="25" spans="1:1" ht="12.75" customHeight="1" x14ac:dyDescent="0.2"/>
    <row r="29" spans="1:1" ht="12.75" customHeight="1" x14ac:dyDescent="0.2"/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S101"/>
  <sheetViews>
    <sheetView topLeftCell="A4" workbookViewId="0">
      <selection activeCell="B3" sqref="B3"/>
    </sheetView>
  </sheetViews>
  <sheetFormatPr defaultColWidth="9.140625" defaultRowHeight="12.75" x14ac:dyDescent="0.2"/>
  <cols>
    <col min="1" max="1" width="17" customWidth="1"/>
    <col min="2" max="2" width="9" customWidth="1"/>
    <col min="3" max="3" width="6.5703125" customWidth="1"/>
    <col min="4" max="4" width="13.5703125" customWidth="1"/>
    <col min="5" max="5" width="23" customWidth="1"/>
    <col min="6" max="6" width="9.42578125" customWidth="1"/>
    <col min="8" max="8" width="13.28515625" style="33" customWidth="1"/>
    <col min="9" max="9" width="10.140625" bestFit="1" customWidth="1"/>
    <col min="13" max="13" width="15.42578125" bestFit="1" customWidth="1"/>
    <col min="17" max="17" width="15.42578125" bestFit="1" customWidth="1"/>
  </cols>
  <sheetData>
    <row r="1" spans="1:19" ht="30" customHeight="1" x14ac:dyDescent="0.2">
      <c r="A1" s="176" t="s">
        <v>32</v>
      </c>
      <c r="B1" s="176"/>
      <c r="C1" s="176"/>
      <c r="D1" s="176"/>
      <c r="E1" s="176"/>
      <c r="F1" s="176"/>
      <c r="G1" s="176"/>
      <c r="H1" s="176"/>
      <c r="I1" s="176"/>
      <c r="J1" s="176"/>
      <c r="K1" s="176"/>
      <c r="L1" s="176"/>
      <c r="M1" s="176"/>
      <c r="N1" s="176"/>
    </row>
    <row r="2" spans="1:19" ht="15.75" x14ac:dyDescent="0.25">
      <c r="E2" s="27">
        <f>Инвойс!M31</f>
        <v>5375</v>
      </c>
      <c r="G2" s="28">
        <v>357.79118644067796</v>
      </c>
      <c r="H2" s="4"/>
    </row>
    <row r="3" spans="1:19" ht="15.75" x14ac:dyDescent="0.25">
      <c r="A3" s="29" t="s">
        <v>33</v>
      </c>
      <c r="B3" s="30" t="str">
        <f>SUBSTITUTE(B5,F9,F10,1)</f>
        <v>Пять тысяч триста семьдесят пять долларов США, 00 центов.</v>
      </c>
      <c r="E3" s="31"/>
      <c r="H3" s="32"/>
      <c r="J3" s="32"/>
      <c r="K3" s="32"/>
      <c r="L3" s="32"/>
      <c r="M3" s="33" t="s">
        <v>34</v>
      </c>
      <c r="N3" s="177">
        <f ca="1">TODAY()</f>
        <v>45898</v>
      </c>
      <c r="O3" s="177"/>
      <c r="P3">
        <f ca="1">DAY(N3)</f>
        <v>29</v>
      </c>
      <c r="Q3" s="34" t="str">
        <f ca="1">IF(Q4&gt;7,S3,S4)</f>
        <v>августа</v>
      </c>
      <c r="R3" s="4">
        <f ca="1">YEAR(N3)</f>
        <v>2025</v>
      </c>
      <c r="S3" s="35" t="str">
        <f ca="1">IF(Q4=8,"августа",IF(Q4=9,"сентября",IF(Q4=10,"октября",IF(Q4=11,"ноября",IF(Q4=12,"декабря","не отсюда")))))</f>
        <v>августа</v>
      </c>
    </row>
    <row r="4" spans="1:19" x14ac:dyDescent="0.2">
      <c r="A4" s="29" t="s">
        <v>35</v>
      </c>
      <c r="B4" s="36" t="str">
        <f>SUBSTITUTE(B6,F9,F10,1)</f>
        <v>Пять тысяч триста семьдесят пять долларов США, 00 центов. (в т.ч. НДС - 357,79)</v>
      </c>
      <c r="H4" s="32"/>
      <c r="I4" s="32"/>
      <c r="J4" s="32"/>
      <c r="K4" s="178" t="str">
        <f ca="1">CONCATENATE(" «  ",P3,"  »  ",Q3,"  ",R3," г.")</f>
        <v xml:space="preserve"> «  29  »  августа  2025 г.</v>
      </c>
      <c r="L4" s="178"/>
      <c r="M4" s="178"/>
      <c r="N4" s="37"/>
      <c r="O4" s="37"/>
      <c r="P4" s="32"/>
      <c r="Q4" s="34">
        <f ca="1">MONTH(N3)</f>
        <v>8</v>
      </c>
      <c r="R4" s="32"/>
      <c r="S4" s="35" t="str">
        <f ca="1">IF(Q4=1,"января",IF(Q4=2,"февраля",IF(Q4=3,"марта",IF(Q4=4,"апреля",IF(Q4=5,"мая",IF(Q4=6,"июня",IF(Q4=7,"июля","брать не отсюда")))))))</f>
        <v>брать не отсюда</v>
      </c>
    </row>
    <row r="5" spans="1:19" x14ac:dyDescent="0.2">
      <c r="A5" s="38" t="s">
        <v>36</v>
      </c>
      <c r="B5" s="36" t="str">
        <f>CONCATENATE(A8,A9,A10,A11,A12)</f>
        <v>пять тысяч триста семьдесят пять долларов США, 00 центов.</v>
      </c>
    </row>
    <row r="6" spans="1:19" s="36" customFormat="1" x14ac:dyDescent="0.2">
      <c r="A6" s="38" t="s">
        <v>37</v>
      </c>
      <c r="B6" s="36" t="str">
        <f>CONCATENATE(A8,A9,A10,A11,A12,B8,B9,C9)</f>
        <v>пять тысяч триста семьдесят пять долларов США, 00 центов. (в т.ч. НДС - 357,79)</v>
      </c>
      <c r="C6"/>
      <c r="D6"/>
      <c r="E6"/>
      <c r="H6" s="39"/>
    </row>
    <row r="7" spans="1:19" x14ac:dyDescent="0.2">
      <c r="D7" s="33"/>
      <c r="H7" s="179" t="s">
        <v>38</v>
      </c>
      <c r="I7" s="179"/>
      <c r="J7" s="179"/>
    </row>
    <row r="8" spans="1:19" ht="12.75" customHeight="1" x14ac:dyDescent="0.2">
      <c r="A8" s="40" t="str">
        <f>CONCATENATE(IF(B15=0,"",E15),IF(B16=0,"",IF(C17&lt;20,IF(C17&lt;16,IF(C17&lt;10,E16,D17),F17),E16)),IF(B17=0,"",IF(NOT(B16=1),E17,"")),F18)</f>
        <v/>
      </c>
      <c r="B8" t="s">
        <v>39</v>
      </c>
      <c r="D8" s="33"/>
      <c r="F8" s="41">
        <f>CODE(B6)</f>
        <v>239</v>
      </c>
      <c r="G8" s="42"/>
      <c r="H8" s="179"/>
      <c r="I8" s="179"/>
      <c r="J8" s="179"/>
    </row>
    <row r="9" spans="1:19" ht="12.75" customHeight="1" x14ac:dyDescent="0.2">
      <c r="A9" s="43" t="str">
        <f>CONCATENATE(IF(B19=0,"",E19),IF(B20=0,"",IF(C21&lt;20,IF(C21&lt;16,IF(C21&lt;10,E20,D21),F21),E20)),IF(B21=0,"",IF(NOT(B20=1),E21,"")),F22)</f>
        <v/>
      </c>
      <c r="B9" s="44">
        <f>ROUND((G2),2)</f>
        <v>357.79</v>
      </c>
      <c r="C9" t="s">
        <v>40</v>
      </c>
      <c r="D9" s="45"/>
      <c r="F9" s="41" t="str">
        <f>CHAR(F8)</f>
        <v>п</v>
      </c>
      <c r="G9" s="42"/>
      <c r="H9" s="179"/>
      <c r="I9" s="179"/>
      <c r="J9" s="179"/>
      <c r="Q9" s="46"/>
    </row>
    <row r="10" spans="1:19" s="43" customFormat="1" ht="12.75" customHeight="1" x14ac:dyDescent="0.2">
      <c r="A10" s="43" t="str">
        <f>CONCATENATE(IF(B23=0,"",E23),IF(B24=0,"",IF(C25&lt;20,IF(C25&lt;16,IF(C25&lt;10,E24,D25),F25),E24)),IF(B25=0,"",IF(NOT(B24=1),E25,"")),F26)</f>
        <v xml:space="preserve">пять тысяч </v>
      </c>
      <c r="D10" s="47"/>
      <c r="E10" s="48"/>
      <c r="F10" s="41" t="str">
        <f>PROPER(F9)</f>
        <v>П</v>
      </c>
      <c r="G10" s="42"/>
      <c r="H10" s="179"/>
      <c r="I10" s="179"/>
      <c r="J10" s="179"/>
    </row>
    <row r="11" spans="1:19" s="43" customFormat="1" ht="12.75" customHeight="1" x14ac:dyDescent="0.2">
      <c r="A11" s="43" t="str">
        <f>CONCATENATE(IF(B27=0,"",E27),IF(B28=0,"",IF(C29&lt;20,IF(C29&lt;16,IF(C29&lt;10,E28,D29),F29),E28)),IF(B29=0,"",IF(NOT(B28=1),E29,"")),F30)</f>
        <v xml:space="preserve">триста семьдесят пять долларов США, </v>
      </c>
      <c r="D11" s="47"/>
      <c r="E11" s="48"/>
      <c r="H11" s="179"/>
      <c r="I11" s="179"/>
      <c r="J11" s="179"/>
    </row>
    <row r="12" spans="1:19" s="43" customFormat="1" x14ac:dyDescent="0.2">
      <c r="A12" s="49" t="str">
        <f>CONCATENATE(IF(C31=0,"0",C31),IF(C32=0,"0",C32)," ",F33)</f>
        <v>00 центов.</v>
      </c>
      <c r="D12" s="47"/>
      <c r="E12" s="48"/>
      <c r="M12" s="50">
        <f ca="1">TODAY()</f>
        <v>45898</v>
      </c>
    </row>
    <row r="13" spans="1:19" s="43" customFormat="1" x14ac:dyDescent="0.2">
      <c r="A13" s="49"/>
      <c r="D13" s="51"/>
      <c r="E13" s="52">
        <f>TRUNC(E2)</f>
        <v>5375</v>
      </c>
      <c r="F13" s="51" t="s">
        <v>41</v>
      </c>
      <c r="H13" s="47"/>
      <c r="M13" s="53"/>
    </row>
    <row r="14" spans="1:19" s="43" customFormat="1" x14ac:dyDescent="0.2">
      <c r="A14" s="54">
        <f>TRUNC(A15/10)</f>
        <v>0</v>
      </c>
      <c r="B14" s="47"/>
      <c r="C14" s="51"/>
      <c r="H14" s="47"/>
    </row>
    <row r="15" spans="1:19" s="43" customFormat="1" x14ac:dyDescent="0.2">
      <c r="A15" s="54">
        <f>TRUNC(A16/10)</f>
        <v>0</v>
      </c>
      <c r="B15" s="47">
        <f>TRUNC(RIGHT(A15))</f>
        <v>0</v>
      </c>
      <c r="C15" s="51">
        <f>B15</f>
        <v>0</v>
      </c>
      <c r="E15" s="55" t="str">
        <f>IF(B15=1,E43,IF(B15=2,G35,IF(B15=3,G36,IF(B15=4,G37,IF(B15=5,G38,IF(B15=6,G39,IF(B15=7,G40,IF(B15=8,G41,G42))))))))</f>
        <v xml:space="preserve">девятьсот </v>
      </c>
      <c r="H15" s="47"/>
    </row>
    <row r="16" spans="1:19" s="43" customFormat="1" x14ac:dyDescent="0.2">
      <c r="A16" s="54">
        <f>TRUNC(A17/10)</f>
        <v>0</v>
      </c>
      <c r="B16" s="47">
        <f>TRUNC(RIGHT(A16))</f>
        <v>0</v>
      </c>
      <c r="C16" s="51">
        <f>IF(B16=1,"",B16)</f>
        <v>0</v>
      </c>
      <c r="E16" s="56" t="str">
        <f>IF(OR(C16=0,B16=1),"",IF(B16=2,E35,IF(B16=3,E36,IF(B16=4,E37,IF(B16=5,E38,IF(B16=6,E39,IF(B16=7,E40,IF(B16=8,E41,E42))))))))</f>
        <v/>
      </c>
      <c r="H16" s="47"/>
    </row>
    <row r="17" spans="1:9" s="43" customFormat="1" x14ac:dyDescent="0.2">
      <c r="A17" s="54">
        <f>TRUNC(A19/10)</f>
        <v>0</v>
      </c>
      <c r="B17" s="47">
        <f>TRUNC(RIGHT(A17))</f>
        <v>0</v>
      </c>
      <c r="C17" s="51">
        <f>IF(B16=1,B17+10,IF(B17=0,0,B17))</f>
        <v>0</v>
      </c>
      <c r="D17" s="43" t="str">
        <f>IF(AND(C17&gt;9,C17&lt;16),IF(C17=10,D34,IF(C17=11,D35,IF(C17=12,D36,IF(C17=13,D37,IF(C17=14,D38,IF(C17=15,D39,)))))),"")</f>
        <v/>
      </c>
      <c r="E17" s="56" t="str">
        <f>IF(B17=1,A34,IF(B17=2,A35,IF(B17=3,A36,IF(B17=4,A37,IF(B17=5,A38,IF(B17=6,A39,IF(B17=7,A40,IF(B17=8,A41,A42))))))))</f>
        <v xml:space="preserve">девять </v>
      </c>
      <c r="F17" s="43" t="str">
        <f>IF(AND(C17&gt;15,C17&lt;20),IF(C17=16,D40,IF(C17=17,D41,IF(C17=18,D42,IF(C17=19,D43,)))),"")</f>
        <v/>
      </c>
      <c r="H17" s="47"/>
    </row>
    <row r="18" spans="1:9" s="43" customFormat="1" x14ac:dyDescent="0.2">
      <c r="A18" s="54"/>
      <c r="B18" s="47"/>
      <c r="D18" s="47"/>
      <c r="E18" s="43">
        <f>B17+B16*10+B15*100</f>
        <v>0</v>
      </c>
      <c r="F18" s="43" t="str">
        <f>IF(E18=0,"",IF(B16=1,"миллиардов ",IF(B17=1,"милиард ",IF(OR(B17=2,B17=3,B17=4),"миллиарда ","милиардов "))))</f>
        <v/>
      </c>
      <c r="H18" s="47"/>
    </row>
    <row r="19" spans="1:9" s="43" customFormat="1" x14ac:dyDescent="0.2">
      <c r="A19" s="54">
        <f>TRUNC(A20/10)</f>
        <v>0</v>
      </c>
      <c r="B19" s="47">
        <f>TRUNC(RIGHT(A19))</f>
        <v>0</v>
      </c>
      <c r="C19" s="51">
        <f>B19</f>
        <v>0</v>
      </c>
      <c r="E19" s="55" t="str">
        <f>IF(B19=1,E43,IF(B19=2,G35,IF(B19=3,G36,IF(B19=4,G37,IF(B19=5,G38,IF(B19=6,G39,IF(B19=7,G40,IF(B19=8,G41,G42))))))))</f>
        <v xml:space="preserve">девятьсот </v>
      </c>
      <c r="H19" s="47"/>
    </row>
    <row r="20" spans="1:9" x14ac:dyDescent="0.2">
      <c r="A20" s="54">
        <f>TRUNC(A21/10)</f>
        <v>0</v>
      </c>
      <c r="B20" s="47">
        <f>TRUNC(RIGHT(A20))</f>
        <v>0</v>
      </c>
      <c r="C20" s="51">
        <f>IF(B20=1,"",B20)</f>
        <v>0</v>
      </c>
      <c r="D20" s="43"/>
      <c r="E20" s="56" t="str">
        <f>IF(OR(C20=0,B20=1),"",IF(B20=2,E35,IF(B20=3,E36,IF(B20=4,E37,IF(B20=5,E38,IF(B20=6,E39,IF(B20=7,E40,IF(B20=8,E41,E42))))))))</f>
        <v/>
      </c>
      <c r="F20" s="43"/>
    </row>
    <row r="21" spans="1:9" s="43" customFormat="1" x14ac:dyDescent="0.2">
      <c r="A21" s="54">
        <f>TRUNC(A23/10)</f>
        <v>0</v>
      </c>
      <c r="B21" s="47">
        <f>TRUNC(RIGHT(A21))</f>
        <v>0</v>
      </c>
      <c r="C21" s="51">
        <f>IF(B20=1,B21+10,IF(B21=0,0,B21))</f>
        <v>0</v>
      </c>
      <c r="D21" s="43" t="str">
        <f>IF(AND(C21&gt;9,C21&lt;16),IF(C21=10,D34,IF(C21=11,D35,IF(C21=12,D36,IF(C21=13,D37,IF(C21=14,D38,IF(C21=15,D39,)))))),"")</f>
        <v/>
      </c>
      <c r="E21" s="56" t="str">
        <f>IF(B21=1,A34,IF(B21=2,A35,IF(B21=3,A36,IF(B21=4,A37,IF(B21=5,A38,IF(B21=6,A39,IF(B21=7,A40,IF(B21=8,A41,A42))))))))</f>
        <v xml:space="preserve">девять </v>
      </c>
      <c r="F21" s="43" t="str">
        <f>IF(AND(C21&gt;15,C21&lt;20),IF(C21=16,D40,IF(C21=17,D41,IF(C21=18,D42,IF(C21=19,D43,)))),"")</f>
        <v/>
      </c>
    </row>
    <row r="22" spans="1:9" s="43" customFormat="1" x14ac:dyDescent="0.2">
      <c r="A22" s="54"/>
      <c r="B22" s="47"/>
      <c r="C22" s="51"/>
      <c r="E22" s="43">
        <f>B21+B20*10+B19*100</f>
        <v>0</v>
      </c>
      <c r="F22" s="43" t="str">
        <f>IF(E22=0,"",IF(B20=1,"миллионов ",IF(B21=1,"миллион ",IF(OR(B21=2,B21=3,B21=4),"миллиона ","миллионов "))))</f>
        <v/>
      </c>
    </row>
    <row r="23" spans="1:9" s="43" customFormat="1" x14ac:dyDescent="0.2">
      <c r="A23" s="54">
        <f>TRUNC(A24/10)</f>
        <v>0</v>
      </c>
      <c r="B23" s="47">
        <f>TRUNC(RIGHT(A23))</f>
        <v>0</v>
      </c>
      <c r="C23" s="51">
        <f>B23</f>
        <v>0</v>
      </c>
      <c r="E23" s="55" t="str">
        <f>IF(B23=1,E43,IF(B23=2,G35,IF(B23=3,G36,IF(B23=4,G37,IF(B23=5,G38,IF(B23=6,G39,IF(B23=7,G40,IF(B23=8,G41,G42))))))))</f>
        <v xml:space="preserve">девятьсот </v>
      </c>
      <c r="I23" s="50"/>
    </row>
    <row r="24" spans="1:9" s="43" customFormat="1" x14ac:dyDescent="0.2">
      <c r="A24" s="54">
        <f>TRUNC(A25/10)</f>
        <v>0</v>
      </c>
      <c r="B24" s="47">
        <f>TRUNC(RIGHT(A24))</f>
        <v>0</v>
      </c>
      <c r="C24" s="51">
        <f>IF(B24=1,"",B24)</f>
        <v>0</v>
      </c>
      <c r="E24" s="56" t="str">
        <f>IF(OR(C24=0,B24=1),"",IF(B24=2,E35,IF(B24=3,E36,IF(B24=4,E37,IF(B24=5,E38,IF(B24=6,E39,IF(B24=7,E40,IF(B24=8,E41,E42))))))))</f>
        <v/>
      </c>
    </row>
    <row r="25" spans="1:9" s="43" customFormat="1" x14ac:dyDescent="0.2">
      <c r="A25" s="54">
        <f>TRUNC(A27/10)</f>
        <v>5</v>
      </c>
      <c r="B25" s="47">
        <f>TRUNC(RIGHT(A25))</f>
        <v>5</v>
      </c>
      <c r="C25" s="51">
        <f>IF(B24=1,B25+10,IF(B25=0,0,B25))</f>
        <v>5</v>
      </c>
      <c r="D25" s="43" t="str">
        <f>IF(AND(C25&gt;9,C25&lt;16),IF(C25=10,D34,IF(C25=11,D35,IF(C25=12,D36,IF(C25=13,D37,IF(C25=14,D38,IF(C25=15,D39,)))))),"")</f>
        <v/>
      </c>
      <c r="E25" s="56" t="str">
        <f>IF(B25=1,B34,IF(B25=2,B35,IF(B25=3,A36,IF(B25=4,A37,IF(B25=5,A38,IF(B25=6,A39,IF(B25=7,A40,IF(B25=8,A41,A42))))))))</f>
        <v xml:space="preserve">пять </v>
      </c>
      <c r="F25" s="43" t="str">
        <f>IF(AND(C25&gt;15,C25&lt;20),IF(C25=16,D40,IF(C25=17,D41,IF(C25=18,D42,IF(C25=19,D43,)))),"")</f>
        <v/>
      </c>
    </row>
    <row r="26" spans="1:9" s="43" customFormat="1" x14ac:dyDescent="0.2">
      <c r="A26" s="54"/>
      <c r="B26" s="47"/>
      <c r="C26" s="51"/>
      <c r="E26" s="57">
        <f>B23*100+B24*10+B25</f>
        <v>5</v>
      </c>
      <c r="F26" s="43" t="str">
        <f>IF(E26=0,"",IF(B24=1,"тысяч ",IF(B25=1,"тысяча ",IF(OR(B25=2,B25=3,B25=4),"тысячи ","тысяч "))))</f>
        <v xml:space="preserve">тысяч </v>
      </c>
    </row>
    <row r="27" spans="1:9" s="43" customFormat="1" x14ac:dyDescent="0.2">
      <c r="A27" s="54">
        <f>TRUNC(A28/10)</f>
        <v>53</v>
      </c>
      <c r="B27" s="47">
        <f>TRUNC(RIGHT(A27))</f>
        <v>3</v>
      </c>
      <c r="C27" s="51">
        <f>B27</f>
        <v>3</v>
      </c>
      <c r="E27" s="55" t="str">
        <f>IF(B27=1,E43,IF(B27=2,G35,IF(B27=3,G36,IF(B27=4,G37,IF(B27=5,G38,IF(B27=6,G39,IF(B27=7,G40,IF(B27=8,G41,G42))))))))</f>
        <v xml:space="preserve">триста </v>
      </c>
    </row>
    <row r="28" spans="1:9" s="43" customFormat="1" x14ac:dyDescent="0.2">
      <c r="A28" s="54">
        <f>TRUNC(A29/10)</f>
        <v>537</v>
      </c>
      <c r="B28" s="58">
        <f>TRUNC(RIGHT(A28))</f>
        <v>7</v>
      </c>
      <c r="C28" s="51">
        <f>IF(B28=1,"",B28)</f>
        <v>7</v>
      </c>
      <c r="E28" s="56" t="str">
        <f>IF(OR(C28=0,B28=1),"",IF(C28=2,E35,IF(C28=3,E36,IF(C28=4,E37,IF(C28=5,E38,IF(C28=6,E39,IF(C28=7,E40,IF(C28=8,E41,E42))))))))</f>
        <v xml:space="preserve">семьдесят </v>
      </c>
      <c r="G28" s="47"/>
    </row>
    <row r="29" spans="1:9" s="43" customFormat="1" x14ac:dyDescent="0.2">
      <c r="A29" s="54">
        <f>E13</f>
        <v>5375</v>
      </c>
      <c r="B29" s="47">
        <f>TRUNC(RIGHT(A29))</f>
        <v>5</v>
      </c>
      <c r="C29" s="51">
        <f>IF(B28=1,B29+10,IF(B29=0,0,B29))</f>
        <v>5</v>
      </c>
      <c r="D29" s="43" t="str">
        <f>IF(AND(C29&gt;9,C29&lt;16),IF(C29=10,D34,IF(C29=11,D35,IF(C29=12,D36,IF(C29=13,D37,IF(C29=14,D38,IF(C29=15,D39,)))))),"")</f>
        <v/>
      </c>
      <c r="E29" s="56" t="str">
        <f>IF(B29=1,A34,IF(B29=2,A35,IF(B29=3,A36,IF(B29=4,A37,IF(B29=5,A38,IF(B29=6,A39,IF(B29=7,A40,IF(B29=8,A41,A42))))))))</f>
        <v xml:space="preserve">пять </v>
      </c>
      <c r="F29" s="43" t="str">
        <f>IF(AND(C29&gt;15,C29&lt;20),IF(C29=16,D40,IF(C29=17,D41,IF(C29=18,D42,IF(C29=19,D43,)))),"")</f>
        <v/>
      </c>
      <c r="G29" s="47"/>
    </row>
    <row r="30" spans="1:9" s="43" customFormat="1" x14ac:dyDescent="0.2">
      <c r="A30" s="49"/>
      <c r="B30" s="58"/>
      <c r="C30" s="59"/>
      <c r="E30" s="57">
        <f>B27*100+B28*10+B29</f>
        <v>375</v>
      </c>
      <c r="F30" s="43" t="str">
        <f>IF(E30+E26+E22+E18=0,"ноль долларов США,",IF(C29=1,"доллар США,",IF(OR(C29=2,C29=3,C29=4),"доллара США,","долларов США, ")))</f>
        <v xml:space="preserve">долларов США, </v>
      </c>
      <c r="G30" s="47"/>
    </row>
    <row r="31" spans="1:9" s="43" customFormat="1" x14ac:dyDescent="0.2">
      <c r="A31" s="60">
        <f>ROUND(100*(E2-E13),0)</f>
        <v>0</v>
      </c>
      <c r="C31" s="59">
        <f>TRUNC(A31/10)</f>
        <v>0</v>
      </c>
      <c r="E31" s="56" t="str">
        <f>IF(OR(C31=1,C31=0),"",IF(C31=2,E35,IF(C31=3,E36,IF(C31=4,E37,IF(C31=5,E38,IF(C31=6,E39,IF(C31=7,E40,IF(C31=8,E41,E42))))))))</f>
        <v/>
      </c>
      <c r="H31" s="47"/>
    </row>
    <row r="32" spans="1:9" s="43" customFormat="1" x14ac:dyDescent="0.2">
      <c r="C32" s="59">
        <f>TRUNC(A31-C31*10)</f>
        <v>0</v>
      </c>
      <c r="E32" s="56" t="str">
        <f>IF(C32=1,B34,IF(C32=2,B35,IF(C32=3,A36,IF(C32=4,A37,IF(C32=5,A38,IF(C32=6,A39,IF(C32=7,A40,IF(C32=8,A41,A42))))))))</f>
        <v xml:space="preserve">девять </v>
      </c>
      <c r="H32" s="47"/>
    </row>
    <row r="33" spans="1:11" s="43" customFormat="1" x14ac:dyDescent="0.2">
      <c r="F33" s="43" t="s">
        <v>42</v>
      </c>
      <c r="H33" s="47"/>
    </row>
    <row r="34" spans="1:11" s="43" customFormat="1" x14ac:dyDescent="0.2">
      <c r="A34" s="61" t="s">
        <v>43</v>
      </c>
      <c r="B34" s="61" t="s">
        <v>44</v>
      </c>
      <c r="C34" s="61"/>
      <c r="D34" s="61" t="s">
        <v>45</v>
      </c>
      <c r="H34" s="47"/>
    </row>
    <row r="35" spans="1:11" s="43" customFormat="1" x14ac:dyDescent="0.2">
      <c r="A35" s="61" t="s">
        <v>46</v>
      </c>
      <c r="B35" s="61" t="s">
        <v>47</v>
      </c>
      <c r="C35" s="61"/>
      <c r="D35" s="61" t="s">
        <v>48</v>
      </c>
      <c r="E35" s="61" t="s">
        <v>49</v>
      </c>
      <c r="G35" s="61" t="s">
        <v>50</v>
      </c>
    </row>
    <row r="36" spans="1:11" s="43" customFormat="1" x14ac:dyDescent="0.2">
      <c r="A36" s="61" t="s">
        <v>51</v>
      </c>
      <c r="B36" s="61"/>
      <c r="C36" s="61"/>
      <c r="D36" s="61" t="s">
        <v>52</v>
      </c>
      <c r="E36" s="61" t="s">
        <v>53</v>
      </c>
      <c r="G36" s="61" t="s">
        <v>54</v>
      </c>
    </row>
    <row r="37" spans="1:11" s="43" customFormat="1" x14ac:dyDescent="0.2">
      <c r="A37" s="61" t="s">
        <v>55</v>
      </c>
      <c r="B37" s="61"/>
      <c r="C37" s="61"/>
      <c r="D37" s="61" t="s">
        <v>56</v>
      </c>
      <c r="E37" s="61" t="s">
        <v>57</v>
      </c>
      <c r="G37" s="61" t="s">
        <v>58</v>
      </c>
    </row>
    <row r="38" spans="1:11" s="43" customFormat="1" x14ac:dyDescent="0.2">
      <c r="A38" s="61" t="s">
        <v>59</v>
      </c>
      <c r="B38" s="61"/>
      <c r="C38" s="61"/>
      <c r="D38" s="61" t="s">
        <v>60</v>
      </c>
      <c r="E38" s="61" t="s">
        <v>61</v>
      </c>
      <c r="G38" s="61" t="s">
        <v>62</v>
      </c>
    </row>
    <row r="39" spans="1:11" s="43" customFormat="1" x14ac:dyDescent="0.2">
      <c r="A39" s="61" t="s">
        <v>63</v>
      </c>
      <c r="B39" s="61"/>
      <c r="C39" s="61"/>
      <c r="D39" s="61" t="s">
        <v>64</v>
      </c>
      <c r="E39" s="61" t="s">
        <v>65</v>
      </c>
      <c r="G39" s="61" t="s">
        <v>66</v>
      </c>
    </row>
    <row r="40" spans="1:11" s="43" customFormat="1" x14ac:dyDescent="0.2">
      <c r="A40" s="61" t="s">
        <v>67</v>
      </c>
      <c r="B40" s="61"/>
      <c r="C40" s="61"/>
      <c r="D40" s="61" t="s">
        <v>68</v>
      </c>
      <c r="E40" s="61" t="s">
        <v>69</v>
      </c>
      <c r="G40" s="61" t="s">
        <v>70</v>
      </c>
    </row>
    <row r="41" spans="1:11" s="43" customFormat="1" x14ac:dyDescent="0.2">
      <c r="A41" s="61" t="s">
        <v>71</v>
      </c>
      <c r="B41" s="61"/>
      <c r="C41" s="61"/>
      <c r="D41" s="61" t="s">
        <v>72</v>
      </c>
      <c r="E41" s="61" t="s">
        <v>73</v>
      </c>
      <c r="G41" s="61" t="s">
        <v>74</v>
      </c>
    </row>
    <row r="42" spans="1:11" s="43" customFormat="1" x14ac:dyDescent="0.2">
      <c r="A42" s="61" t="s">
        <v>75</v>
      </c>
      <c r="B42" s="61"/>
      <c r="C42" s="61"/>
      <c r="D42" s="61" t="s">
        <v>76</v>
      </c>
      <c r="E42" s="61" t="s">
        <v>77</v>
      </c>
      <c r="G42" s="61" t="s">
        <v>78</v>
      </c>
    </row>
    <row r="43" spans="1:11" s="43" customFormat="1" x14ac:dyDescent="0.2">
      <c r="B43" s="61"/>
      <c r="C43" s="61"/>
      <c r="D43" s="61" t="s">
        <v>79</v>
      </c>
      <c r="E43" s="61" t="s">
        <v>80</v>
      </c>
      <c r="H43" s="47"/>
    </row>
    <row r="44" spans="1:11" s="43" customFormat="1" x14ac:dyDescent="0.2">
      <c r="A44" s="180" t="s">
        <v>81</v>
      </c>
      <c r="B44" s="180"/>
      <c r="C44" s="180"/>
      <c r="D44" s="180"/>
      <c r="E44" s="180"/>
      <c r="F44" s="180"/>
      <c r="G44" s="180"/>
      <c r="H44" s="180"/>
      <c r="I44" s="180"/>
      <c r="J44" s="175" t="s">
        <v>82</v>
      </c>
      <c r="K44" s="175"/>
    </row>
    <row r="45" spans="1:11" s="43" customFormat="1" x14ac:dyDescent="0.2">
      <c r="A45" s="180"/>
      <c r="B45" s="180"/>
      <c r="C45" s="180"/>
      <c r="D45" s="180"/>
      <c r="E45" s="180"/>
      <c r="F45" s="180"/>
      <c r="G45" s="180"/>
      <c r="H45" s="180"/>
      <c r="I45" s="180"/>
      <c r="J45" s="175"/>
      <c r="K45" s="175"/>
    </row>
    <row r="46" spans="1:11" s="43" customFormat="1" x14ac:dyDescent="0.2">
      <c r="B46" s="61"/>
      <c r="C46" s="61"/>
      <c r="G46" s="174" t="s">
        <v>83</v>
      </c>
      <c r="H46" s="174"/>
      <c r="I46" s="174"/>
      <c r="J46" s="62" t="s">
        <v>84</v>
      </c>
    </row>
    <row r="47" spans="1:11" s="43" customFormat="1" x14ac:dyDescent="0.2">
      <c r="B47" s="61"/>
      <c r="C47" s="61"/>
      <c r="H47" s="47"/>
    </row>
    <row r="48" spans="1:11" s="43" customFormat="1" x14ac:dyDescent="0.2">
      <c r="B48" s="61"/>
      <c r="C48" s="61"/>
      <c r="H48" s="47"/>
    </row>
    <row r="49" spans="2:8" s="43" customFormat="1" x14ac:dyDescent="0.2">
      <c r="B49" s="61"/>
      <c r="C49" s="61"/>
      <c r="H49" s="47"/>
    </row>
    <row r="50" spans="2:8" s="43" customFormat="1" x14ac:dyDescent="0.2">
      <c r="B50" s="61"/>
      <c r="C50" s="61"/>
      <c r="H50" s="47"/>
    </row>
    <row r="51" spans="2:8" s="43" customFormat="1" x14ac:dyDescent="0.2">
      <c r="B51" s="61"/>
      <c r="C51" s="61"/>
      <c r="H51" s="47"/>
    </row>
    <row r="52" spans="2:8" s="43" customFormat="1" x14ac:dyDescent="0.2">
      <c r="B52" s="61"/>
      <c r="C52" s="61"/>
      <c r="H52" s="47"/>
    </row>
    <row r="100" spans="1:4" x14ac:dyDescent="0.2">
      <c r="A100" s="175" t="s">
        <v>85</v>
      </c>
      <c r="B100" s="175"/>
      <c r="C100" s="175"/>
      <c r="D100" s="175"/>
    </row>
    <row r="101" spans="1:4" x14ac:dyDescent="0.2">
      <c r="A101" t="s">
        <v>86</v>
      </c>
    </row>
  </sheetData>
  <mergeCells count="8">
    <mergeCell ref="G46:I46"/>
    <mergeCell ref="A100:D100"/>
    <mergeCell ref="A1:N1"/>
    <mergeCell ref="N3:O3"/>
    <mergeCell ref="K4:M4"/>
    <mergeCell ref="H7:J11"/>
    <mergeCell ref="A44:I45"/>
    <mergeCell ref="J44:K45"/>
  </mergeCells>
  <hyperlinks>
    <hyperlink ref="A100:D100" r:id="rId1" display="© Олег Оксанич 2005г  www.allok.ru"/>
    <hyperlink ref="J44" r:id="rId2"/>
    <hyperlink ref="J46" r:id="rId3" tooltip="Замечания о программе"/>
  </hyperlinks>
  <pageMargins left="0.7" right="0.7" top="0.75" bottom="0.75" header="0.3" footer="0.3"/>
  <legacyDrawing r:id="rId4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6</vt:i4>
      </vt:variant>
    </vt:vector>
  </HeadingPairs>
  <TitlesOfParts>
    <vt:vector size="6" baseType="lpstr">
      <vt:lpstr>Инвойс</vt:lpstr>
      <vt:lpstr>CMR</vt:lpstr>
      <vt:lpstr>TIR</vt:lpstr>
      <vt:lpstr>SPETS</vt:lpstr>
      <vt:lpstr>Лист2</vt:lpstr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cp:lastPrinted>2025-08-29T11:54:54Z</cp:lastPrinted>
  <dcterms:created xsi:type="dcterms:W3CDTF">1996-10-14T23:33:28Z</dcterms:created>
  <dcterms:modified xsi:type="dcterms:W3CDTF">2025-08-29T11:54:56Z</dcterms:modified>
</cp:coreProperties>
</file>