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F617DCA-523B-4A9D-B6C2-9DE77CB75C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<sst xmlns="http://schemas.openxmlformats.org/spreadsheetml/2006/main" count="207" uniqueCount="162">
  <si>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</si>
  <si>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</si>
  <si>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</si>
  <si>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</si>
  <si>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</si>
  <si>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</si>
  <si>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</si>
  <si>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</si>
  <si>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</si>
  <si>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</si>
  <si>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</si>
  <si>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</si>
  <si>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</si>
  <si>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</si>
  <si>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</si>
  <si>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</si>
  <si>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</si>
  <si>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</si>
  <si>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</si>
  <si>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</si>
  <si>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</si>
  <si>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</si>
  <si>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</si>
  <si>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</si>
  <si>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</si>
  <si>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</si>
  <si>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</si>
  <si>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</si>
  <si>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</si>
  <si>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</si>
  <si>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</si>
  <si>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</si>
  <si>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</si>
  <si>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</si>
  <si>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</si>
  <si>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</si>
  <si>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</si>
  <si>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</si>
  <si>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</si>
  <si>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</si>
  <si>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</si>
  <si>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</si>
  <si>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</si>
  <si>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</si>
  <si>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</si>
  <si>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</si>
  <si>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</si>
  <si>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</si>
  <si>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</si>
  <si>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</si>
  <si>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</si>
  <si>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</si>
  <si>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</si>
  <si>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</si>
  <si>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</si>
  <si>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</si>
  <si>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</si>
  <si>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</si>
  <si>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</si>
  <si>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</si>
  <si>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</si>
  <si>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</si>
  <si>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</si>
  <si>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</si>
  <si>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</si>
  <si>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</si>
  <si>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</si>
  <si>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</si>
  <si>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</si>
  <si>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</si>
  <si>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</si>
  <si>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</si>
  <si>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</si>
  <si>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</si>
  <si>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</si>
  <si>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</si>
  <si>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</si>
  <si>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</si>
  <si>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</si>
  <si>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</si>
  <si>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</si>
  <si>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</si>
  <si>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</si>
  <si>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</si>
  <si>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</si>
  <si>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</si>
  <si>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</si>
  <si>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</si>
  <si>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</si>
  <si>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</si>
  <si>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</si>
  <si>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</si>
  <si>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</si>
  <si>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</si>
  <si>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</si>
  <si>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</si>
  <si>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</si>
  <si>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</si>
  <si>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</si>
  <si>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</si>
  <si>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</si>
  <si>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</si>
  <si>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</si>
  <si>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</si>
  <si>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</si>
  <si>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</si>
  <si>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</si>
  <si>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</si>
  <si>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</si>
  <si>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</si>
  <si>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</si>
  <si>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</si>
  <si>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</si>
  <si>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</si>
  <si>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</si>
  <si>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</si>
  <si>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</si>
  <si>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</si>
  <si>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</si>
  <si>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</si>
  <si>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</si>
  <si>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</si>
  <si>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</si>
  <si>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</si>
  <si>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</si>
  <si>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</si>
  <si>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</si>
  <si>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</si>
  <si>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</si>
  <si>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</si>
  <si>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</si>
  <si>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</si>
  <si>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</si>
  <si>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</si>
  <si>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</si>
  <si>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</si>
  <si>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</si>
  <si>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к контракту № GR-MG-01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</si>
  <si>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</si>
  <si>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</si>
  <si>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</si>
  <si>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</si>
  <si>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</si>
  <si>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</si>
  <si>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</si>
  <si>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</si>
  <si>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</si>
  <si>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</si>
  <si>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</si>
  <si>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</si>
  <si>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</si>
  <si>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</si>
  <si>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</si>
  <si>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</si>
  <si>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г.Челябинский таможенный пост г.Челябинск ул. Ениссйская, 87А код поста 10504080   ООО "ГРИН ВОРЛД" 
RU/0237/2 от 27.12.2024</t>
  </si>
  <si>
    <t>DAP - с Акжигит , Республика Казахстан</t>
  </si>
  <si>
    <t>DOUT-OTA</t>
  </si>
  <si>
    <t xml:space="preserve">ИНВОЙС № MEG-O-37 от </t>
  </si>
  <si>
    <t xml:space="preserve"> 30.08.2025г.</t>
  </si>
  <si>
    <t>90H500ZA/905985BA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</si>
  <si>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600 кг.</t>
  </si>
  <si>
    <t xml:space="preserve">СПЕЦИФИКАЦИЯ № MEG-O-37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</si>
</sst>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37</xdr:row>
      <xdr:rowOff>33618</xdr:rowOff>
    </xdr:from>
    <xdr:to>
      <xdr:col>3</xdr:col>
      <xdr:colOff>224118</xdr:colOff>
      <xdr:row>49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37</xdr:row>
      <xdr:rowOff>100855</xdr:rowOff>
    </xdr:from>
    <xdr:to>
      <xdr:col>4</xdr:col>
      <xdr:colOff>389833</xdr:colOff>
      <xdr:row>39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37</xdr:row>
      <xdr:rowOff>22412</xdr:rowOff>
    </xdr:from>
    <xdr:to>
      <xdr:col>2</xdr:col>
      <xdr:colOff>392207</xdr:colOff>
      <xdr:row>49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37</xdr:row>
      <xdr:rowOff>89649</xdr:rowOff>
    </xdr:from>
    <xdr:to>
      <xdr:col>3</xdr:col>
      <xdr:colOff>546715</xdr:colOff>
      <xdr:row>39</xdr:row>
      <xdr:rowOff>140635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403412</xdr:colOff>
      <xdr:row>36</xdr:row>
      <xdr:rowOff>78441</xdr:rowOff>
    </xdr:from>
    <xdr:to>
      <xdr:col>9</xdr:col>
      <xdr:colOff>589990</xdr:colOff>
      <xdr:row>48</xdr:row>
      <xdr:rowOff>5694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2194983-E6A3-4AE3-BA9D-0259AA38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7971" y="19106029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7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6" t="s">
        <v>157</v>
      </c>
      <c r="D1" s="136"/>
      <c r="E1" s="136"/>
      <c r="F1" s="135" t="s">
        <v>158</v>
      </c>
      <c r="G1" s="135"/>
      <c r="H1" s="13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2" t="s">
        <v>137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">
        <v>129</v>
      </c>
      <c r="B5" s="137"/>
      <c r="C5" s="137"/>
      <c r="D5" s="137"/>
      <c r="E5" s="137"/>
      <c r="F5" s="6"/>
      <c r="G5" s="139" t="s">
        <v>138</v>
      </c>
      <c r="H5" s="139"/>
      <c r="I5" s="139"/>
      <c r="J5" s="139"/>
      <c r="K5" s="139"/>
      <c r="L5" s="139"/>
      <c r="M5" s="139"/>
    </row>
    <row r="6" spans="1:15" ht="15" x14ac:dyDescent="0.25">
      <c r="A6" s="126" t="s">
        <v>130</v>
      </c>
      <c r="B6" s="125"/>
      <c r="C6" s="125"/>
      <c r="D6" s="125"/>
      <c r="E6" s="125"/>
      <c r="F6" s="7"/>
      <c r="G6" s="141" t="s">
        <v>139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26" t="s">
        <v>135</v>
      </c>
      <c r="B7" s="125"/>
      <c r="C7" s="125"/>
      <c r="D7" s="125"/>
      <c r="E7" s="125"/>
      <c r="F7" s="63"/>
      <c r="G7" s="141" t="s">
        <v>140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132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131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133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/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145</v>
      </c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7" t="s">
        <v>129</v>
      </c>
      <c r="B14" s="137"/>
      <c r="C14" s="137"/>
      <c r="D14" s="137"/>
      <c r="E14" s="137"/>
      <c r="F14" s="6"/>
      <c r="G14" s="139" t="s">
        <v>138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26" t="s">
        <v>130</v>
      </c>
      <c r="B15" s="125"/>
      <c r="C15" s="125"/>
      <c r="D15" s="125"/>
      <c r="E15" s="125"/>
      <c r="F15" s="7"/>
      <c r="G15" s="141" t="s">
        <v>139</v>
      </c>
      <c r="H15" s="141"/>
      <c r="I15" s="141"/>
      <c r="J15" s="141"/>
      <c r="K15" s="141"/>
      <c r="L15" s="141"/>
      <c r="M15" s="141"/>
    </row>
    <row r="16" spans="1:15" ht="15" x14ac:dyDescent="0.25">
      <c r="A16" s="126" t="s">
        <v>135</v>
      </c>
      <c r="B16" s="125"/>
      <c r="C16" s="125"/>
      <c r="D16" s="125"/>
      <c r="E16" s="125"/>
      <c r="F16" s="63"/>
      <c r="G16" s="141" t="s">
        <v>140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132</v>
      </c>
      <c r="B17" s="8"/>
      <c r="C17" s="8"/>
      <c r="D17" s="8"/>
      <c r="E17" s="8"/>
      <c r="F17" s="63"/>
      <c r="G17" s="7" t="s">
        <v>141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131</v>
      </c>
      <c r="B18" s="8"/>
      <c r="C18" s="8"/>
      <c r="D18" s="8"/>
      <c r="E18" s="8"/>
      <c r="F18" s="7"/>
      <c r="G18" s="7" t="s">
        <v>142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133</v>
      </c>
      <c r="B19" s="125"/>
      <c r="C19" s="125"/>
      <c r="D19" s="125"/>
      <c r="E19" s="125"/>
      <c r="F19" s="7"/>
      <c r="G19" s="7" t="s">
        <v>143</v>
      </c>
      <c r="H19" s="23"/>
      <c r="I19" s="23"/>
      <c r="J19" s="23"/>
      <c r="K19" s="23"/>
      <c r="L19" s="23"/>
      <c r="M19" s="23"/>
    </row>
    <row r="20" spans="1:17" ht="15" x14ac:dyDescent="0.25">
      <c r="A20" s="8"/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0" t="s">
        <v>145</v>
      </c>
      <c r="H21" s="140"/>
      <c r="I21" s="140"/>
      <c r="J21" s="140"/>
      <c r="K21" s="140"/>
      <c r="L21" s="140"/>
      <c r="M21" s="140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1" t="s">
        <v>125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75" x14ac:dyDescent="0.25">
      <c r="A24" s="20" t="s">
        <v>22</v>
      </c>
      <c r="C24" s="18" t="s">
        <v>155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159</v>
      </c>
      <c r="F26" s="155"/>
      <c r="G26" s="155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30" x14ac:dyDescent="0.2">
      <c r="A30" s="128">
        <v>1</v>
      </c>
      <c r="B30" s="101" t="s">
        <v>121</v>
      </c>
      <c r="C30" s="107" t="s">
        <v>120</v>
      </c>
      <c r="D30" s="109" t="s">
        <v>111</v>
      </c>
      <c r="E30" s="101">
        <v>2316</v>
      </c>
      <c r="F30" s="110" t="s">
        <v>27</v>
      </c>
      <c r="G30" s="106">
        <v>22700</v>
      </c>
      <c r="H30" s="106">
        <v>19450</v>
      </c>
      <c r="I30" s="108">
        <v>1</v>
      </c>
      <c r="J30" s="13">
        <f t="shared" ref="J30" si="0">H30*I30</f>
        <v>19450</v>
      </c>
      <c r="K30" s="12">
        <v>0</v>
      </c>
      <c r="L30" s="12">
        <v>0</v>
      </c>
      <c r="M30" s="13">
        <f t="shared" ref="M30" si="1">J30</f>
        <v>19450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2316</v>
      </c>
      <c r="F31" s="15"/>
      <c r="G31" s="64">
        <f>SUM(G30:G30)</f>
        <v>22700</v>
      </c>
      <c r="H31" s="64">
        <f>SUM(H30:H30)</f>
        <v>19450</v>
      </c>
      <c r="I31" s="102"/>
      <c r="J31" s="17">
        <f>SUM(J30:J30)</f>
        <v>19450</v>
      </c>
      <c r="K31" s="16"/>
      <c r="L31" s="16"/>
      <c r="M31" s="17">
        <f>SUM(M30:M30)</f>
        <v>19450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Девятнадцать тысяч четыреста пятьдесят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160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134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147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MEG-O-37 от  30.08.2025г.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2316</v>
      </c>
      <c r="D30" s="103" t="str">
        <f>+Инвойс!D30</f>
        <v>Дер.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148</v>
      </c>
      <c r="D49" s="159" t="str">
        <f>+C22</f>
        <v xml:space="preserve"> 30.08.2025г.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90H500ZA/905985BA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90H500ZA/905985BA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30.08.2025г.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MEG-O-37 от  30.08.2025г.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2316</v>
      </c>
      <c r="G18" s="166" t="str">
        <f>+CMR!F30</f>
        <v>Виноград свежий столовых сортов</v>
      </c>
      <c r="H18" s="166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Дер. ящик</v>
      </c>
      <c r="G19" s="160" t="str">
        <f>+Инвойс!C30</f>
        <v>0806101001</v>
      </c>
      <c r="H19" s="161"/>
      <c r="I19" s="122" t="s">
        <v>103</v>
      </c>
      <c r="J19" s="120">
        <f>+Инвойс!G30</f>
        <v>22700</v>
      </c>
    </row>
    <row r="20" spans="2:10" ht="13.5" customHeight="1" x14ac:dyDescent="0.25">
      <c r="B20" s="83"/>
      <c r="E20" s="123"/>
      <c r="F20" s="118"/>
      <c r="G20" s="166"/>
      <c r="H20" s="166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25">
      <c r="B22" s="83"/>
      <c r="E22" s="123"/>
      <c r="F22" s="118"/>
      <c r="G22" s="166"/>
      <c r="H22" s="166"/>
      <c r="I22" s="119"/>
      <c r="J22" s="120"/>
    </row>
    <row r="23" spans="2:10" ht="14.25" customHeight="1" x14ac:dyDescent="0.25">
      <c r="B23" s="83"/>
      <c r="E23" s="123"/>
      <c r="F23" s="121"/>
      <c r="G23" s="160"/>
      <c r="H23" s="161"/>
      <c r="I23" s="122"/>
      <c r="J23" s="120"/>
    </row>
    <row r="24" spans="2:10" ht="12.75" customHeight="1" x14ac:dyDescent="0.25">
      <c r="B24" s="87"/>
      <c r="E24" s="123"/>
      <c r="F24" s="118"/>
      <c r="G24" s="166"/>
      <c r="H24" s="166"/>
      <c r="I24" s="119"/>
      <c r="J24" s="120"/>
    </row>
    <row r="25" spans="2:10" ht="12.75" customHeight="1" x14ac:dyDescent="0.25">
      <c r="B25" s="87"/>
      <c r="E25" s="123"/>
      <c r="F25" s="121"/>
      <c r="G25" s="160"/>
      <c r="H25" s="161"/>
      <c r="I25" s="122"/>
      <c r="J25" s="120"/>
    </row>
    <row r="26" spans="2:10" ht="12" customHeight="1" x14ac:dyDescent="0.25">
      <c r="B26" s="87"/>
      <c r="E26" s="123"/>
      <c r="F26" s="118"/>
      <c r="G26" s="166"/>
      <c r="H26" s="166"/>
      <c r="I26" s="119"/>
      <c r="J26" s="120"/>
    </row>
    <row r="27" spans="2:10" ht="14.25" customHeight="1" x14ac:dyDescent="0.25">
      <c r="B27" s="87"/>
      <c r="E27" s="123"/>
      <c r="F27" s="121"/>
      <c r="G27" s="160"/>
      <c r="H27" s="161"/>
      <c r="I27" s="122"/>
      <c r="J27" s="120"/>
    </row>
    <row r="28" spans="2:10" ht="12.75" customHeight="1" x14ac:dyDescent="0.25">
      <c r="B28" s="87"/>
      <c r="E28" s="123"/>
      <c r="F28" s="118"/>
      <c r="G28" s="166"/>
      <c r="H28" s="166"/>
      <c r="I28" s="119"/>
      <c r="J28" s="120"/>
    </row>
    <row r="29" spans="2:10" ht="12.75" customHeight="1" x14ac:dyDescent="0.25">
      <c r="B29" s="87"/>
      <c r="E29" s="123"/>
      <c r="F29" s="121"/>
      <c r="G29" s="160"/>
      <c r="H29" s="161"/>
      <c r="I29" s="122"/>
      <c r="J29" s="120"/>
    </row>
    <row r="30" spans="2:10" ht="12.75" customHeight="1" x14ac:dyDescent="0.25">
      <c r="B30" s="87"/>
      <c r="E30" s="123"/>
      <c r="F30" s="118"/>
      <c r="G30" s="166"/>
      <c r="H30" s="166"/>
      <c r="I30" s="119"/>
      <c r="J30" s="120"/>
    </row>
    <row r="31" spans="2:10" ht="13.5" customHeight="1" x14ac:dyDescent="0.25">
      <c r="B31" s="87"/>
      <c r="E31" s="123"/>
      <c r="F31" s="121"/>
      <c r="G31" s="160"/>
      <c r="H31" s="161"/>
      <c r="I31" s="122"/>
      <c r="J31" s="120"/>
    </row>
    <row r="32" spans="2:10" ht="13.5" customHeight="1" x14ac:dyDescent="0.25">
      <c r="B32" s="87"/>
      <c r="E32" s="123"/>
      <c r="F32" s="118"/>
      <c r="G32" s="166"/>
      <c r="H32" s="166"/>
      <c r="I32" s="119"/>
      <c r="J32" s="120"/>
    </row>
    <row r="33" spans="2:10" ht="13.5" customHeight="1" x14ac:dyDescent="0.25">
      <c r="B33" s="87"/>
      <c r="E33" s="123"/>
      <c r="F33" s="121"/>
      <c r="G33" s="160"/>
      <c r="H33" s="161"/>
      <c r="I33" s="122"/>
      <c r="J33" s="120"/>
    </row>
    <row r="34" spans="2:10" ht="13.5" customHeight="1" x14ac:dyDescent="0.25">
      <c r="B34" s="87"/>
      <c r="E34" s="123"/>
      <c r="F34" s="118"/>
      <c r="G34" s="166"/>
      <c r="H34" s="166"/>
      <c r="I34" s="119"/>
      <c r="J34" s="120"/>
    </row>
    <row r="35" spans="2:10" ht="12.75" customHeight="1" x14ac:dyDescent="0.25">
      <c r="B35" s="87"/>
      <c r="E35" s="123"/>
      <c r="F35" s="121"/>
      <c r="G35" s="160"/>
      <c r="H35" s="161"/>
      <c r="I35" s="122"/>
      <c r="J35" s="120"/>
    </row>
    <row r="36" spans="2:10" x14ac:dyDescent="0.25">
      <c r="B36" s="87"/>
      <c r="E36" s="123"/>
      <c r="F36" s="118"/>
      <c r="G36" s="166"/>
      <c r="H36" s="166"/>
      <c r="I36" s="119"/>
      <c r="J36" s="120"/>
    </row>
    <row r="37" spans="2:10" ht="13.5" customHeight="1" x14ac:dyDescent="0.25">
      <c r="B37" s="87"/>
      <c r="E37" s="123"/>
      <c r="F37" s="121"/>
      <c r="G37" s="160"/>
      <c r="H37" s="161"/>
      <c r="I37" s="122"/>
      <c r="J37" s="120"/>
    </row>
    <row r="38" spans="2:10" x14ac:dyDescent="0.25">
      <c r="B38" s="87"/>
      <c r="E38" s="123"/>
      <c r="F38" s="118"/>
      <c r="G38" s="166"/>
      <c r="H38" s="166"/>
      <c r="I38" s="119"/>
      <c r="J38" s="120"/>
    </row>
    <row r="39" spans="2:10" ht="13.5" customHeight="1" x14ac:dyDescent="0.25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25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25">
      <c r="B41" s="87"/>
      <c r="E41" s="123"/>
      <c r="F41" s="121"/>
      <c r="G41" s="160"/>
      <c r="H41" s="161"/>
      <c r="I41" s="122"/>
      <c r="J41" s="120"/>
    </row>
    <row r="42" spans="2:10" hidden="1" x14ac:dyDescent="0.25">
      <c r="B42" s="87"/>
      <c r="E42" s="123"/>
      <c r="F42" s="118"/>
      <c r="G42" s="166"/>
      <c r="H42" s="166"/>
      <c r="I42" s="119"/>
      <c r="J42" s="120"/>
    </row>
    <row r="43" spans="2:10" x14ac:dyDescent="0.25">
      <c r="B43" s="87"/>
      <c r="E43" s="123"/>
      <c r="F43" s="121"/>
      <c r="G43" s="160"/>
      <c r="H43" s="161"/>
      <c r="I43" s="122"/>
      <c r="J43" s="120"/>
    </row>
    <row r="44" spans="2:10" ht="9" customHeight="1" x14ac:dyDescent="0.25">
      <c r="B44" s="87"/>
      <c r="E44" s="95"/>
      <c r="F44" s="92"/>
      <c r="G44" s="168"/>
      <c r="H44" s="168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2316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161</v>
      </c>
      <c r="C1" s="173"/>
      <c r="D1" s="173"/>
      <c r="E1" s="173"/>
      <c r="F1" s="135" t="str">
        <f>+Инвойс!F1</f>
        <v xml:space="preserve"> 30.08.2025г.</v>
      </c>
      <c r="G1" s="135"/>
      <c r="H1" s="135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2" t="str">
        <f>+Инвойс!C2</f>
        <v>к контракту № GR-MG-01 от 22.08.2025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tr">
        <f>+Инвойс!A5</f>
        <v>ООО «MEGA EXIMPORT»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5" x14ac:dyDescent="0.25">
      <c r="A6" s="172" t="str">
        <f>+Инвойс!A6</f>
        <v xml:space="preserve">Республика Узбекистан, Ферганская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2" t="str">
        <f>+Инвойс!A7</f>
        <v>Кува Район, Гулобод МФЙ, Сарбоз улитца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 xml:space="preserve">Р/с N 20208840607249418001   (USD)    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2" t="str">
        <f>+Инвойс!A9</f>
        <v xml:space="preserve">в АКБ «KAPITAL BANK» МФО: 01088 Swift: KACHUZ22  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2" t="str">
        <f>+Инвойс!A10</f>
        <v xml:space="preserve"> ИНН: 312169146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2"/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7" t="str">
        <f>+Инвойс!A14</f>
        <v>ООО «MEGA EXIMPORT»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72" t="str">
        <f>+Инвойс!A15</f>
        <v xml:space="preserve">Республика Узбекистан, Ферганская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2" t="str">
        <f>+Инвойс!A16</f>
        <v>Кува Район, Гулобод МФЙ, Сарбоз улитца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 xml:space="preserve">Р/с N 20208840607249418001   (USD)    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2" t="str">
        <f>+Инвойс!A18</f>
        <v xml:space="preserve">в АКБ «KAPITAL BANK» МФО: 01088 Swift: KACHUZ22  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2" t="str">
        <f>+Инвойс!A19</f>
        <v xml:space="preserve"> ИНН: 312169146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2"/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53" t="s">
        <v>112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90H500ZA/905985BA</v>
      </c>
      <c r="F26" s="155"/>
      <c r="G26" s="155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15" x14ac:dyDescent="0.2">
      <c r="A30" s="128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Дер. ящик</v>
      </c>
      <c r="E30" s="101">
        <f>+Инвойс!E30</f>
        <v>2316</v>
      </c>
      <c r="F30" s="116" t="str">
        <f>+Инвойс!F30</f>
        <v>кг</v>
      </c>
      <c r="G30" s="106">
        <f>+Инвойс!G30</f>
        <v>22700</v>
      </c>
      <c r="H30" s="106">
        <f>+Инвойс!H30</f>
        <v>19450</v>
      </c>
      <c r="I30" s="108">
        <f>+Инвойс!I30</f>
        <v>1</v>
      </c>
      <c r="J30" s="13">
        <f>+Инвойс!J30</f>
        <v>19450</v>
      </c>
      <c r="K30" s="12">
        <v>0</v>
      </c>
      <c r="L30" s="12">
        <v>0</v>
      </c>
      <c r="M30" s="13">
        <f>+Инвойс!M30</f>
        <v>19450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2316</v>
      </c>
      <c r="F31" s="15"/>
      <c r="G31" s="64">
        <f>SUM(G30:G30)</f>
        <v>22700</v>
      </c>
      <c r="H31" s="64">
        <f>SUM(H30:H30)</f>
        <v>19450</v>
      </c>
      <c r="I31" s="102"/>
      <c r="J31" s="17">
        <f>SUM(J30:J30)</f>
        <v>19450</v>
      </c>
      <c r="K31" s="16"/>
      <c r="L31" s="16"/>
      <c r="M31" s="17">
        <f>SUM(M30:M30)</f>
        <v>19450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Девятнадцать тысяч четыреста пятьдесят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2" t="s">
        <v>136</v>
      </c>
      <c r="B36" s="132"/>
      <c r="D36" s="18" t="str">
        <f>+Инвойс!D36</f>
        <v>Эргашев О.Р</v>
      </c>
      <c r="E36" s="133"/>
      <c r="G36" s="130" t="s">
        <v>127</v>
      </c>
      <c r="H36" s="18" t="str">
        <f>Инвойс!G5</f>
        <v>ООО «ГРИН ВОРЛД»</v>
      </c>
      <c r="K36" s="134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12" sqref="E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7" t="s">
        <v>113</v>
      </c>
    </row>
    <row r="3" spans="1:10" ht="51" x14ac:dyDescent="0.2">
      <c r="A3" s="131" t="s">
        <v>125</v>
      </c>
    </row>
    <row r="5" spans="1:10" ht="38.25" x14ac:dyDescent="0.2">
      <c r="A5" s="127" t="s">
        <v>114</v>
      </c>
    </row>
    <row r="6" spans="1:10" x14ac:dyDescent="0.2">
      <c r="E6" s="18" t="s">
        <v>126</v>
      </c>
      <c r="J6" s="25" t="s">
        <v>149</v>
      </c>
    </row>
    <row r="7" spans="1:10" ht="51" x14ac:dyDescent="0.2">
      <c r="A7" s="127" t="s">
        <v>115</v>
      </c>
    </row>
    <row r="8" spans="1:10" x14ac:dyDescent="0.2">
      <c r="E8" s="18" t="s">
        <v>150</v>
      </c>
      <c r="J8" s="25" t="s">
        <v>151</v>
      </c>
    </row>
    <row r="9" spans="1:10" ht="51" x14ac:dyDescent="0.2">
      <c r="A9" s="127" t="s">
        <v>116</v>
      </c>
    </row>
    <row r="10" spans="1:10" x14ac:dyDescent="0.2">
      <c r="A10" s="127"/>
      <c r="E10" s="18" t="s">
        <v>152</v>
      </c>
      <c r="J10" s="25" t="s">
        <v>153</v>
      </c>
    </row>
    <row r="11" spans="1:10" ht="51" x14ac:dyDescent="0.2">
      <c r="A11" s="127" t="s">
        <v>154</v>
      </c>
    </row>
    <row r="12" spans="1:10" x14ac:dyDescent="0.2">
      <c r="E12" s="18" t="s">
        <v>155</v>
      </c>
      <c r="J12" s="25" t="s">
        <v>156</v>
      </c>
    </row>
    <row r="13" spans="1:10" ht="51" x14ac:dyDescent="0.2">
      <c r="A13" s="127" t="s">
        <v>117</v>
      </c>
    </row>
    <row r="15" spans="1:10" ht="38.25" x14ac:dyDescent="0.2">
      <c r="A15" s="127" t="s">
        <v>118</v>
      </c>
    </row>
    <row r="17" spans="1:1" ht="38.25" x14ac:dyDescent="0.2">
      <c r="A17" s="127" t="s">
        <v>119</v>
      </c>
    </row>
    <row r="19" spans="1:1" ht="38.25" x14ac:dyDescent="0.2">
      <c r="A19" s="129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19450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Девятнадцать тысяч четыреста пятьдесят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45899</v>
      </c>
      <c r="O3" s="177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Девятнадцать тысяч четыреста пятьдесят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30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девятнадцать тысяч четыреста пятьдесят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девятнадцать тысяч четыреста пятьдесят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девятнадцать тысяч </v>
      </c>
      <c r="D10" s="47"/>
      <c r="E10" s="48"/>
      <c r="F10" s="41" t="str">
        <f>PROPER(F9)</f>
        <v>Д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четыреста пятьдесят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45899</v>
      </c>
    </row>
    <row r="13" spans="1:19" s="43" customFormat="1" x14ac:dyDescent="0.2">
      <c r="A13" s="49"/>
      <c r="D13" s="51"/>
      <c r="E13" s="52">
        <f>TRUNC(E2)</f>
        <v>19450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19</v>
      </c>
      <c r="B25" s="47">
        <f>TRUNC(RIGHT(A25))</f>
        <v>9</v>
      </c>
      <c r="C25" s="51">
        <f>IF(B24=1,B25+10,IF(B25=0,0,B25))</f>
        <v>19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 xml:space="preserve">девятнадцать </v>
      </c>
    </row>
    <row r="26" spans="1:9" s="43" customFormat="1" x14ac:dyDescent="0.2">
      <c r="A26" s="54"/>
      <c r="B26" s="47"/>
      <c r="C26" s="51"/>
      <c r="E26" s="57">
        <f>B23*100+B24*10+B25</f>
        <v>19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194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">
      <c r="A28" s="54">
        <f>TRUNC(A29/10)</f>
        <v>1945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">
      <c r="A29" s="54">
        <f>E13</f>
        <v>19450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450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2025-08-30T04:25:33Z</cp:lastPrinted>
  <dcterms:created xsi:type="dcterms:W3CDTF">1996-10-14T23:33:28Z</dcterms:created>
  <dcterms:modified xsi:type="dcterms:W3CDTF">2025-08-30T04:25:39Z</dcterms:modified>
</cp:coreProperties>
</file>