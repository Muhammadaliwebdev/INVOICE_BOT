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01B4EE8-0D85-4EC6-B2F6-054887818E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G30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<sst xmlns="http://schemas.openxmlformats.org/spreadsheetml/2006/main" count="201" uniqueCount="163">
  <si>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</si>
  <si>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</si>
  <si>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</si>
  <si>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</si>
  <si>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</si>
  <si>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</si>
  <si>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</si>
  <si>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</si>
  <si>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</si>
  <si>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</si>
  <si>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</si>
  <si>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</si>
  <si>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</si>
  <si>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</si>
  <si>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</si>
  <si>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</si>
  <si>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</si>
  <si>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</si>
  <si>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</si>
  <si>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</si>
  <si>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</si>
  <si>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</si>
  <si>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</si>
  <si>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</si>
  <si>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</si>
  <si>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</si>
  <si>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</si>
  <si>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</si>
  <si>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</si>
  <si>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</si>
  <si>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</si>
  <si>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</si>
  <si>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</si>
  <si>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</si>
  <si>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</si>
  <si>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</si>
  <si>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</si>
  <si>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</si>
  <si>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</si>
  <si>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</si>
  <si>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</si>
  <si>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</si>
  <si>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</si>
  <si>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</si>
  <si>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</si>
  <si>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</si>
  <si>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</si>
  <si>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</si>
  <si>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</si>
  <si>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</si>
  <si>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</si>
  <si>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</si>
  <si>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</si>
  <si>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</si>
  <si>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</si>
  <si>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</si>
  <si>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</si>
  <si>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</si>
  <si>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</si>
  <si>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</si>
  <si>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</si>
  <si>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</si>
  <si>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</si>
  <si>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</si>
  <si>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</si>
  <si>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</si>
  <si>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</si>
  <si>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</si>
  <si>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</si>
  <si>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</si>
  <si>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</si>
  <si>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</si>
  <si>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</si>
  <si>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</si>
  <si>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</si>
  <si>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</si>
  <si>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</si>
  <si>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</si>
  <si>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</si>
  <si>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</si>
  <si>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</si>
  <si>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</si>
  <si>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</si>
  <si>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</si>
  <si>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</si>
  <si>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</si>
  <si>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</si>
  <si>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</si>
  <si>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</si>
  <si>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</si>
  <si>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</si>
  <si>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</si>
  <si>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</si>
  <si>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</si>
  <si>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</si>
  <si>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</si>
  <si>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</si>
  <si>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</si>
  <si>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</si>
  <si>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</si>
  <si>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</si>
  <si>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</si>
  <si>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</si>
  <si>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</si>
  <si>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</si>
  <si>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</si>
  <si>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</si>
  <si>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</si>
  <si>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</si>
  <si>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</si>
  <si>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</si>
  <si>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</si>
  <si>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</si>
  <si>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</si>
  <si>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</si>
  <si>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</si>
  <si>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</si>
  <si>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</si>
  <si>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</si>
  <si>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</si>
  <si>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</si>
  <si>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</si>
  <si>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</si>
  <si>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</si>
  <si>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</si>
  <si>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</si>
  <si>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</si>
  <si>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</si>
  <si>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</si>
  <si>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</si>
  <si>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</si>
  <si>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</si>
  <si>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</si>
  <si>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</si>
  <si>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</si>
  <si>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</si>
  <si>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</si>
  <si>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</si>
  <si>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</si>
  <si>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</si>
  <si>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</si>
  <si>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</si>
  <si>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</si>
  <si>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</si>
  <si>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</si>
  <si>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</si>
  <si>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</si>
  <si>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</si>
  <si>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</si>
  <si>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</si>
  <si>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</si>
  <si>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</si>
  <si>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</si>
  <si>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</si>
  <si>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</si>
  <si>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</si>
  <si>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</si>
  <si>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</si>
  <si>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BEZ-A-73 от </t>
  </si>
  <si>
    <t xml:space="preserve"> 11.08.2025г.</t>
  </si>
  <si>
    <t>DAP - с Акжигит , Республика Казахстан</t>
  </si>
  <si>
    <t>90Y961WA/904509BA</t>
  </si>
  <si>
    <t xml:space="preserve">СПЕЦИФИКАЦИЯ № BEZ-A-73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</si>
</sst>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2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137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160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161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960</v>
      </c>
      <c r="F30" s="110" t="s">
        <v>27</v>
      </c>
      <c r="G30" s="106">
        <v>23000</v>
      </c>
      <c r="H30" s="106">
        <v>21272</v>
      </c>
      <c r="I30" s="108">
        <v>0.2</v>
      </c>
      <c r="J30" s="13">
        <f t="shared" ref="J30" si="0">H30*I30</f>
        <v>4254.4000000000005</v>
      </c>
      <c r="K30" s="12">
        <v>0</v>
      </c>
      <c r="L30" s="12">
        <v>0</v>
      </c>
      <c r="M30" s="13">
        <f t="shared" ref="M30" si="1">J30</f>
        <v>4254.4000000000005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4254.4000000000005</v>
      </c>
      <c r="K31" s="16"/>
      <c r="L31" s="16"/>
      <c r="M31" s="17">
        <f>SUM(M30:M30)</f>
        <v>4254.4000000000005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пятьдесят четыре доллара США,40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35" sqref="J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BEZ-A-73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90Y961WA/904509BA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0" zoomScaleNormal="100" workbookViewId="0">
      <selection activeCell="M32" sqref="M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90Y961WA/904509BA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BEZ-A-73 от  11.08.2025г.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960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0"/>
      <c r="H20" s="160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0"/>
      <c r="H22" s="160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0"/>
      <c r="H24" s="160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0"/>
      <c r="H26" s="160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0"/>
      <c r="H28" s="160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0"/>
      <c r="H30" s="160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0"/>
      <c r="H32" s="160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0"/>
      <c r="H34" s="160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0"/>
      <c r="H36" s="160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0"/>
      <c r="H38" s="160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0"/>
      <c r="H42" s="160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2"/>
      <c r="H44" s="162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960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7"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162</v>
      </c>
      <c r="C1" s="169"/>
      <c r="D1" s="169"/>
      <c r="E1" s="169"/>
      <c r="F1" s="149" t="str">
        <f>+Инвойс!F1</f>
        <v xml:space="preserve"> 11.08.2025г.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3.8" x14ac:dyDescent="0.25">
      <c r="A6" s="172" t="str">
        <f>+Инвойс!A6</f>
        <v>Республика Узбекистан, Джизакская область,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2" t="str">
        <f>+Инвойс!A7</f>
        <v>Шароф Рашидовский район, Токчилик МФЙ, ул Мустакиллик дом 92а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Р/с N 20208840905433267001   (USD)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72" t="str">
        <f>+Инвойс!A9</f>
        <v xml:space="preserve">в “Узсаноаткурилиш” Банк операционный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2" t="str">
        <f>+Инвойс!A10</f>
        <v>МФО 00440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72" t="str">
        <f>+Инвойс!A11</f>
        <v>ИНН: 308822933</v>
      </c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72" t="str">
        <f>+Инвойс!A15</f>
        <v>Республика Узбекистан, Джизакская область,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72" t="str">
        <f>+Инвойс!A16</f>
        <v>Шароф Рашидовский район, Токчилик МФЙ, ул Мустакиллик дом 92а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Р/с N 20208840905433267001   (USD)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72" t="str">
        <f>+Инвойс!A18</f>
        <v xml:space="preserve">в “Узсаноаткурилиш” Банк операционный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72" t="str">
        <f>+Инвойс!A19</f>
        <v>МФО 00440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72" t="str">
        <f>+Инвойс!A20</f>
        <v>ИНН: 308822933</v>
      </c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90Y961WA/904509BA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6.4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960</v>
      </c>
      <c r="F30" s="116" t="str">
        <f>+Инвойс!F30</f>
        <v>кг</v>
      </c>
      <c r="G30" s="106">
        <f>+Инвойс!G30</f>
        <v>23000</v>
      </c>
      <c r="H30" s="106">
        <f>+Инвойс!H30</f>
        <v>21272</v>
      </c>
      <c r="I30" s="108">
        <f>+Инвойс!I30</f>
        <v>0.2</v>
      </c>
      <c r="J30" s="13">
        <f>+Инвойс!J30</f>
        <v>4254.4000000000005</v>
      </c>
      <c r="K30" s="12">
        <v>0</v>
      </c>
      <c r="L30" s="12">
        <v>0</v>
      </c>
      <c r="M30" s="13">
        <f>+Инвойс!M30</f>
        <v>4254.4000000000005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4254.4000000000005</v>
      </c>
      <c r="K31" s="16"/>
      <c r="L31" s="16"/>
      <c r="M31" s="17">
        <f>SUM(M30:M30)</f>
        <v>4254.4000000000005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пятьдесят четыре доллара США,40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4254.4000000000005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пятьдесят четыре доллара США,40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пятьдесят четыре доллара США,40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пятьдесят четыре доллара США,40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пятьдесят четыре доллара США,40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пятьдесят четыре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40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4254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4254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40</v>
      </c>
      <c r="C31" s="59">
        <f>TRUNC(A31/10)</f>
        <v>4</v>
      </c>
      <c r="E31" s="56" t="str">
        <f>IF(OR(C31=1,C31=0),"",IF(C31=2,E35,IF(C31=3,E36,IF(C31=4,E37,IF(C31=5,E38,IF(C31=6,E39,IF(C31=7,E40,IF(C31=8,E41,E42))))))))</f>
        <v xml:space="preserve">сорок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2025-08-11T13:57:53Z</cp:lastPrinted>
  <dcterms:created xsi:type="dcterms:W3CDTF">1996-10-14T23:33:28Z</dcterms:created>
  <dcterms:modified xsi:type="dcterms:W3CDTF">2025-08-11T13:57:56Z</dcterms:modified>
</cp:coreProperties>
</file>