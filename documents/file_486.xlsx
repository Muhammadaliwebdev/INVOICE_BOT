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196783A-587C-404B-AD2D-159D09F008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<sst xmlns="http://schemas.openxmlformats.org/spreadsheetml/2006/main" count="211" uniqueCount="163">
  <si>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</si>
  <si>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</si>
  <si>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</si>
  <si>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</si>
  <si>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</si>
  <si>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</si>
  <si>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</si>
  <si>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</si>
  <si>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</si>
  <si>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</si>
  <si>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</si>
  <si>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</si>
  <si>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</si>
  <si>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</si>
  <si>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</si>
  <si>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</si>
  <si>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</si>
  <si>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</si>
  <si>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</si>
  <si>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</si>
  <si>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</si>
  <si>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</si>
  <si>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</si>
  <si>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</si>
  <si>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</si>
  <si>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</si>
  <si>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</si>
  <si>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</si>
  <si>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</si>
  <si>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</si>
  <si>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</si>
  <si>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</si>
  <si>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</si>
  <si>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</si>
  <si>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</si>
  <si>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</si>
  <si>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</si>
  <si>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</si>
  <si>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</si>
  <si>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</si>
  <si>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</si>
  <si>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</si>
  <si>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</si>
  <si>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</si>
  <si>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</si>
  <si>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</si>
  <si>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</si>
  <si>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</si>
  <si>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</si>
  <si>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</si>
  <si>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</si>
  <si>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</si>
  <si>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</si>
  <si>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</si>
  <si>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</si>
  <si>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</si>
  <si>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</si>
  <si>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</si>
  <si>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</si>
  <si>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</si>
  <si>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</si>
  <si>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</si>
  <si>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</si>
  <si>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</si>
  <si>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</si>
  <si>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</si>
  <si>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</si>
  <si>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</si>
  <si>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</si>
  <si>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</si>
  <si>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</si>
  <si>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</si>
  <si>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</si>
  <si>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</si>
  <si>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</si>
  <si>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</si>
  <si>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</si>
  <si>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</si>
  <si>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</si>
  <si>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</si>
  <si>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</si>
  <si>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</si>
  <si>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</si>
  <si>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</si>
  <si>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</si>
  <si>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</si>
  <si>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</si>
  <si>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</si>
  <si>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</si>
  <si>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</si>
  <si>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</si>
  <si>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</si>
  <si>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</si>
  <si>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</si>
  <si>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</si>
  <si>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</si>
  <si>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</si>
  <si>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</si>
  <si>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</si>
  <si>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</si>
  <si>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</si>
  <si>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</si>
  <si>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</si>
  <si>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</si>
  <si>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</si>
  <si>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</si>
  <si>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</si>
  <si>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</si>
  <si>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</si>
  <si>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</si>
  <si>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</si>
  <si>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</si>
  <si>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</si>
  <si>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</si>
  <si>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</si>
  <si>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</si>
  <si>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</si>
  <si>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</si>
  <si>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</si>
  <si>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</si>
  <si>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</si>
  <si>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</si>
  <si>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</si>
  <si>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</si>
  <si>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</si>
  <si>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</si>
  <si>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</si>
  <si>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</si>
  <si>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</si>
  <si>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</si>
  <si>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</si>
  <si>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</si>
  <si>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</si>
  <si>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</si>
  <si>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</si>
  <si>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</si>
  <si>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</si>
  <si>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</si>
  <si>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</si>
  <si>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</si>
  <si>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</si>
  <si>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</si>
  <si>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</si>
  <si>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</si>
  <si>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</si>
  <si>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</si>
  <si>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</si>
  <si>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</si>
  <si>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</si>
  <si>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</si>
  <si>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</si>
  <si>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</si>
  <si>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</si>
  <si>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</si>
  <si>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</si>
  <si>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</si>
  <si>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</si>
  <si>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</si>
  <si>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</si>
  <si>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UFG-N-13 от </t>
  </si>
  <si>
    <t xml:space="preserve"> 08.09.2025г.</t>
  </si>
  <si>
    <t>40728SBA/403510BA</t>
  </si>
  <si>
    <t xml:space="preserve">СПЕЦИФИКАЦИЯ № UFG-N-13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</si>
</sst>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147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148</v>
      </c>
      <c r="B5" s="155"/>
      <c r="C5" s="155"/>
      <c r="D5" s="155"/>
      <c r="E5" s="155"/>
      <c r="F5" s="6"/>
      <c r="G5" s="148" t="s">
        <v>135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143</v>
      </c>
      <c r="B6" s="142"/>
      <c r="C6" s="142"/>
      <c r="D6" s="142"/>
      <c r="E6" s="142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149</v>
      </c>
      <c r="B7" s="142"/>
      <c r="C7" s="142"/>
      <c r="D7" s="142"/>
      <c r="E7" s="142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144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145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146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151</v>
      </c>
      <c r="B12" s="8"/>
      <c r="C12" s="8"/>
      <c r="D12" s="8"/>
      <c r="E12" s="8"/>
      <c r="F12" s="7"/>
      <c r="G12" s="144" t="s">
        <v>141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148</v>
      </c>
      <c r="B14" s="155"/>
      <c r="C14" s="155"/>
      <c r="D14" s="155"/>
      <c r="E14" s="155"/>
      <c r="F14" s="6"/>
      <c r="G14" s="148" t="s">
        <v>135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143</v>
      </c>
      <c r="B15" s="142"/>
      <c r="C15" s="142"/>
      <c r="D15" s="142"/>
      <c r="E15" s="142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149</v>
      </c>
      <c r="B16" s="142"/>
      <c r="C16" s="142"/>
      <c r="D16" s="142"/>
      <c r="E16" s="142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144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145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146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151</v>
      </c>
      <c r="B21" s="8"/>
      <c r="C21" s="8"/>
      <c r="D21" s="8"/>
      <c r="E21" s="8"/>
      <c r="G21" s="144" t="s">
        <v>141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1" t="s">
        <v>117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6" x14ac:dyDescent="0.3">
      <c r="A24" s="20" t="s">
        <v>22</v>
      </c>
      <c r="C24" s="18" t="s">
        <v>157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161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950</v>
      </c>
      <c r="F30" s="110" t="s">
        <v>27</v>
      </c>
      <c r="G30" s="106">
        <v>23000</v>
      </c>
      <c r="H30" s="106">
        <v>21290</v>
      </c>
      <c r="I30" s="108">
        <v>0.25</v>
      </c>
      <c r="J30" s="13">
        <f t="shared" ref="J30" si="0">H30*I30</f>
        <v>5322.5</v>
      </c>
      <c r="K30" s="12">
        <v>0</v>
      </c>
      <c r="L30" s="12">
        <v>0</v>
      </c>
      <c r="M30" s="13">
        <f t="shared" ref="M30" si="1">J30</f>
        <v>5322.5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5322.5</v>
      </c>
      <c r="K31" s="16"/>
      <c r="L31" s="16"/>
      <c r="M31" s="17">
        <f>SUM(M30:M30)</f>
        <v>5322.5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двадцать два доллара США,50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152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08.09.2025г.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UFG-N-13 от  08.09.2025г.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08.09.2025г.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40728SBA/403510BA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5" zoomScaleNormal="100" workbookViewId="0">
      <selection activeCell="O18" sqref="O1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40728SBA/403510BA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08.09.2025г.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UFG-N-13 от  08.09.2025г.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950</v>
      </c>
      <c r="E47" s="142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3" t="str">
        <f>+Инвойс!F1</f>
        <v xml:space="preserve"> 08.09.2025г.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38" t="s">
        <v>115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40728SBA/403510BA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3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23000</v>
      </c>
      <c r="H30" s="106">
        <f>+Инвойс!H30</f>
        <v>21290</v>
      </c>
      <c r="I30" s="108">
        <f>+Инвойс!I30</f>
        <v>0.25</v>
      </c>
      <c r="J30" s="13">
        <f>+Инвойс!J30</f>
        <v>5322.5</v>
      </c>
      <c r="K30" s="12">
        <v>0</v>
      </c>
      <c r="L30" s="12">
        <v>0</v>
      </c>
      <c r="M30" s="13">
        <f>+Инвойс!M30</f>
        <v>5322.5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5322.5</v>
      </c>
      <c r="K31" s="16"/>
      <c r="L31" s="16"/>
      <c r="M31" s="17">
        <f>SUM(M30:M30)</f>
        <v>5322.5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триста двадцать два доллара США,50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153</v>
      </c>
      <c r="B36" s="131"/>
      <c r="D36" s="18" t="str">
        <f>+Инвойс!D36</f>
        <v>ЭШТЕМИРОВ Х.Х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155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157</v>
      </c>
      <c r="J10" s="25" t="s">
        <v>132</v>
      </c>
    </row>
    <row r="11" spans="1:10" ht="52.8" x14ac:dyDescent="0.25">
      <c r="A11" s="126" t="s">
        <v>154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5322.5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двадцать два доллара США,50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45908</v>
      </c>
      <c r="O3" s="177"/>
      <c r="P3">
        <f ca="1">DAY(N3)</f>
        <v>8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двадцать два доллара США,50 центов. (в т.ч. НДС - 357,79)</v>
      </c>
      <c r="H4" s="32"/>
      <c r="I4" s="32"/>
      <c r="J4" s="32"/>
      <c r="K4" s="178" t="str">
        <f ca="1">CONCATENATE(" «  ",P3,"  »  ",Q3,"  ",R3," г.")</f>
        <v xml:space="preserve"> «  8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двадцать два доллара США,50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двадцать два доллара США,50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триста двадцать два доллара США,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45908</v>
      </c>
    </row>
    <row r="13" spans="1:19" s="43" customFormat="1" x14ac:dyDescent="0.25">
      <c r="A13" s="49"/>
      <c r="D13" s="51"/>
      <c r="E13" s="52">
        <f>TRUNC(E2)</f>
        <v>5322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5322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322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2025-09-08T08:43:49Z</cp:lastPrinted>
  <dcterms:created xsi:type="dcterms:W3CDTF">1996-10-14T23:33:28Z</dcterms:created>
  <dcterms:modified xsi:type="dcterms:W3CDTF">2025-09-08T08:43:58Z</dcterms:modified>
</cp:coreProperties>
</file>