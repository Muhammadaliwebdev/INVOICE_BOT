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D37" i="7"/>
  <c r="H37" l="1"/>
  <c r="I31" i="4" l="1"/>
  <c r="G31"/>
  <c r="F31"/>
  <c r="B31"/>
  <c r="C31"/>
  <c r="D31"/>
  <c r="G20" i="7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1" l="1"/>
  <c r="C30"/>
  <c r="A31"/>
  <c r="B31"/>
  <c r="D31"/>
  <c r="E31"/>
  <c r="F31"/>
  <c r="G31"/>
  <c r="H31"/>
  <c r="I31"/>
  <c r="I30"/>
  <c r="H30"/>
  <c r="F30"/>
  <c r="G30"/>
  <c r="E30"/>
  <c r="D30"/>
  <c r="B30"/>
  <c r="A30"/>
  <c r="E26"/>
  <c r="C24"/>
  <c r="F1"/>
  <c r="G32" l="1"/>
  <c r="E32"/>
  <c r="H32" l="1"/>
  <c r="E32" i="2" l="1"/>
  <c r="G32" l="1"/>
  <c r="H32"/>
  <c r="G21" i="5"/>
  <c r="G19"/>
  <c r="J21"/>
  <c r="F21"/>
  <c r="F20"/>
  <c r="F19"/>
  <c r="F18"/>
  <c r="J19"/>
  <c r="G30" i="4"/>
  <c r="G20" i="5"/>
  <c r="I30" i="4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1" i="2"/>
  <c r="J30"/>
  <c r="M30" l="1"/>
  <c r="M30" i="7" s="1"/>
  <c r="J30"/>
  <c r="M31" i="2"/>
  <c r="M31" i="7" s="1"/>
  <c r="J31"/>
  <c r="J32" i="2"/>
  <c r="S3" i="3"/>
  <c r="S4"/>
  <c r="P3"/>
  <c r="R3"/>
  <c r="Q3" l="1"/>
  <c r="K4" s="1"/>
  <c r="J32" i="7"/>
  <c r="M32"/>
  <c r="M32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<sst xmlns="http://schemas.openxmlformats.org/spreadsheetml/2006/main" count="216" uniqueCount="163">
  <si>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</si>
  <si>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</si>
  <si>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</si>
  <si>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</si>
  <si>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</si>
  <si>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</si>
  <si>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</si>
  <si>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</si>
  <si>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</si>
  <si>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</si>
  <si>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</si>
  <si>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</si>
  <si>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</si>
  <si>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</si>
  <si>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</si>
  <si>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</si>
  <si>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</si>
  <si>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</si>
  <si>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</si>
  <si>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</si>
  <si>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</si>
  <si>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</si>
  <si>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</si>
  <si>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</si>
  <si>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</si>
  <si>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</si>
  <si>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</si>
  <si>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</si>
  <si>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</si>
  <si>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</si>
  <si>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</si>
  <si>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</si>
  <si>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</si>
  <si>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</si>
  <si>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</si>
  <si>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</si>
  <si>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</si>
  <si>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</si>
  <si>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</si>
  <si>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</si>
  <si>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</si>
  <si>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</si>
  <si>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</si>
  <si>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</si>
  <si>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</si>
  <si>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</si>
  <si>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</si>
  <si>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</si>
  <si>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</si>
  <si>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</si>
  <si>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</si>
  <si>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</si>
  <si>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</si>
  <si>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</si>
  <si>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</si>
  <si>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</si>
  <si>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</si>
  <si>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</si>
  <si>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</si>
  <si>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</si>
  <si>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</si>
  <si>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</si>
  <si>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</si>
  <si>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</si>
  <si>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</si>
  <si>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</si>
  <si>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</si>
  <si>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</si>
  <si>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</si>
  <si>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</si>
  <si>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</si>
  <si>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</si>
  <si>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</si>
  <si>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</si>
  <si>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</si>
  <si>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</si>
  <si>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</si>
  <si>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</si>
  <si>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</si>
  <si>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</si>
  <si>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</si>
  <si>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</si>
  <si>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</si>
  <si>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</si>
  <si>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</si>
  <si>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</si>
  <si>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</si>
  <si>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</si>
  <si>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</si>
  <si>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</si>
  <si>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</si>
  <si>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</si>
  <si>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</si>
  <si>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</si>
  <si>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</si>
  <si>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</si>
  <si>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</si>
  <si>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</si>
  <si>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</si>
  <si>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</si>
  <si>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</si>
  <si>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</si>
  <si>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</si>
  <si>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</si>
  <si>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</si>
  <si>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</si>
  <si>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</si>
  <si>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</si>
  <si>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</si>
  <si>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</si>
  <si>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</si>
  <si>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</si>
  <si>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</si>
  <si>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Томаты свежие некалиброванный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</si>
  <si>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</si>
  <si>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</si>
  <si>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</si>
  <si>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</si>
  <si>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</si>
  <si>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</si>
  <si>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</si>
  <si>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</si>
  <si>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</si>
  <si>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0702000005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</si>
  <si>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</si>
  <si>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</si>
  <si>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</si>
  <si>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</si>
  <si>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</si>
  <si>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</si>
  <si>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</si>
  <si>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</si>
  <si>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</si>
  <si>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</si>
  <si>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</si>
  <si>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</si>
  <si>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</si>
  <si>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</si>
  <si>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</si>
  <si>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</si>
  <si>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</si>
  <si>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</si>
  <si>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</si>
  <si>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</si>
  <si>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</si>
  <si>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</si>
  <si>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</si>
  <si>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</si>
  <si>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</si>
  <si>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</si>
  <si>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</si>
  <si>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</si>
  <si>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</si>
  <si>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</si>
  <si>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</si>
  <si>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</si>
  <si>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</si>
  <si>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</si>
  <si>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</si>
  <si>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UFG-N-8 от </t>
  </si>
  <si>
    <t xml:space="preserve"> 07.09.2025г.</t>
  </si>
  <si>
    <t>30B015SA/307860AA</t>
  </si>
  <si>
    <t xml:space="preserve">СПЕЦИФИКАЦИЯ № UFG-N-8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</si>
</sst>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=""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=""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=""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3"/>
  <sheetViews>
    <sheetView tabSelected="1" zoomScaleNormal="100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">
        <v>148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>
      <c r="A6" s="143" t="s">
        <v>143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5">
      <c r="A7" s="142" t="s">
        <v>149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">
        <v>148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" customHeight="1">
      <c r="A15" s="143" t="s">
        <v>143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5">
      <c r="A16" s="142" t="s">
        <v>149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8" t="s">
        <v>124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>
      <c r="A24" s="20" t="s">
        <v>22</v>
      </c>
      <c r="C24" s="18" t="s">
        <v>157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>
      <c r="A27" s="67" t="s">
        <v>110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>
      <c r="A30" s="127">
        <v>1</v>
      </c>
      <c r="B30" s="101" t="s">
        <v>113</v>
      </c>
      <c r="C30" s="107" t="s">
        <v>123</v>
      </c>
      <c r="D30" s="109" t="s">
        <v>112</v>
      </c>
      <c r="E30" s="101">
        <v>3046</v>
      </c>
      <c r="F30" s="110" t="s">
        <v>27</v>
      </c>
      <c r="G30" s="106">
        <v>21600</v>
      </c>
      <c r="H30" s="106">
        <v>16726</v>
      </c>
      <c r="I30" s="108">
        <v>0.55000000000000004</v>
      </c>
      <c r="J30" s="13">
        <f t="shared" ref="J30:J31" si="0">H30*I30</f>
        <v>9199.3000000000011</v>
      </c>
      <c r="K30" s="12">
        <v>0</v>
      </c>
      <c r="L30" s="12">
        <v>0</v>
      </c>
      <c r="M30" s="13">
        <f t="shared" ref="M30:M31" si="1">J30</f>
        <v>9199.3000000000011</v>
      </c>
      <c r="O30" s="100"/>
      <c r="Q30" s="100"/>
    </row>
    <row r="31" spans="1:17" ht="30">
      <c r="A31" s="127">
        <v>2</v>
      </c>
      <c r="B31" s="101" t="s">
        <v>113</v>
      </c>
      <c r="C31" s="107" t="s">
        <v>123</v>
      </c>
      <c r="D31" s="109" t="s">
        <v>112</v>
      </c>
      <c r="E31" s="101">
        <v>100</v>
      </c>
      <c r="F31" s="110" t="s">
        <v>27</v>
      </c>
      <c r="G31" s="106">
        <v>700</v>
      </c>
      <c r="H31" s="106">
        <v>540</v>
      </c>
      <c r="I31" s="108">
        <v>0.55000000000000004</v>
      </c>
      <c r="J31" s="13">
        <f t="shared" si="0"/>
        <v>297</v>
      </c>
      <c r="K31" s="12">
        <v>0</v>
      </c>
      <c r="L31" s="12">
        <v>0</v>
      </c>
      <c r="M31" s="13">
        <f t="shared" si="1"/>
        <v>297</v>
      </c>
      <c r="O31" s="100"/>
      <c r="Q31" s="100"/>
    </row>
    <row r="32" spans="1:17" ht="14.25">
      <c r="A32" s="151" t="s">
        <v>0</v>
      </c>
      <c r="B32" s="152"/>
      <c r="C32" s="14"/>
      <c r="D32" s="15"/>
      <c r="E32" s="64">
        <f>SUM(E30:E31)</f>
        <v>3146</v>
      </c>
      <c r="F32" s="15"/>
      <c r="G32" s="64">
        <f>SUM(G30:G31)</f>
        <v>22300</v>
      </c>
      <c r="H32" s="64">
        <f>SUM(H30:H31)</f>
        <v>17266</v>
      </c>
      <c r="I32" s="102"/>
      <c r="J32" s="17">
        <f>SUM(J30:J31)</f>
        <v>9496.3000000000011</v>
      </c>
      <c r="K32" s="16"/>
      <c r="L32" s="16"/>
      <c r="M32" s="17">
        <f>SUM(M30:M31)</f>
        <v>9496.3000000000011</v>
      </c>
      <c r="P32" s="66"/>
    </row>
    <row r="33" spans="1:14" ht="13.5">
      <c r="A33" s="2" t="s">
        <v>17</v>
      </c>
      <c r="B33" s="3"/>
      <c r="C33" s="11"/>
      <c r="D33" s="11"/>
      <c r="E33" s="149" t="str">
        <f>Лист1!B3</f>
        <v>девять тысяч четыреста девяносто шесть долларов США, 30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5">
      <c r="A37" s="7" t="s">
        <v>28</v>
      </c>
      <c r="B37" s="7"/>
      <c r="D37" s="25" t="s">
        <v>152</v>
      </c>
      <c r="E37" s="24"/>
    </row>
    <row r="38" spans="1:14" ht="15">
      <c r="A38" s="7"/>
      <c r="B38" s="9"/>
    </row>
    <row r="39" spans="1:14" ht="15">
      <c r="A39" s="7" t="s">
        <v>18</v>
      </c>
      <c r="B39" s="9"/>
    </row>
    <row r="40" spans="1:14" ht="15">
      <c r="A40" s="7"/>
      <c r="B40" s="9"/>
    </row>
    <row r="41" spans="1:14" ht="15">
      <c r="A41" s="7" t="s">
        <v>29</v>
      </c>
      <c r="B41" s="9"/>
    </row>
    <row r="42" spans="1:14" ht="15">
      <c r="A42" s="8"/>
      <c r="B42" s="9"/>
    </row>
    <row r="43" spans="1:14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7" zoomScale="115" zoomScaleNormal="115" workbookViewId="0">
      <selection activeCell="F45" sqref="F45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UCHQIZIL FRUITS EXPORT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ТЕРМИЗСКИЙ РАЙОН,ЯНГИХАЯТ МФЙ, УЛИЦА БОГИ ШАМОЛ, 20-А</v>
      </c>
    </row>
    <row r="5" spans="1:11" ht="12.75" customHeight="1"/>
    <row r="6" spans="1:11" ht="26.25" customHeight="1"/>
    <row r="7" spans="1:11" ht="12" customHeight="1">
      <c r="B7" s="70" t="str">
        <f>+Инвойс!G14</f>
        <v>ООО «ГРИН ВОРЛД»</v>
      </c>
    </row>
    <row r="8" spans="1:11">
      <c r="B8" s="70" t="str">
        <f>+Инвойс!G15</f>
        <v xml:space="preserve">454106, ЧЕЛЯБИНСКАЯ ОБЛАСТЬ, Г ЧЕЛЯБИНСК, </v>
      </c>
    </row>
    <row r="9" spans="1:11" ht="12.75" customHeight="1">
      <c r="B9" s="70" t="str">
        <f>+Инвойс!G16</f>
        <v>УЛ ОСТРОВСКОГО, Д. 36, КВ. 176</v>
      </c>
    </row>
    <row r="10" spans="1:11" ht="13.5" customHeight="1"/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108</v>
      </c>
    </row>
    <row r="15" spans="1:11" ht="7.5" hidden="1" customHeight="1"/>
    <row r="16" spans="1:11" ht="12" customHeight="1">
      <c r="B16" s="70" t="s">
        <v>129</v>
      </c>
    </row>
    <row r="17" spans="1:9" ht="25.5" customHeight="1"/>
    <row r="18" spans="1:9" ht="13.5" customHeight="1">
      <c r="A18" s="70" t="s">
        <v>92</v>
      </c>
      <c r="B18" s="70" t="s">
        <v>114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UFG-N-8 от  07.09.2025г.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106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3046</v>
      </c>
      <c r="D30" s="103" t="str">
        <f>+Инвойс!D30</f>
        <v>Дер. ящик</v>
      </c>
      <c r="E30" s="103"/>
      <c r="F30" s="103" t="str">
        <f>+Инвойс!B30</f>
        <v>Томаты свежие некалиброванный</v>
      </c>
      <c r="G30" s="104" t="str">
        <f>+Инвойс!C30</f>
        <v>0702000005</v>
      </c>
      <c r="H30" s="103"/>
      <c r="I30" s="105">
        <f>+Инвойс!G30</f>
        <v>21600</v>
      </c>
    </row>
    <row r="31" spans="1:9" ht="9" customHeight="1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Дер. ящик</v>
      </c>
      <c r="E31" s="103"/>
      <c r="F31" s="103" t="str">
        <f>+Инвойс!B31</f>
        <v>Томаты свежие некалиброванный</v>
      </c>
      <c r="G31" s="104" t="str">
        <f>+Инвойс!C31</f>
        <v>0702000005</v>
      </c>
      <c r="H31" s="103"/>
      <c r="I31" s="105">
        <f>+Инвойс!G31</f>
        <v>700</v>
      </c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115</v>
      </c>
      <c r="D49" s="160" t="str">
        <f>+C22</f>
        <v xml:space="preserve"> 07.09.2025г.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30B015SA/307860AA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8" zoomScaleNormal="100" workbookViewId="0">
      <selection activeCell="H46" sqref="H46:H47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7" t="s">
        <v>96</v>
      </c>
      <c r="C2" s="167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8" t="str">
        <f>+Инвойс!E26</f>
        <v>30B015SA/307860AA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UFG-N-8 от  07.09.2025г.</v>
      </c>
      <c r="I15" s="170"/>
      <c r="J15" s="170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3046</v>
      </c>
      <c r="G18" s="163" t="str">
        <f>+CMR!F30</f>
        <v>Томаты свежие некалиброванный</v>
      </c>
      <c r="H18" s="163"/>
      <c r="I18" s="119"/>
      <c r="J18" s="120"/>
    </row>
    <row r="19" spans="2:10" ht="11.25" customHeight="1">
      <c r="B19" s="91"/>
      <c r="E19" s="117"/>
      <c r="F19" s="121" t="str">
        <f>+Инвойс!D30</f>
        <v>Дер. ящик</v>
      </c>
      <c r="G19" s="161" t="str">
        <f>+Инвойс!C30</f>
        <v>0702000005</v>
      </c>
      <c r="H19" s="162"/>
      <c r="I19" s="122" t="s">
        <v>103</v>
      </c>
      <c r="J19" s="120">
        <f>+Инвойс!G30</f>
        <v>21600</v>
      </c>
    </row>
    <row r="20" spans="2:10" ht="13.5" customHeight="1">
      <c r="B20" s="83"/>
      <c r="E20" s="123"/>
      <c r="F20" s="118">
        <f>+Инвойс!E31</f>
        <v>100</v>
      </c>
      <c r="G20" s="163" t="str">
        <f>+CMR!F31</f>
        <v>Томаты свежие некалиброванный</v>
      </c>
      <c r="H20" s="163"/>
      <c r="I20" s="119"/>
      <c r="J20" s="120"/>
    </row>
    <row r="21" spans="2:10" ht="13.5" customHeight="1">
      <c r="B21" s="83" t="s">
        <v>104</v>
      </c>
      <c r="E21" s="123"/>
      <c r="F21" s="121" t="str">
        <f>+Инвойс!D31</f>
        <v>Дер. ящик</v>
      </c>
      <c r="G21" s="161" t="str">
        <f>+Инвойс!C31</f>
        <v>0702000005</v>
      </c>
      <c r="H21" s="162"/>
      <c r="I21" s="122" t="s">
        <v>103</v>
      </c>
      <c r="J21" s="120">
        <f>+Инвойс!G31</f>
        <v>700</v>
      </c>
    </row>
    <row r="22" spans="2:10" ht="12.75" customHeight="1">
      <c r="B22" s="83"/>
      <c r="E22" s="123"/>
      <c r="F22" s="118"/>
      <c r="G22" s="163"/>
      <c r="H22" s="163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3"/>
      <c r="H24" s="163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3"/>
      <c r="H26" s="163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3"/>
      <c r="H28" s="163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3"/>
      <c r="H30" s="163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3"/>
      <c r="H32" s="163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3"/>
      <c r="H34" s="163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3"/>
      <c r="H36" s="163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3"/>
      <c r="H38" s="163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3"/>
      <c r="H40" s="163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3"/>
      <c r="H42" s="163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5"/>
      <c r="H44" s="165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6">
        <f>+F18+F20+F22+F24+F26+F28+F30+F32+F34+F36+F38+F40+F42</f>
        <v>3146</v>
      </c>
      <c r="E47" s="142"/>
    </row>
    <row r="48" spans="2:10" ht="17.25" customHeight="1">
      <c r="B48" s="164" t="s">
        <v>105</v>
      </c>
      <c r="C48" s="164"/>
      <c r="D48" s="164"/>
      <c r="E48" s="164"/>
    </row>
    <row r="49" spans="2:5" ht="21.75" customHeight="1">
      <c r="B49" s="164"/>
      <c r="C49" s="164"/>
      <c r="D49" s="164"/>
      <c r="E49" s="164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3"/>
  <sheetViews>
    <sheetView zoomScale="85" zoomScaleNormal="85" workbookViewId="0">
      <selection activeCell="P26" sqref="P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1" t="s">
        <v>162</v>
      </c>
      <c r="C1" s="171"/>
      <c r="D1" s="171"/>
      <c r="E1" s="171"/>
      <c r="F1" s="153" t="str">
        <f>+Инвойс!F1</f>
        <v xml:space="preserve"> 07.09.2025г.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>
      <c r="A22" s="1" t="s">
        <v>125</v>
      </c>
      <c r="C22" s="65"/>
      <c r="F22" s="1"/>
    </row>
    <row r="23" spans="1:17" ht="26.25" hidden="1" customHeight="1">
      <c r="A23" s="69" t="s">
        <v>87</v>
      </c>
      <c r="B23" s="68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tr">
        <f>+Инвойс!E26</f>
        <v>30B015SA/307860AA</v>
      </c>
      <c r="F26" s="140"/>
      <c r="G26" s="140"/>
      <c r="J26" s="21"/>
    </row>
    <row r="27" spans="1:17" ht="34.5" customHeight="1">
      <c r="A27" s="67" t="s">
        <v>126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>
      <c r="A30" s="127">
        <f>+Инвойс!A30</f>
        <v>1</v>
      </c>
      <c r="B30" s="101" t="str">
        <f>+Инвойс!B30</f>
        <v>Томаты свежие некалиброванный</v>
      </c>
      <c r="C30" s="107" t="str">
        <f>+Инвойс!C30</f>
        <v>0702000005</v>
      </c>
      <c r="D30" s="115" t="str">
        <f>+Инвойс!D30</f>
        <v>Дер. ящик</v>
      </c>
      <c r="E30" s="101">
        <f>+Инвойс!E30</f>
        <v>3046</v>
      </c>
      <c r="F30" s="116" t="str">
        <f>+Инвойс!F30</f>
        <v>кг</v>
      </c>
      <c r="G30" s="106">
        <f>+Инвойс!G30</f>
        <v>21600</v>
      </c>
      <c r="H30" s="106">
        <f>+Инвойс!H30</f>
        <v>16726</v>
      </c>
      <c r="I30" s="108">
        <f>+Инвойс!I30</f>
        <v>0.55000000000000004</v>
      </c>
      <c r="J30" s="13">
        <f>+Инвойс!J30</f>
        <v>9199.3000000000011</v>
      </c>
      <c r="K30" s="12">
        <v>0</v>
      </c>
      <c r="L30" s="12">
        <v>0</v>
      </c>
      <c r="M30" s="13">
        <f>+Инвойс!M30</f>
        <v>9199.3000000000011</v>
      </c>
      <c r="O30" s="100"/>
      <c r="Q30" s="100"/>
    </row>
    <row r="31" spans="1:17" ht="30">
      <c r="A31" s="127">
        <f>+Инвойс!A31</f>
        <v>2</v>
      </c>
      <c r="B31" s="101" t="str">
        <f>+Инвойс!B31</f>
        <v>Томаты свежие некалиброванный</v>
      </c>
      <c r="C31" s="107" t="str">
        <f>+Инвойс!C31</f>
        <v>0702000005</v>
      </c>
      <c r="D31" s="115" t="str">
        <f>+Инвойс!D31</f>
        <v>Дер. ящик</v>
      </c>
      <c r="E31" s="101">
        <f>+Инвойс!E31</f>
        <v>100</v>
      </c>
      <c r="F31" s="116" t="str">
        <f>+Инвойс!F31</f>
        <v>кг</v>
      </c>
      <c r="G31" s="106">
        <f>+Инвойс!G31</f>
        <v>700</v>
      </c>
      <c r="H31" s="106">
        <f>+Инвойс!H31</f>
        <v>540</v>
      </c>
      <c r="I31" s="108">
        <f>+Инвойс!I31</f>
        <v>0.55000000000000004</v>
      </c>
      <c r="J31" s="13">
        <f>+Инвойс!J31</f>
        <v>297</v>
      </c>
      <c r="K31" s="12">
        <v>0</v>
      </c>
      <c r="L31" s="12">
        <v>0</v>
      </c>
      <c r="M31" s="13">
        <f>+Инвойс!M31</f>
        <v>297</v>
      </c>
      <c r="O31" s="100"/>
      <c r="Q31" s="100"/>
    </row>
    <row r="32" spans="1:17" ht="14.25">
      <c r="A32" s="151" t="s">
        <v>0</v>
      </c>
      <c r="B32" s="152"/>
      <c r="C32" s="14"/>
      <c r="D32" s="15"/>
      <c r="E32" s="64">
        <f>SUM(E30:E31)</f>
        <v>3146</v>
      </c>
      <c r="F32" s="15"/>
      <c r="G32" s="64">
        <f>SUM(G30:G31)</f>
        <v>22300</v>
      </c>
      <c r="H32" s="64">
        <f>SUM(H30:H31)</f>
        <v>17266</v>
      </c>
      <c r="I32" s="102"/>
      <c r="J32" s="17">
        <f>SUM(J30:J31)</f>
        <v>9496.3000000000011</v>
      </c>
      <c r="K32" s="16"/>
      <c r="L32" s="16"/>
      <c r="M32" s="17">
        <f>SUM(M30:M31)</f>
        <v>9496.3000000000011</v>
      </c>
      <c r="P32" s="66"/>
    </row>
    <row r="33" spans="1:14" ht="13.5">
      <c r="A33" s="2" t="s">
        <v>17</v>
      </c>
      <c r="B33" s="3"/>
      <c r="C33" s="11"/>
      <c r="D33" s="11"/>
      <c r="E33" s="149" t="str">
        <f>Лист1!B3</f>
        <v>девять тысяч четыреста девяносто шесть долларов США, 30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75">
      <c r="A37" s="131" t="s">
        <v>153</v>
      </c>
      <c r="B37" s="131"/>
      <c r="D37" s="18" t="str">
        <f>+Инвойс!D37</f>
        <v>ЭШТЕМИРОВ Х.Х</v>
      </c>
      <c r="E37" s="132"/>
      <c r="G37" s="129" t="s">
        <v>128</v>
      </c>
      <c r="H37" s="18" t="str">
        <f>Инвойс!G5</f>
        <v>ООО «ГРИН ВОРЛД»</v>
      </c>
      <c r="K37" s="133" t="s">
        <v>142</v>
      </c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7"/>
      <c r="B41" s="9"/>
    </row>
    <row r="42" spans="1:14" ht="15">
      <c r="A42" s="8"/>
      <c r="B42" s="9"/>
    </row>
    <row r="43" spans="1:14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>
      <selection activeCell="E8" sqref="E8"/>
    </sheetView>
  </sheetViews>
  <sheetFormatPr defaultRowHeight="12.75"/>
  <cols>
    <col min="1" max="1" width="48.7109375" bestFit="1" customWidth="1"/>
  </cols>
  <sheetData>
    <row r="1" spans="1:10" ht="38.25">
      <c r="A1" s="126" t="s">
        <v>117</v>
      </c>
    </row>
    <row r="3" spans="1:10" ht="51">
      <c r="A3" s="130" t="s">
        <v>127</v>
      </c>
    </row>
    <row r="5" spans="1:10" ht="89.25">
      <c r="A5" s="126" t="s">
        <v>155</v>
      </c>
    </row>
    <row r="6" spans="1:10">
      <c r="E6" s="18" t="s">
        <v>156</v>
      </c>
      <c r="J6" s="25" t="s">
        <v>130</v>
      </c>
    </row>
    <row r="7" spans="1:10" ht="51">
      <c r="A7" s="126" t="s">
        <v>118</v>
      </c>
    </row>
    <row r="8" spans="1:10">
      <c r="E8" s="18" t="s">
        <v>157</v>
      </c>
      <c r="J8" s="25" t="s">
        <v>131</v>
      </c>
    </row>
    <row r="9" spans="1:10" ht="51">
      <c r="A9" s="126" t="s">
        <v>119</v>
      </c>
    </row>
    <row r="10" spans="1:10">
      <c r="A10" s="126"/>
      <c r="E10" s="18" t="s">
        <v>157</v>
      </c>
      <c r="J10" s="25" t="s">
        <v>132</v>
      </c>
    </row>
    <row r="11" spans="1:10" ht="51">
      <c r="A11" s="126" t="s">
        <v>154</v>
      </c>
    </row>
    <row r="12" spans="1:10">
      <c r="E12" s="18" t="s">
        <v>158</v>
      </c>
      <c r="J12" s="25" t="s">
        <v>133</v>
      </c>
    </row>
    <row r="13" spans="1:10" ht="51">
      <c r="A13" s="126" t="s">
        <v>120</v>
      </c>
    </row>
    <row r="15" spans="1:10" ht="38.25">
      <c r="A15" s="126" t="s">
        <v>121</v>
      </c>
    </row>
    <row r="17" spans="1:1" ht="38.25">
      <c r="A17" s="126" t="s">
        <v>122</v>
      </c>
    </row>
    <row r="19" spans="1:1" ht="38.25">
      <c r="A19" s="128" t="s">
        <v>124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Инвойс!M32</f>
        <v>9496.3000000000011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девять тысяч четыреста девяносто шесть долларов США, 30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девять тысяч четыреста девяносто шесть долларов США, 30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девять тысяч четыреста девяносто шесть долларов США, 30 центов.</v>
      </c>
    </row>
    <row r="6" spans="1:19" s="36" customFormat="1">
      <c r="A6" s="38" t="s">
        <v>37</v>
      </c>
      <c r="B6" s="36" t="str">
        <f>CONCATENATE(A8,A9,A10,A11,A12,B8,B9,C9)</f>
        <v>девять тысяч четыреста девяносто шесть долларов США, 30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44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,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девять тысяч </v>
      </c>
      <c r="D10" s="47"/>
      <c r="E10" s="48"/>
      <c r="F10" s="41" t="str">
        <f>PROPER(F9)</f>
        <v>,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четыреста девяносто шесть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30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9496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9</v>
      </c>
      <c r="B25" s="47">
        <f>TRUNC(RIGHT(A25))</f>
        <v>9</v>
      </c>
      <c r="C25" s="51">
        <f>IF(B24=1,B25+10,IF(B25=0,0,B25))</f>
        <v>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94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>
      <c r="A28" s="54">
        <f>TRUNC(A29/10)</f>
        <v>949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>
      <c r="A29" s="54">
        <f>E13</f>
        <v>9496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496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30</v>
      </c>
      <c r="C31" s="59">
        <f>TRUNC(A31/10)</f>
        <v>3</v>
      </c>
      <c r="E31" s="56" t="str">
        <f>IF(OR(C31=1,C31=0),"",IF(C31=2,E35,IF(C31=3,E36,IF(C31=4,E37,IF(C31=5,E38,IF(C31=6,E39,IF(C31=7,E40,IF(C31=8,E41,E42))))))))</f>
        <v xml:space="preserve">тридцать </v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2025-09-07T11:58:38Z</cp:lastPrinted>
  <dcterms:created xsi:type="dcterms:W3CDTF">1996-10-14T23:33:28Z</dcterms:created>
  <dcterms:modified xsi:type="dcterms:W3CDTF">2025-09-07T11:58:43Z</dcterms:modified>
</cp:coreProperties>
</file>