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6CF1265-F7A4-42A0-90E0-194FE726A9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<sst xmlns="http://schemas.openxmlformats.org/spreadsheetml/2006/main" count="209" uniqueCount="163">
  <si>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</si>
  <si>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</si>
  <si>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</si>
  <si>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</si>
  <si>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</si>
  <si>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</si>
  <si>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</si>
  <si>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</si>
  <si>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</si>
  <si>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</si>
  <si>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</si>
  <si>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</si>
  <si>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</si>
  <si>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</si>
  <si>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</si>
  <si>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</si>
  <si>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</si>
  <si>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</si>
  <si>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</si>
  <si>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</si>
  <si>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</si>
  <si>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</si>
  <si>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</si>
  <si>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</si>
  <si>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</si>
  <si>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</si>
  <si>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</si>
  <si>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</si>
  <si>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</si>
  <si>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</si>
  <si>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</si>
  <si>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</si>
  <si>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</si>
  <si>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</si>
  <si>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</si>
  <si>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</si>
  <si>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</si>
  <si>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</si>
  <si>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</si>
  <si>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</si>
  <si>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</si>
  <si>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</si>
  <si>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</si>
  <si>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</si>
  <si>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</si>
  <si>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</si>
  <si>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</si>
  <si>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</si>
  <si>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</si>
  <si>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</si>
  <si>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</si>
  <si>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</si>
  <si>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</si>
  <si>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</si>
  <si>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</si>
  <si>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</si>
  <si>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</si>
  <si>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</si>
  <si>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</si>
  <si>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</si>
  <si>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</si>
  <si>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</si>
  <si>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</si>
  <si>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</si>
  <si>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</si>
  <si>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</si>
  <si>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</si>
  <si>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</si>
  <si>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</si>
  <si>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</si>
  <si>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</si>
  <si>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</si>
  <si>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</si>
  <si>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</si>
  <si>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</si>
  <si>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</si>
  <si>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</si>
  <si>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</si>
  <si>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</si>
  <si>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</si>
  <si>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</si>
  <si>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</si>
  <si>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</si>
  <si>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</si>
  <si>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</si>
  <si>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</si>
  <si>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</si>
  <si>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</si>
  <si>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</si>
  <si>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</si>
  <si>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</si>
  <si>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</si>
  <si>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</si>
  <si>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</si>
  <si>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</si>
  <si>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</si>
  <si>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</si>
  <si>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</si>
  <si>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</si>
  <si>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</si>
  <si>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</si>
  <si>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</si>
  <si>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</si>
  <si>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</si>
  <si>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</si>
  <si>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</si>
  <si>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</si>
  <si>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</si>
  <si>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</si>
  <si>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</si>
  <si>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</si>
  <si>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</si>
  <si>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</si>
  <si>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</si>
  <si>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</si>
  <si>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</si>
  <si>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</si>
  <si>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</si>
  <si>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</si>
  <si>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</si>
  <si>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</si>
  <si>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</si>
  <si>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</si>
  <si>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</si>
  <si>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</si>
  <si>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</si>
  <si>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</si>
  <si>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</si>
  <si>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</si>
  <si>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</si>
  <si>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</si>
  <si>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</si>
  <si>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</si>
  <si>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</si>
  <si>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</si>
  <si>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</si>
  <si>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</si>
  <si>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</si>
  <si>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</si>
  <si>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</si>
  <si>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</si>
  <si>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</si>
  <si>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</si>
  <si>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</si>
  <si>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</si>
  <si>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</si>
  <si>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</si>
  <si>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</si>
  <si>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</si>
  <si>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</si>
  <si>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</si>
  <si>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</si>
  <si>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</si>
  <si>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</si>
  <si>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</si>
  <si>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</si>
  <si>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</si>
  <si>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</si>
  <si>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</si>
  <si>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GWG-O-5 от </t>
  </si>
  <si>
    <t xml:space="preserve"> 02.09.2025г.</t>
  </si>
  <si>
    <t>01074OGA/016388AA</t>
  </si>
  <si>
    <t xml:space="preserve">СПЕЦИФИКАЦИЯ № GWG-O-5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</si>
</sst>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6" t="s">
        <v>159</v>
      </c>
      <c r="D1" s="136"/>
      <c r="E1" s="136"/>
      <c r="F1" s="135" t="s">
        <v>160</v>
      </c>
      <c r="G1" s="135"/>
      <c r="H1" s="135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2" t="s">
        <v>149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37" t="s">
        <v>148</v>
      </c>
      <c r="B5" s="137"/>
      <c r="C5" s="137"/>
      <c r="D5" s="137"/>
      <c r="E5" s="137"/>
      <c r="F5" s="6"/>
      <c r="G5" s="139" t="s">
        <v>130</v>
      </c>
      <c r="H5" s="139"/>
      <c r="I5" s="139"/>
      <c r="J5" s="139"/>
      <c r="K5" s="139"/>
      <c r="L5" s="139"/>
      <c r="M5" s="139"/>
    </row>
    <row r="6" spans="1:15" ht="15" x14ac:dyDescent="0.25">
      <c r="A6" s="126" t="s">
        <v>150</v>
      </c>
      <c r="B6" s="125"/>
      <c r="C6" s="125"/>
      <c r="D6" s="125"/>
      <c r="E6" s="125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26" t="s">
        <v>151</v>
      </c>
      <c r="B7" s="125"/>
      <c r="C7" s="125"/>
      <c r="D7" s="125"/>
      <c r="E7" s="125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137</v>
      </c>
      <c r="H12" s="140"/>
      <c r="I12" s="140"/>
      <c r="J12" s="140"/>
      <c r="K12" s="140"/>
      <c r="L12" s="140"/>
      <c r="M12" s="140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7" t="s">
        <v>148</v>
      </c>
      <c r="B14" s="137"/>
      <c r="C14" s="137"/>
      <c r="D14" s="137"/>
      <c r="E14" s="137"/>
      <c r="F14" s="6"/>
      <c r="G14" s="139" t="s">
        <v>130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26" t="s">
        <v>150</v>
      </c>
      <c r="B15" s="125"/>
      <c r="C15" s="125"/>
      <c r="D15" s="125"/>
      <c r="E15" s="125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5" x14ac:dyDescent="0.25">
      <c r="A16" s="126" t="s">
        <v>151</v>
      </c>
      <c r="B16" s="125"/>
      <c r="C16" s="125"/>
      <c r="D16" s="125"/>
      <c r="E16" s="125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0" t="s">
        <v>137</v>
      </c>
      <c r="H21" s="140"/>
      <c r="I21" s="140"/>
      <c r="J21" s="140"/>
      <c r="K21" s="140"/>
      <c r="L21" s="140"/>
      <c r="M21" s="140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3" t="s">
        <v>120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">
        <v>146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30" x14ac:dyDescent="0.2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920</v>
      </c>
      <c r="F30" s="110" t="s">
        <v>27</v>
      </c>
      <c r="G30" s="106">
        <v>23050</v>
      </c>
      <c r="H30" s="106">
        <v>21395</v>
      </c>
      <c r="I30" s="108">
        <v>0.25</v>
      </c>
      <c r="J30" s="13">
        <f t="shared" ref="J30" si="0">H30*I30</f>
        <v>5348.75</v>
      </c>
      <c r="K30" s="12">
        <v>0</v>
      </c>
      <c r="L30" s="12">
        <v>0</v>
      </c>
      <c r="M30" s="13">
        <f t="shared" ref="M30" si="1">J30</f>
        <v>5348.75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920</v>
      </c>
      <c r="F31" s="15"/>
      <c r="G31" s="64">
        <f>SUM(G30:G30)</f>
        <v>23050</v>
      </c>
      <c r="H31" s="64">
        <f>SUM(H30:H30)</f>
        <v>21395</v>
      </c>
      <c r="I31" s="102"/>
      <c r="J31" s="17">
        <f>SUM(J30:J30)</f>
        <v>5348.75</v>
      </c>
      <c r="K31" s="16"/>
      <c r="L31" s="16"/>
      <c r="M31" s="17">
        <f>SUM(M30:M30)</f>
        <v>5348.75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сорок восемь долларов США, 75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02.09.2025г.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GWG-O-5 от  02.09.2025г.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23050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"КонсалтТаможСервис" 10309200 - т/п Прикубанский 350072, Краснодарский край, г. Краснодар, ул. Тополиная, д. 4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02.09.2025г.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01074OGA/016388AA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XFD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01074OGA/016388AA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02.09.2025г.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GWG-O-5 от  02.09.2025г.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920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23050</v>
      </c>
    </row>
    <row r="20" spans="2:10" ht="13.5" customHeight="1" x14ac:dyDescent="0.25">
      <c r="B20" s="83"/>
      <c r="E20" s="123"/>
      <c r="F20" s="118"/>
      <c r="G20" s="166"/>
      <c r="H20" s="166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25">
      <c r="B22" s="83"/>
      <c r="E22" s="123"/>
      <c r="F22" s="118"/>
      <c r="G22" s="166"/>
      <c r="H22" s="166"/>
      <c r="I22" s="119"/>
      <c r="J22" s="120"/>
    </row>
    <row r="23" spans="2:10" ht="14.25" customHeight="1" x14ac:dyDescent="0.25">
      <c r="B23" s="83"/>
      <c r="E23" s="123"/>
      <c r="F23" s="121"/>
      <c r="G23" s="160"/>
      <c r="H23" s="161"/>
      <c r="I23" s="122"/>
      <c r="J23" s="120"/>
    </row>
    <row r="24" spans="2:10" ht="12.75" customHeight="1" x14ac:dyDescent="0.25">
      <c r="B24" s="87"/>
      <c r="E24" s="123"/>
      <c r="F24" s="118"/>
      <c r="G24" s="166"/>
      <c r="H24" s="166"/>
      <c r="I24" s="119"/>
      <c r="J24" s="120"/>
    </row>
    <row r="25" spans="2:10" ht="12.75" customHeight="1" x14ac:dyDescent="0.25">
      <c r="B25" s="87"/>
      <c r="E25" s="123"/>
      <c r="F25" s="121"/>
      <c r="G25" s="160"/>
      <c r="H25" s="161"/>
      <c r="I25" s="122"/>
      <c r="J25" s="120"/>
    </row>
    <row r="26" spans="2:10" ht="12" customHeight="1" x14ac:dyDescent="0.25">
      <c r="B26" s="87"/>
      <c r="E26" s="123"/>
      <c r="F26" s="118"/>
      <c r="G26" s="166"/>
      <c r="H26" s="166"/>
      <c r="I26" s="119"/>
      <c r="J26" s="120"/>
    </row>
    <row r="27" spans="2:10" ht="14.25" customHeight="1" x14ac:dyDescent="0.25">
      <c r="B27" s="87"/>
      <c r="E27" s="123"/>
      <c r="F27" s="121"/>
      <c r="G27" s="160"/>
      <c r="H27" s="161"/>
      <c r="I27" s="122"/>
      <c r="J27" s="120"/>
    </row>
    <row r="28" spans="2:10" ht="12.75" customHeight="1" x14ac:dyDescent="0.25">
      <c r="B28" s="87"/>
      <c r="E28" s="123"/>
      <c r="F28" s="118"/>
      <c r="G28" s="166"/>
      <c r="H28" s="166"/>
      <c r="I28" s="119"/>
      <c r="J28" s="120"/>
    </row>
    <row r="29" spans="2:10" ht="12.75" customHeight="1" x14ac:dyDescent="0.25">
      <c r="B29" s="87"/>
      <c r="E29" s="123"/>
      <c r="F29" s="121"/>
      <c r="G29" s="160"/>
      <c r="H29" s="161"/>
      <c r="I29" s="122"/>
      <c r="J29" s="120"/>
    </row>
    <row r="30" spans="2:10" ht="12.75" customHeight="1" x14ac:dyDescent="0.25">
      <c r="B30" s="87"/>
      <c r="E30" s="123"/>
      <c r="F30" s="118"/>
      <c r="G30" s="166"/>
      <c r="H30" s="166"/>
      <c r="I30" s="119"/>
      <c r="J30" s="120"/>
    </row>
    <row r="31" spans="2:10" ht="13.5" customHeight="1" x14ac:dyDescent="0.25">
      <c r="B31" s="87"/>
      <c r="E31" s="123"/>
      <c r="F31" s="121"/>
      <c r="G31" s="160"/>
      <c r="H31" s="161"/>
      <c r="I31" s="122"/>
      <c r="J31" s="120"/>
    </row>
    <row r="32" spans="2:10" ht="13.5" customHeight="1" x14ac:dyDescent="0.25">
      <c r="B32" s="87"/>
      <c r="E32" s="123"/>
      <c r="F32" s="118"/>
      <c r="G32" s="166"/>
      <c r="H32" s="166"/>
      <c r="I32" s="119"/>
      <c r="J32" s="120"/>
    </row>
    <row r="33" spans="2:10" ht="13.5" customHeight="1" x14ac:dyDescent="0.25">
      <c r="B33" s="87"/>
      <c r="E33" s="123"/>
      <c r="F33" s="121"/>
      <c r="G33" s="160"/>
      <c r="H33" s="161"/>
      <c r="I33" s="122"/>
      <c r="J33" s="120"/>
    </row>
    <row r="34" spans="2:10" ht="13.5" customHeight="1" x14ac:dyDescent="0.25">
      <c r="B34" s="87"/>
      <c r="E34" s="123"/>
      <c r="F34" s="118"/>
      <c r="G34" s="166"/>
      <c r="H34" s="166"/>
      <c r="I34" s="119"/>
      <c r="J34" s="120"/>
    </row>
    <row r="35" spans="2:10" ht="12.75" customHeight="1" x14ac:dyDescent="0.25">
      <c r="B35" s="87"/>
      <c r="E35" s="123"/>
      <c r="F35" s="121"/>
      <c r="G35" s="160"/>
      <c r="H35" s="161"/>
      <c r="I35" s="122"/>
      <c r="J35" s="120"/>
    </row>
    <row r="36" spans="2:10" x14ac:dyDescent="0.25">
      <c r="B36" s="87"/>
      <c r="E36" s="123"/>
      <c r="F36" s="118"/>
      <c r="G36" s="166"/>
      <c r="H36" s="166"/>
      <c r="I36" s="119"/>
      <c r="J36" s="120"/>
    </row>
    <row r="37" spans="2:10" ht="13.5" customHeight="1" x14ac:dyDescent="0.25">
      <c r="B37" s="87"/>
      <c r="E37" s="123"/>
      <c r="F37" s="121"/>
      <c r="G37" s="160"/>
      <c r="H37" s="161"/>
      <c r="I37" s="122"/>
      <c r="J37" s="120"/>
    </row>
    <row r="38" spans="2:10" x14ac:dyDescent="0.25">
      <c r="B38" s="87"/>
      <c r="E38" s="123"/>
      <c r="F38" s="118"/>
      <c r="G38" s="166"/>
      <c r="H38" s="166"/>
      <c r="I38" s="119"/>
      <c r="J38" s="120"/>
    </row>
    <row r="39" spans="2:10" ht="13.5" customHeight="1" x14ac:dyDescent="0.25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25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25">
      <c r="B41" s="87"/>
      <c r="E41" s="123"/>
      <c r="F41" s="121"/>
      <c r="G41" s="160"/>
      <c r="H41" s="161"/>
      <c r="I41" s="122"/>
      <c r="J41" s="120"/>
    </row>
    <row r="42" spans="2:10" hidden="1" x14ac:dyDescent="0.25">
      <c r="B42" s="87"/>
      <c r="E42" s="123"/>
      <c r="F42" s="118"/>
      <c r="G42" s="166"/>
      <c r="H42" s="166"/>
      <c r="I42" s="119"/>
      <c r="J42" s="120"/>
    </row>
    <row r="43" spans="2:10" x14ac:dyDescent="0.25">
      <c r="B43" s="87"/>
      <c r="E43" s="123"/>
      <c r="F43" s="121"/>
      <c r="G43" s="160"/>
      <c r="H43" s="161"/>
      <c r="I43" s="122"/>
      <c r="J43" s="120"/>
    </row>
    <row r="44" spans="2:10" ht="9" customHeight="1" x14ac:dyDescent="0.25">
      <c r="B44" s="87"/>
      <c r="E44" s="95"/>
      <c r="F44" s="92"/>
      <c r="G44" s="168"/>
      <c r="H44" s="168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920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4" t="s">
        <v>162</v>
      </c>
      <c r="C1" s="174"/>
      <c r="D1" s="174"/>
      <c r="E1" s="174"/>
      <c r="F1" s="135" t="str">
        <f>+Инвойс!F1</f>
        <v xml:space="preserve"> 02.09.2025г.</v>
      </c>
      <c r="G1" s="135"/>
      <c r="H1" s="135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2" t="str">
        <f>+Инвойс!C2</f>
        <v>к контракту № GW-GV-01 от 30.08.2025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37" t="str">
        <f>+Инвойс!A5</f>
        <v xml:space="preserve">OOO «GOOD WILL EXPORT» 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5" x14ac:dyDescent="0.25">
      <c r="A6" s="172" t="str">
        <f>+Инвойс!A6</f>
        <v xml:space="preserve">Республика Узбекистан, Джизакская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2" t="str">
        <f>+Инвойс!A7</f>
        <v>Зарбдарский район, Ровот МФЙ, ул. Лойихада дом 1/1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Р/с N 2020 8840 8055 4748 4001 USD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72" t="str">
        <f>+Инвойс!A9</f>
        <v>в «ТУРОНБАНК» АКБ Головной офис (Ташкент)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2" t="str">
        <f>+Инвойс!A10</f>
        <v>МФО: 00446, SWIFT: TUROUZ22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72" t="str">
        <f>+Инвойс!A11</f>
        <v>ИНН: 309713324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7" t="str">
        <f>+Инвойс!A14</f>
        <v xml:space="preserve">OOO «GOOD WILL EXPORT» 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72" t="str">
        <f>+Инвойс!A15</f>
        <v xml:space="preserve">Республика Узбекистан, Джизакская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72" t="str">
        <f>+Инвойс!A16</f>
        <v>Зарбдарский район, Ровот МФЙ, ул. Лойихада дом 1/1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Р/с N 2020 8840 8055 4748 4001 USD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72" t="str">
        <f>+Инвойс!A18</f>
        <v>в «ТУРОНБАНК» АКБ Головной офис (Ташкент)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72" t="str">
        <f>+Инвойс!A19</f>
        <v>МФО: 00446, SWIFT: TUROUZ22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72" t="str">
        <f>+Инвойс!A20</f>
        <v>ИНН: 309713324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25">
      <c r="A22" s="1" t="s">
        <v>122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01074OGA/016388AA</v>
      </c>
      <c r="F26" s="155"/>
      <c r="G26" s="155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5.5" x14ac:dyDescent="0.2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920</v>
      </c>
      <c r="F30" s="116" t="str">
        <f>+Инвойс!F30</f>
        <v>кг</v>
      </c>
      <c r="G30" s="106">
        <f>+Инвойс!G30</f>
        <v>23050</v>
      </c>
      <c r="H30" s="106">
        <f>+Инвойс!H30</f>
        <v>21395</v>
      </c>
      <c r="I30" s="108">
        <f>+Инвойс!I30</f>
        <v>0.25</v>
      </c>
      <c r="J30" s="13">
        <f>+Инвойс!J30</f>
        <v>5348.75</v>
      </c>
      <c r="K30" s="12">
        <v>0</v>
      </c>
      <c r="L30" s="12">
        <v>0</v>
      </c>
      <c r="M30" s="13">
        <f>+Инвойс!M30</f>
        <v>5348.75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920</v>
      </c>
      <c r="F31" s="15"/>
      <c r="G31" s="64">
        <f>SUM(G30:G30)</f>
        <v>23050</v>
      </c>
      <c r="H31" s="64">
        <f>SUM(H30:H30)</f>
        <v>21395</v>
      </c>
      <c r="I31" s="102"/>
      <c r="J31" s="17">
        <f>SUM(J30:J30)</f>
        <v>5348.75</v>
      </c>
      <c r="K31" s="16"/>
      <c r="L31" s="16"/>
      <c r="M31" s="17">
        <f>SUM(M30:M30)</f>
        <v>5348.75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сорок восемь долларов США, 75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7" zoomScale="85" zoomScaleNormal="85" workbookViewId="0">
      <selection activeCell="E12" sqref="E12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7" t="s">
        <v>114</v>
      </c>
    </row>
    <row r="3" spans="1:10" ht="51" x14ac:dyDescent="0.2">
      <c r="A3" s="131" t="s">
        <v>126</v>
      </c>
    </row>
    <row r="5" spans="1:10" ht="38.25" x14ac:dyDescent="0.2">
      <c r="A5" s="127" t="s">
        <v>115</v>
      </c>
    </row>
    <row r="6" spans="1:10" x14ac:dyDescent="0.2">
      <c r="E6" s="18" t="s">
        <v>127</v>
      </c>
      <c r="J6" s="25" t="s">
        <v>141</v>
      </c>
    </row>
    <row r="7" spans="1:10" ht="51" x14ac:dyDescent="0.2">
      <c r="A7" s="127" t="s">
        <v>116</v>
      </c>
    </row>
    <row r="8" spans="1:10" x14ac:dyDescent="0.2">
      <c r="E8" s="18" t="s">
        <v>142</v>
      </c>
      <c r="J8" s="25" t="s">
        <v>143</v>
      </c>
    </row>
    <row r="9" spans="1:10" ht="51" x14ac:dyDescent="0.2">
      <c r="A9" s="127" t="s">
        <v>117</v>
      </c>
    </row>
    <row r="10" spans="1:10" x14ac:dyDescent="0.2">
      <c r="A10" s="127"/>
      <c r="E10" s="18" t="s">
        <v>144</v>
      </c>
      <c r="J10" s="25" t="s">
        <v>145</v>
      </c>
    </row>
    <row r="11" spans="1:10" ht="51" x14ac:dyDescent="0.2">
      <c r="A11" s="127" t="s">
        <v>158</v>
      </c>
    </row>
    <row r="12" spans="1:10" x14ac:dyDescent="0.2">
      <c r="E12" s="18" t="s">
        <v>146</v>
      </c>
      <c r="J12" s="25" t="s">
        <v>147</v>
      </c>
    </row>
    <row r="13" spans="1:10" ht="51" x14ac:dyDescent="0.2">
      <c r="A13" s="127" t="s">
        <v>118</v>
      </c>
    </row>
    <row r="15" spans="1:10" ht="38.25" x14ac:dyDescent="0.2">
      <c r="A15" s="127" t="s">
        <v>119</v>
      </c>
    </row>
    <row r="17" spans="1:1" ht="38.25" x14ac:dyDescent="0.2">
      <c r="A17" s="127" t="s">
        <v>120</v>
      </c>
    </row>
    <row r="19" spans="1:1" ht="38.25" x14ac:dyDescent="0.2">
      <c r="A19" s="129" t="s">
        <v>121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Инвойс!M31</f>
        <v>5348.75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сорок восемь долларов США, 75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45902</v>
      </c>
      <c r="O3" s="178"/>
      <c r="P3">
        <f ca="1">DAY(N3)</f>
        <v>2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триста сорок восемь долларов США, 75 центов. (в т.ч. НДС - 357,79)</v>
      </c>
      <c r="H4" s="32"/>
      <c r="I4" s="32"/>
      <c r="J4" s="32"/>
      <c r="K4" s="179" t="str">
        <f ca="1">CONCATENATE(" «  ",P3,"  »  ",Q3,"  ",R3," г.")</f>
        <v xml:space="preserve"> «  2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сорок восемь долларов США, 75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сорок восемь долларов США, 75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сорок восемь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75 центов.</v>
      </c>
      <c r="D12" s="47"/>
      <c r="E12" s="48"/>
      <c r="M12" s="50">
        <f ca="1">TODAY()</f>
        <v>45902</v>
      </c>
    </row>
    <row r="13" spans="1:19" s="43" customFormat="1" x14ac:dyDescent="0.2">
      <c r="A13" s="49"/>
      <c r="D13" s="51"/>
      <c r="E13" s="52">
        <f>TRUNC(E2)</f>
        <v>5348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5348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348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2025-09-02T06:54:41Z</cp:lastPrinted>
  <dcterms:created xsi:type="dcterms:W3CDTF">1996-10-14T23:33:28Z</dcterms:created>
  <dcterms:modified xsi:type="dcterms:W3CDTF">2025-09-02T06:54:47Z</dcterms:modified>
</cp:coreProperties>
</file>