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9FB021-E500-407D-99E8-30799AE1C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1" sheetId="3" r:id="rId5"/>
    <sheet name="Лист2" sheetId="6" r:id="rId6"/>
  </sheets>
  <calcPr calcId="191029" calcMode="autoNoTable"/>
</workbook>
</file>

<file path=xl/calcChain.xml><?xml version="1.0" encoding="utf-8"?>
<calcChain xmlns="http://schemas.openxmlformats.org/spreadsheetml/2006/main">
  <c r="A21" i="7" l="1"/>
  <c r="A12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<sst xmlns="http://schemas.openxmlformats.org/spreadsheetml/2006/main" count="210" uniqueCount="171">
  <si>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</si>
  <si>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</si>
  <si>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</si>
  <si>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</si>
  <si>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</si>
  <si>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</si>
  <si>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</si>
  <si>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</si>
  <si>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</si>
  <si>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</si>
  <si>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</si>
  <si>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</si>
  <si>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</si>
  <si>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</si>
  <si>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</si>
  <si>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</si>
  <si>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</si>
  <si>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</si>
  <si>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</si>
  <si>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</si>
  <si>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</si>
  <si>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</si>
  <si>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</si>
  <si>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</si>
  <si>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</si>
  <si>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</si>
  <si>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</si>
  <si>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</si>
  <si>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</si>
  <si>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</si>
  <si>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</si>
  <si>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</si>
  <si>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</si>
  <si>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</si>
  <si>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</si>
  <si>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</si>
  <si>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</si>
  <si>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</si>
  <si>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</si>
  <si>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</si>
  <si>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</si>
  <si>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</si>
  <si>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</si>
  <si>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</si>
  <si>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</si>
  <si>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</si>
  <si>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</si>
  <si>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</si>
  <si>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</si>
  <si>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</si>
  <si>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</si>
  <si>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</si>
  <si>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</si>
  <si>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</si>
  <si>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</si>
  <si>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</si>
  <si>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</si>
  <si>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</si>
  <si>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</si>
  <si>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</si>
  <si>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</si>
  <si>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</si>
  <si>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</si>
  <si>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</si>
  <si>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</si>
  <si>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</si>
  <si>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</si>
  <si>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</si>
  <si>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</si>
  <si>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</si>
  <si>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</si>
  <si>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</si>
  <si>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</si>
  <si>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</si>
  <si>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</si>
  <si>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</si>
  <si>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</si>
  <si>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</si>
  <si>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</si>
  <si>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</si>
  <si>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</si>
  <si>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</si>
  <si>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</si>
  <si>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</si>
  <si>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</si>
  <si>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</si>
  <si>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</si>
  <si>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</si>
  <si>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</si>
  <si>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</si>
  <si>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</si>
  <si>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</si>
  <si>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</si>
  <si>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</si>
  <si>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</si>
  <si>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</si>
  <si>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</si>
  <si>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</si>
  <si>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</si>
  <si>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</si>
  <si>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</si>
  <si>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</si>
  <si>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</si>
  <si>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</si>
  <si>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</si>
  <si>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</si>
  <si>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</si>
  <si>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</si>
  <si>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</si>
  <si>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</si>
  <si>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</si>
  <si>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</si>
  <si>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</si>
  <si>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</si>
  <si>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</si>
  <si>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</si>
  <si>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</si>
  <si>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</si>
  <si>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</si>
  <si>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</si>
  <si>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</si>
  <si>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</si>
  <si>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</si>
  <si>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</si>
  <si>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</si>
  <si>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</si>
  <si>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</si>
  <si>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</si>
  <si>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</si>
  <si>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</si>
  <si>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</si>
  <si>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</si>
  <si>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</si>
  <si>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</si>
  <si>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</si>
  <si>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</si>
  <si>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</si>
  <si>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</si>
  <si>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</si>
  <si>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</si>
  <si>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</si>
  <si>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</si>
  <si>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</si>
  <si>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</si>
  <si>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</si>
  <si>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</si>
  <si>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</si>
  <si>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</si>
  <si>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</si>
  <si>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</si>
  <si>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</si>
  <si>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</si>
  <si>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</si>
  <si>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</si>
  <si>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</si>
  <si>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</si>
  <si>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EX1908 от 19.08.2025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</si>
  <si>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</si>
  <si>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</si>
  <si>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</si>
  <si>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Доллар США: 20208840607280925001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</si>
  <si>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</si>
  <si>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</si>
  <si>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</si>
  <si>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</si>
  <si>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</si>
  <si>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</si>
  <si>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ИНВОЙС № EXR-F-13 от </t>
  </si>
  <si>
    <t xml:space="preserve"> 24.08.2025г.</t>
  </si>
  <si>
    <t>40845FCA/409579BA</t>
  </si>
  <si>
    <t xml:space="preserve">СПЕЦИФИКАЦИЯ № EXR-F-13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</si>
</sst>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918883</xdr:colOff>
      <xdr:row>36</xdr:row>
      <xdr:rowOff>123264</xdr:rowOff>
    </xdr:from>
    <xdr:to>
      <xdr:col>4</xdr:col>
      <xdr:colOff>19077</xdr:colOff>
      <xdr:row>52</xdr:row>
      <xdr:rowOff>33618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20461940"/>
          <a:ext cx="2641253" cy="25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568860</xdr:colOff>
      <xdr:row>36</xdr:row>
      <xdr:rowOff>78442</xdr:rowOff>
    </xdr:from>
    <xdr:to>
      <xdr:col>5</xdr:col>
      <xdr:colOff>235883</xdr:colOff>
      <xdr:row>39</xdr:row>
      <xdr:rowOff>173917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25" y="20417118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257736</xdr:colOff>
      <xdr:row>36</xdr:row>
      <xdr:rowOff>100853</xdr:rowOff>
    </xdr:from>
    <xdr:to>
      <xdr:col>2</xdr:col>
      <xdr:colOff>505750</xdr:colOff>
      <xdr:row>50</xdr:row>
      <xdr:rowOff>11209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318941"/>
          <a:ext cx="2321102" cy="227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647302</xdr:colOff>
      <xdr:row>36</xdr:row>
      <xdr:rowOff>56030</xdr:rowOff>
    </xdr:from>
    <xdr:to>
      <xdr:col>4</xdr:col>
      <xdr:colOff>58578</xdr:colOff>
      <xdr:row>39</xdr:row>
      <xdr:rowOff>77356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978" y="19274118"/>
          <a:ext cx="879247" cy="59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167</v>
      </c>
      <c r="D1" s="134"/>
      <c r="E1" s="134"/>
      <c r="F1" s="133" t="s">
        <v>168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156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157</v>
      </c>
      <c r="B5" s="135"/>
      <c r="C5" s="135"/>
      <c r="D5" s="135"/>
      <c r="E5" s="135"/>
      <c r="F5" s="6"/>
      <c r="G5" s="137" t="s">
        <v>139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158</v>
      </c>
      <c r="B6" s="142"/>
      <c r="C6" s="142"/>
      <c r="D6" s="142"/>
      <c r="E6" s="142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159</v>
      </c>
      <c r="B7" s="142"/>
      <c r="C7" s="142"/>
      <c r="D7" s="142"/>
      <c r="E7" s="142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162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164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157</v>
      </c>
      <c r="B14" s="135"/>
      <c r="C14" s="135"/>
      <c r="D14" s="135"/>
      <c r="E14" s="135"/>
      <c r="F14" s="6"/>
      <c r="G14" s="137" t="s">
        <v>125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158</v>
      </c>
      <c r="B15" s="142"/>
      <c r="C15" s="142"/>
      <c r="D15" s="142"/>
      <c r="E15" s="142"/>
      <c r="F15" s="7"/>
      <c r="G15" s="139" t="s">
        <v>126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159</v>
      </c>
      <c r="B16" s="142"/>
      <c r="C16" s="142"/>
      <c r="D16" s="142"/>
      <c r="E16" s="142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160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162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 t="s">
        <v>164</v>
      </c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137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155</v>
      </c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169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5" t="s">
        <v>27</v>
      </c>
      <c r="G30" s="106">
        <v>23000</v>
      </c>
      <c r="H30" s="106">
        <v>21236</v>
      </c>
      <c r="I30" s="108">
        <v>0.2</v>
      </c>
      <c r="J30" s="13">
        <f t="shared" ref="J30" si="0">H30*I30</f>
        <v>4247.2</v>
      </c>
      <c r="K30" s="12">
        <v>0</v>
      </c>
      <c r="L30" s="12">
        <v>0</v>
      </c>
      <c r="M30" s="13">
        <f t="shared" ref="M30" si="1">J30</f>
        <v>4247.2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сорок семь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110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165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EXR-F-13 от  24.08.2025г.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9" t="str">
        <f>+C22</f>
        <v xml:space="preserve"> 24.08.2025г.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40845FCA/409579BA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5" sqref="G35:H3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40845FCA/409579BA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EXR-F-13 от  24.08.2025г.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980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170</v>
      </c>
      <c r="C1" s="173"/>
      <c r="D1" s="173"/>
      <c r="E1" s="173"/>
      <c r="F1" s="133" t="str">
        <f>+Инвойс!F1</f>
        <v xml:space="preserve"> 24.08.2025г.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EX1908 от 19.08.2025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ТД «РЕСУРС»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 t="str">
        <f>+Инвойс!A12</f>
        <v>ИНН: 312 294 736</v>
      </c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customHeight="1" x14ac:dyDescent="0.25">
      <c r="A21" s="141" t="str">
        <f>+Инвойс!A21</f>
        <v>ИНН: 312 294 736</v>
      </c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116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40845FCA/409579BA</v>
      </c>
      <c r="F26" s="155"/>
      <c r="G26" s="155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9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</v>
      </c>
      <c r="J30" s="13">
        <f>+Инвойс!J30</f>
        <v>4247.2</v>
      </c>
      <c r="K30" s="12">
        <v>0</v>
      </c>
      <c r="L30" s="12">
        <v>0</v>
      </c>
      <c r="M30" s="13">
        <f>+Инвойс!M30</f>
        <v>4247.2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4247.2</v>
      </c>
      <c r="K31" s="16"/>
      <c r="L31" s="16"/>
      <c r="M31" s="17">
        <f>SUM(M30:M30)</f>
        <v>4247.2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сорок семь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166</v>
      </c>
      <c r="B36" s="130"/>
      <c r="D36" s="18" t="str">
        <f>+Инвойс!D36</f>
        <v>АБДИЛАКИМОВ А.А</v>
      </c>
      <c r="E36" s="131"/>
      <c r="G36" s="128" t="s">
        <v>146</v>
      </c>
      <c r="H36" s="18" t="str">
        <f>Инвойс!G5</f>
        <v>ООО ТД «РЕСУРС»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4247.2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45893</v>
      </c>
      <c r="O3" s="177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семь долларов США, 20 центов. (в т.ч. НДС - 357,79)</v>
      </c>
      <c r="H4" s="32"/>
      <c r="I4" s="32"/>
      <c r="J4" s="32"/>
      <c r="K4" s="178" t="str">
        <f ca="1">CONCATENATE(" «  ",P3,"  »  ",Q3,"  ",R3," г.")</f>
        <v xml:space="preserve"> «  24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:F4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5" t="s">
        <v>117</v>
      </c>
    </row>
    <row r="2" spans="1:9" x14ac:dyDescent="0.25">
      <c r="D2" s="18" t="s">
        <v>138</v>
      </c>
      <c r="I2" s="25" t="s">
        <v>149</v>
      </c>
    </row>
    <row r="3" spans="1:9" ht="52.8" x14ac:dyDescent="0.25">
      <c r="A3" s="129" t="s">
        <v>137</v>
      </c>
    </row>
    <row r="4" spans="1:9" x14ac:dyDescent="0.25">
      <c r="D4" s="18" t="s">
        <v>155</v>
      </c>
      <c r="I4" s="25" t="s">
        <v>150</v>
      </c>
    </row>
    <row r="5" spans="1:9" ht="39.6" x14ac:dyDescent="0.25">
      <c r="A5" s="125" t="s">
        <v>118</v>
      </c>
    </row>
    <row r="6" spans="1:9" x14ac:dyDescent="0.25">
      <c r="D6" s="18" t="s">
        <v>151</v>
      </c>
      <c r="I6" s="25" t="s">
        <v>152</v>
      </c>
    </row>
    <row r="7" spans="1:9" ht="52.8" x14ac:dyDescent="0.25">
      <c r="A7" s="125" t="s">
        <v>119</v>
      </c>
    </row>
    <row r="8" spans="1:9" x14ac:dyDescent="0.25">
      <c r="D8" s="18" t="s">
        <v>153</v>
      </c>
      <c r="I8" s="25" t="s">
        <v>154</v>
      </c>
    </row>
    <row r="9" spans="1:9" ht="52.8" x14ac:dyDescent="0.25">
      <c r="A9" s="125" t="s">
        <v>120</v>
      </c>
    </row>
    <row r="10" spans="1:9" x14ac:dyDescent="0.25">
      <c r="A10" s="125"/>
    </row>
    <row r="11" spans="1:9" ht="52.8" x14ac:dyDescent="0.25">
      <c r="A11" s="125" t="s">
        <v>121</v>
      </c>
    </row>
    <row r="13" spans="1:9" ht="52.8" x14ac:dyDescent="0.25">
      <c r="A13" s="125" t="s">
        <v>122</v>
      </c>
    </row>
    <row r="15" spans="1:9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2025-08-24T04:58:16Z</cp:lastPrinted>
  <dcterms:created xsi:type="dcterms:W3CDTF">1996-10-14T23:33:28Z</dcterms:created>
  <dcterms:modified xsi:type="dcterms:W3CDTF">2025-08-24T04:58:32Z</dcterms:modified>
</cp:coreProperties>
</file>