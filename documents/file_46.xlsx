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620CD5B-9E84-42EB-9BE6-E6DBD6089C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<sst xmlns="http://schemas.openxmlformats.org/spreadsheetml/2006/main" count="211" uniqueCount="164">
  <si>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</si>
  <si>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</si>
  <si>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</si>
  <si>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</si>
  <si>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</si>
  <si>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</si>
  <si>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</si>
  <si>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</si>
  <si>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</si>
  <si>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</si>
  <si>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</si>
  <si>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</si>
  <si>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</si>
  <si>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</si>
  <si>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</si>
  <si>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</si>
  <si>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</si>
  <si>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</si>
  <si>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</si>
  <si>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</si>
  <si>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</si>
  <si>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</si>
  <si>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</si>
  <si>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</si>
  <si>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</si>
  <si>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</si>
  <si>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</si>
  <si>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</si>
  <si>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</si>
  <si>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</si>
  <si>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</si>
  <si>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</si>
  <si>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</si>
  <si>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</si>
  <si>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</si>
  <si>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</si>
  <si>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</si>
  <si>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</si>
  <si>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</si>
  <si>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</si>
  <si>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</si>
  <si>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</si>
  <si>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</si>
  <si>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</si>
  <si>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</si>
  <si>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</si>
  <si>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</si>
  <si>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</si>
  <si>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</si>
  <si>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</si>
  <si>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</si>
  <si>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</si>
  <si>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</si>
  <si>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</si>
  <si>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</si>
  <si>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</si>
  <si>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</si>
  <si>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</si>
  <si>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</si>
  <si>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</si>
  <si>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</si>
  <si>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</si>
  <si>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</si>
  <si>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</si>
  <si>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</si>
  <si>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</si>
  <si>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</si>
  <si>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</si>
  <si>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</si>
  <si>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</si>
  <si>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</si>
  <si>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</si>
  <si>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</si>
  <si>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</si>
  <si>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</si>
  <si>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</si>
  <si>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</si>
  <si>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</si>
  <si>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</si>
  <si>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</si>
  <si>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</si>
  <si>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</si>
  <si>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</si>
  <si>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</si>
  <si>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</si>
  <si>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</si>
  <si>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</si>
  <si>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</si>
  <si>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</si>
  <si>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</si>
  <si>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</si>
  <si>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</si>
  <si>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</si>
  <si>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</si>
  <si>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</si>
  <si>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</si>
  <si>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</si>
  <si>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</si>
  <si>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</si>
  <si>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</si>
  <si>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</si>
  <si>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</si>
  <si>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</si>
  <si>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</si>
  <si>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</si>
  <si>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</si>
  <si>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</si>
  <si>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</si>
  <si>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</si>
  <si>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</si>
  <si>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</si>
  <si>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</si>
  <si>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</si>
  <si>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</si>
  <si>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</si>
  <si>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</si>
  <si>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</si>
  <si>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</si>
  <si>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</si>
  <si>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</si>
  <si>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</si>
  <si>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</si>
  <si>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</si>
  <si>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</si>
  <si>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</si>
  <si>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</si>
  <si>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</si>
  <si>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</si>
  <si>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</si>
  <si>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</si>
  <si>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</si>
  <si>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</si>
  <si>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</si>
  <si>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</si>
  <si>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</si>
  <si>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</si>
  <si>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</si>
  <si>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</si>
  <si>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</si>
  <si>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</si>
  <si>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 xml:space="preserve"> 25.08.2025г.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</si>
  <si>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</si>
  <si>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</si>
  <si>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</si>
  <si>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</si>
  <si>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</si>
  <si>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</si>
  <si>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</si>
  <si>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</si>
  <si>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</si>
  <si>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</si>
  <si>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</si>
  <si>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</si>
  <si>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</si>
  <si>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</si>
  <si>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</si>
  <si>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</si>
  <si>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</si>
  <si>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</si>
  <si>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</si>
  <si>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</si>
  <si>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UFG-M-2 от </t>
  </si>
  <si>
    <t>01G306ZB/015172BA</t>
  </si>
  <si>
    <t xml:space="preserve">СПЕЦИФИКАЦИЯ № UFG-M-2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</si>
</sst>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161</v>
      </c>
      <c r="D1" s="135"/>
      <c r="E1" s="135"/>
      <c r="F1" s="134" t="s">
        <v>140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153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154</v>
      </c>
      <c r="B5" s="136"/>
      <c r="C5" s="136"/>
      <c r="D5" s="136"/>
      <c r="E5" s="136"/>
      <c r="F5" s="6"/>
      <c r="G5" s="138" t="s">
        <v>141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149</v>
      </c>
      <c r="B6" s="143"/>
      <c r="C6" s="143"/>
      <c r="D6" s="143"/>
      <c r="E6" s="143"/>
      <c r="F6" s="7"/>
      <c r="G6" s="140" t="s">
        <v>142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155</v>
      </c>
      <c r="B7" s="143"/>
      <c r="C7" s="143"/>
      <c r="D7" s="143"/>
      <c r="E7" s="143"/>
      <c r="F7" s="63"/>
      <c r="G7" s="140" t="s">
        <v>143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150</v>
      </c>
      <c r="B8" s="8"/>
      <c r="C8" s="8"/>
      <c r="D8" s="8"/>
      <c r="E8" s="8"/>
      <c r="F8" s="63"/>
      <c r="G8" s="7" t="s">
        <v>144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156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151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152</v>
      </c>
      <c r="B11" s="8"/>
      <c r="C11" s="8"/>
      <c r="D11" s="8"/>
      <c r="E11" s="8"/>
      <c r="F11" s="7"/>
      <c r="G11" s="7" t="s">
        <v>146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157</v>
      </c>
      <c r="B12" s="8"/>
      <c r="C12" s="8"/>
      <c r="D12" s="8"/>
      <c r="E12" s="8"/>
      <c r="F12" s="7"/>
      <c r="G12" s="139" t="s">
        <v>147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154</v>
      </c>
      <c r="B14" s="136"/>
      <c r="C14" s="136"/>
      <c r="D14" s="136"/>
      <c r="E14" s="136"/>
      <c r="F14" s="6"/>
      <c r="G14" s="138" t="s">
        <v>141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149</v>
      </c>
      <c r="B15" s="143"/>
      <c r="C15" s="143"/>
      <c r="D15" s="143"/>
      <c r="E15" s="143"/>
      <c r="F15" s="7"/>
      <c r="G15" s="140" t="s">
        <v>142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155</v>
      </c>
      <c r="B16" s="143"/>
      <c r="C16" s="143"/>
      <c r="D16" s="143"/>
      <c r="E16" s="143"/>
      <c r="F16" s="63"/>
      <c r="G16" s="140" t="s">
        <v>143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150</v>
      </c>
      <c r="B17" s="8"/>
      <c r="C17" s="8"/>
      <c r="D17" s="8"/>
      <c r="E17" s="8"/>
      <c r="F17" s="63"/>
      <c r="G17" s="7" t="s">
        <v>144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156</v>
      </c>
      <c r="B18" s="8"/>
      <c r="C18" s="8"/>
      <c r="D18" s="8"/>
      <c r="E18" s="8"/>
      <c r="F18" s="7"/>
      <c r="G18" s="7" t="s">
        <v>145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151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152</v>
      </c>
      <c r="B20" s="8"/>
      <c r="C20" s="8"/>
      <c r="D20" s="8"/>
      <c r="E20" s="8"/>
      <c r="F20" s="7"/>
      <c r="G20" s="7" t="s">
        <v>146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157</v>
      </c>
      <c r="B21" s="8"/>
      <c r="C21" s="8"/>
      <c r="D21" s="8"/>
      <c r="E21" s="8"/>
      <c r="G21" s="139" t="s">
        <v>147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118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1000</v>
      </c>
      <c r="F30" s="110" t="s">
        <v>27</v>
      </c>
      <c r="G30" s="106">
        <v>22000</v>
      </c>
      <c r="H30" s="106">
        <v>20200</v>
      </c>
      <c r="I30" s="108">
        <v>0.25</v>
      </c>
      <c r="J30" s="13">
        <f t="shared" ref="J30" si="0">H30*I30</f>
        <v>5050</v>
      </c>
      <c r="K30" s="12">
        <v>0</v>
      </c>
      <c r="L30" s="12">
        <v>0</v>
      </c>
      <c r="M30" s="13">
        <f t="shared" ref="M30" si="1">J30</f>
        <v>5050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22000</v>
      </c>
      <c r="H31" s="64">
        <f>SUM(H30:H30)</f>
        <v>20200</v>
      </c>
      <c r="I31" s="102"/>
      <c r="J31" s="17">
        <f>SUM(J30:J30)</f>
        <v>5050</v>
      </c>
      <c r="K31" s="16"/>
      <c r="L31" s="16"/>
      <c r="M31" s="17">
        <f>SUM(M30:M30)</f>
        <v>5050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пятьдесят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158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35" sqref="F3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UFG-M-2 от  25.08.2025г.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25.08.2025г.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01G306ZB/015172BA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32" sqref="G32:H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01G306ZB/015172BA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25.08.2025г.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UFG-M-2 от  25.08.2025г.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22000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1000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25.08.2025г.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01G306ZB/015172BA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9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22000</v>
      </c>
      <c r="H30" s="106">
        <f>+Инвойс!H30</f>
        <v>20200</v>
      </c>
      <c r="I30" s="108">
        <f>+Инвойс!I30</f>
        <v>0.25</v>
      </c>
      <c r="J30" s="13">
        <f>+Инвойс!J30</f>
        <v>5050</v>
      </c>
      <c r="K30" s="12">
        <v>0</v>
      </c>
      <c r="L30" s="12">
        <v>0</v>
      </c>
      <c r="M30" s="13">
        <f>+Инвойс!M30</f>
        <v>5050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22000</v>
      </c>
      <c r="H31" s="64">
        <f>SUM(H30:H30)</f>
        <v>20200</v>
      </c>
      <c r="I31" s="102"/>
      <c r="J31" s="17">
        <f>SUM(J30:J30)</f>
        <v>5050</v>
      </c>
      <c r="K31" s="16"/>
      <c r="L31" s="16"/>
      <c r="M31" s="17">
        <f>SUM(M30:M30)</f>
        <v>5050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пятьдесят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159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160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5050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пятьдесят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45894</v>
      </c>
      <c r="O3" s="178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пятьдесят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25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пятьдесят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пятьдесят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пятьдесят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45894</v>
      </c>
    </row>
    <row r="13" spans="1:19" s="43" customFormat="1" x14ac:dyDescent="0.25">
      <c r="A13" s="49"/>
      <c r="D13" s="51"/>
      <c r="E13" s="52">
        <f>TRUNC(E2)</f>
        <v>5050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505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5050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2025-08-25T13:34:45Z</cp:lastPrinted>
  <dcterms:created xsi:type="dcterms:W3CDTF">1996-10-14T23:33:28Z</dcterms:created>
  <dcterms:modified xsi:type="dcterms:W3CDTF">2025-08-25T13:34:58Z</dcterms:modified>
</cp:coreProperties>
</file>