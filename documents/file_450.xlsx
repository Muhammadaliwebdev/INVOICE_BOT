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086F9D6-0C3E-4701-84CF-5A8EA22226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7" i="7" l="1"/>
  <c r="H37" i="7" l="1"/>
  <c r="I31" i="4" l="1"/>
  <c r="G31" i="4"/>
  <c r="F31" i="4"/>
  <c r="B31" i="4"/>
  <c r="C31" i="4"/>
  <c r="D31" i="4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1" i="7" l="1"/>
  <c r="C30" i="7"/>
  <c r="A31" i="7"/>
  <c r="B31" i="7"/>
  <c r="D31" i="7"/>
  <c r="E31" i="7"/>
  <c r="F31" i="7"/>
  <c r="G31" i="7"/>
  <c r="H31" i="7"/>
  <c r="I31" i="7"/>
  <c r="I30" i="7"/>
  <c r="H30" i="7"/>
  <c r="F30" i="7"/>
  <c r="G30" i="7"/>
  <c r="E30" i="7"/>
  <c r="D30" i="7"/>
  <c r="B30" i="7"/>
  <c r="A30" i="7"/>
  <c r="E26" i="7"/>
  <c r="C24" i="7"/>
  <c r="F1" i="7"/>
  <c r="G32" i="7" l="1"/>
  <c r="E32" i="7"/>
  <c r="H32" i="7" l="1"/>
  <c r="E32" i="2" l="1"/>
  <c r="G32" i="2" l="1"/>
  <c r="H32" i="2"/>
  <c r="G21" i="5"/>
  <c r="G19" i="5"/>
  <c r="J21" i="5"/>
  <c r="F21" i="5"/>
  <c r="F20" i="5"/>
  <c r="F19" i="5"/>
  <c r="F18" i="5"/>
  <c r="J19" i="5"/>
  <c r="G30" i="4"/>
  <c r="G20" i="5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1" i="2"/>
  <c r="J30" i="2"/>
  <c r="M30" i="2" l="1"/>
  <c r="M30" i="7" s="1"/>
  <c r="J30" i="7"/>
  <c r="M31" i="2"/>
  <c r="M31" i="7" s="1"/>
  <c r="J31" i="7"/>
  <c r="J32" i="2"/>
  <c r="S3" i="3"/>
  <c r="S4" i="3"/>
  <c r="P3" i="3"/>
  <c r="R3" i="3"/>
  <c r="Q3" i="3" l="1"/>
  <c r="K4" i="3" s="1"/>
  <c r="J32" i="7"/>
  <c r="M32" i="7"/>
  <c r="M32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3" i="2" l="1"/>
  <c r="E3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<sst xmlns="http://schemas.openxmlformats.org/spreadsheetml/2006/main" count="216" uniqueCount="164">
  <si>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</si>
  <si>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</si>
  <si>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</si>
  <si>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</si>
  <si>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</si>
  <si>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</si>
  <si>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</si>
  <si>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</si>
  <si>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</si>
  <si>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</si>
  <si>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</si>
  <si>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</si>
  <si>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</si>
  <si>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</si>
  <si>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</si>
  <si>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</si>
  <si>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</si>
  <si>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</si>
  <si>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</si>
  <si>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</si>
  <si>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</si>
  <si>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</si>
  <si>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</si>
  <si>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</si>
  <si>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</si>
  <si>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</si>
  <si>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</si>
  <si>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</si>
  <si>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</si>
  <si>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</si>
  <si>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</si>
  <si>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</si>
  <si>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</si>
  <si>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</si>
  <si>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</si>
  <si>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</si>
  <si>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</si>
  <si>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</si>
  <si>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</si>
  <si>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</si>
  <si>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</si>
  <si>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</si>
  <si>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</si>
  <si>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</si>
  <si>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</si>
  <si>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</si>
  <si>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</si>
  <si>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</si>
  <si>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</si>
  <si>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</si>
  <si>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</si>
  <si>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</si>
  <si>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</si>
  <si>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</si>
  <si>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</si>
  <si>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</si>
  <si>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</si>
  <si>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</si>
  <si>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</si>
  <si>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</si>
  <si>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</si>
  <si>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</si>
  <si>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</si>
  <si>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</si>
  <si>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</si>
  <si>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</si>
  <si>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</si>
  <si>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</si>
  <si>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</si>
  <si>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</si>
  <si>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</si>
  <si>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</si>
  <si>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</si>
  <si>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</si>
  <si>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</si>
  <si>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</si>
  <si>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</si>
  <si>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</si>
  <si>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</si>
  <si>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</si>
  <si>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</si>
  <si>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</si>
  <si>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</si>
  <si>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</si>
  <si>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</si>
  <si>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</si>
  <si>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</si>
  <si>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</si>
  <si>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</si>
  <si>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</si>
  <si>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</si>
  <si>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</si>
  <si>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</si>
  <si>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</si>
  <si>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</si>
  <si>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</si>
  <si>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</si>
  <si>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</si>
  <si>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</si>
  <si>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</si>
  <si>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</si>
  <si>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</si>
  <si>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</si>
  <si>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</si>
  <si>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</si>
  <si>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</si>
  <si>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</si>
  <si>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</si>
  <si>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</si>
  <si>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</si>
  <si>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Пласт. ящик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</si>
  <si>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</si>
  <si>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Дер. ящик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</si>
  <si>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</si>
  <si>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</si>
  <si>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</si>
  <si>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</si>
  <si>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</si>
  <si>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</si>
  <si>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</si>
  <si>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</si>
  <si>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</si>
  <si>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0806101001</t>
  </si>
  <si>
    <t>Виноград свежий столовых сортов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</si>
  <si>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</si>
  <si>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</si>
  <si>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</si>
  <si>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</si>
  <si>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</si>
  <si>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</si>
  <si>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</si>
  <si>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</si>
  <si>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YALLAMA</t>
  </si>
  <si>
    <t>DOUT-OTA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</si>
  <si>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</si>
  <si>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</si>
  <si>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</si>
  <si>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</si>
  <si>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</si>
  <si>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</si>
  <si>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</si>
  <si>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</si>
  <si>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</si>
  <si>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к контракту № GR-EX-01 от 22.08.2025 года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</si>
  <si>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</si>
  <si>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</si>
  <si>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</si>
  <si>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в АКБ“KAPITAL BANK”  МФО: 01158  Swift: KACHUZ22</t>
  </si>
  <si>
    <t>Доллар США: 20208840607280925001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</si>
  <si>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</si>
  <si>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</si>
  <si>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</si>
  <si>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</si>
  <si>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</si>
  <si>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>г.Челябинский таможенный пост г.Челябинск ул. Енисейская, 87А код поста 10504080   ООО "ГРИН ВОРЛД" 
RU/0237/2 от 27.12.2024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</si>
  <si>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</si>
  <si>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>DAP - Шымкент, Республика Казахстан</t>
  </si>
  <si>
    <t>DAP - Сарыагаш, Республика Казахстан</t>
  </si>
  <si>
    <t>DAP - Акжигит, Республика Казахстан</t>
  </si>
  <si>
    <t xml:space="preserve">ИНВОЙС № EXG-F-49 от </t>
  </si>
  <si>
    <t xml:space="preserve"> 06.09.2025г.</t>
  </si>
  <si>
    <t>30400MAA/300770BA</t>
  </si>
  <si>
    <t>/г. Владивосток/ г.Чита / г. Свердловская  / г. Краснодар / г.Пятигорск / г.Воронеж / /г.Нижневартовск/г.Нижний Новгород/г.Киров</t>
  </si>
  <si>
    <t xml:space="preserve">СПЕЦИФИКАЦИЯ № EXG-F-49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</si>
</sst>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862852</xdr:colOff>
      <xdr:row>37</xdr:row>
      <xdr:rowOff>123262</xdr:rowOff>
    </xdr:from>
    <xdr:to>
      <xdr:col>3</xdr:col>
      <xdr:colOff>439882</xdr:colOff>
      <xdr:row>51</xdr:row>
      <xdr:rowOff>100852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40986E6-4688-4E38-8FE6-8177618F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440" y="20271438"/>
          <a:ext cx="2389707" cy="2342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512829</xdr:colOff>
      <xdr:row>37</xdr:row>
      <xdr:rowOff>78440</xdr:rowOff>
    </xdr:from>
    <xdr:to>
      <xdr:col>5</xdr:col>
      <xdr:colOff>179852</xdr:colOff>
      <xdr:row>40</xdr:row>
      <xdr:rowOff>173913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57AA385-9642-4B94-A433-05A8B55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4094" y="20226616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38</xdr:row>
      <xdr:rowOff>11205</xdr:rowOff>
    </xdr:from>
    <xdr:to>
      <xdr:col>2</xdr:col>
      <xdr:colOff>427079</xdr:colOff>
      <xdr:row>51</xdr:row>
      <xdr:rowOff>100855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15824EF-1408-44AE-886D-FC202B6C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229293"/>
          <a:ext cx="2309667" cy="2263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580066</xdr:colOff>
      <xdr:row>37</xdr:row>
      <xdr:rowOff>156882</xdr:rowOff>
    </xdr:from>
    <xdr:to>
      <xdr:col>4</xdr:col>
      <xdr:colOff>112618</xdr:colOff>
      <xdr:row>41</xdr:row>
      <xdr:rowOff>69477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2295F6-89F4-464A-A047-4988BAC1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1742" y="19184470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392206</xdr:colOff>
      <xdr:row>37</xdr:row>
      <xdr:rowOff>44824</xdr:rowOff>
    </xdr:from>
    <xdr:to>
      <xdr:col>9</xdr:col>
      <xdr:colOff>578784</xdr:colOff>
      <xdr:row>48</xdr:row>
      <xdr:rowOff>128960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658576F-F5FF-4638-85E8-A6CCF1357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6765" y="19072412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3"/>
  <sheetViews>
    <sheetView tabSelected="1" topLeftCell="A16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5" t="s">
        <v>159</v>
      </c>
      <c r="D1" s="135"/>
      <c r="E1" s="135"/>
      <c r="F1" s="134" t="s">
        <v>160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">
        <v>143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">
        <v>144</v>
      </c>
      <c r="B5" s="136"/>
      <c r="C5" s="136"/>
      <c r="D5" s="136"/>
      <c r="E5" s="136"/>
      <c r="F5" s="6"/>
      <c r="G5" s="138" t="s">
        <v>135</v>
      </c>
      <c r="H5" s="138"/>
      <c r="I5" s="138"/>
      <c r="J5" s="138"/>
      <c r="K5" s="138"/>
      <c r="L5" s="138"/>
      <c r="M5" s="138"/>
    </row>
    <row r="6" spans="1:15" ht="15" customHeight="1" x14ac:dyDescent="0.25">
      <c r="A6" s="142" t="s">
        <v>145</v>
      </c>
      <c r="B6" s="143"/>
      <c r="C6" s="143"/>
      <c r="D6" s="143"/>
      <c r="E6" s="143"/>
      <c r="F6" s="7"/>
      <c r="G6" s="140" t="s">
        <v>136</v>
      </c>
      <c r="H6" s="140"/>
      <c r="I6" s="140"/>
      <c r="J6" s="140"/>
      <c r="K6" s="140"/>
      <c r="L6" s="140"/>
      <c r="M6" s="140"/>
      <c r="N6" s="4"/>
    </row>
    <row r="7" spans="1:15" ht="13.8" x14ac:dyDescent="0.25">
      <c r="A7" s="143" t="s">
        <v>146</v>
      </c>
      <c r="B7" s="143"/>
      <c r="C7" s="143"/>
      <c r="D7" s="143"/>
      <c r="E7" s="143"/>
      <c r="F7" s="63"/>
      <c r="G7" s="140" t="s">
        <v>137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147</v>
      </c>
      <c r="B8" s="8"/>
      <c r="C8" s="8"/>
      <c r="D8" s="8"/>
      <c r="E8" s="8"/>
      <c r="F8" s="63"/>
      <c r="G8" s="7" t="s">
        <v>138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148</v>
      </c>
      <c r="B9" s="8"/>
      <c r="C9" s="8"/>
      <c r="D9" s="8"/>
      <c r="E9" s="8"/>
      <c r="F9" s="7"/>
      <c r="G9" s="7" t="s">
        <v>139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149</v>
      </c>
      <c r="B10" s="125"/>
      <c r="C10" s="125"/>
      <c r="D10" s="125"/>
      <c r="E10" s="125"/>
      <c r="F10" s="7"/>
      <c r="G10" s="7" t="s">
        <v>134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150</v>
      </c>
      <c r="B11" s="8"/>
      <c r="C11" s="8"/>
      <c r="D11" s="8"/>
      <c r="E11" s="8"/>
      <c r="F11" s="7"/>
      <c r="G11" s="7" t="s">
        <v>140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151</v>
      </c>
      <c r="B12" s="8"/>
      <c r="C12" s="8"/>
      <c r="D12" s="8"/>
      <c r="E12" s="8"/>
      <c r="F12" s="7"/>
      <c r="G12" s="139" t="s">
        <v>141</v>
      </c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">
        <v>144</v>
      </c>
      <c r="B14" s="136"/>
      <c r="C14" s="136"/>
      <c r="D14" s="136"/>
      <c r="E14" s="136"/>
      <c r="F14" s="6"/>
      <c r="G14" s="138" t="s">
        <v>135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">
        <v>145</v>
      </c>
      <c r="B15" s="143"/>
      <c r="C15" s="143"/>
      <c r="D15" s="143"/>
      <c r="E15" s="143"/>
      <c r="F15" s="7"/>
      <c r="G15" s="140" t="s">
        <v>136</v>
      </c>
      <c r="H15" s="140"/>
      <c r="I15" s="140"/>
      <c r="J15" s="140"/>
      <c r="K15" s="140"/>
      <c r="L15" s="140"/>
      <c r="M15" s="140"/>
    </row>
    <row r="16" spans="1:15" ht="13.8" x14ac:dyDescent="0.25">
      <c r="A16" s="143" t="s">
        <v>146</v>
      </c>
      <c r="B16" s="143"/>
      <c r="C16" s="143"/>
      <c r="D16" s="143"/>
      <c r="E16" s="143"/>
      <c r="F16" s="63"/>
      <c r="G16" s="140" t="s">
        <v>137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147</v>
      </c>
      <c r="B17" s="8"/>
      <c r="C17" s="8"/>
      <c r="D17" s="8"/>
      <c r="E17" s="8"/>
      <c r="F17" s="63"/>
      <c r="G17" s="7" t="s">
        <v>138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148</v>
      </c>
      <c r="B18" s="8"/>
      <c r="C18" s="8"/>
      <c r="D18" s="8"/>
      <c r="E18" s="8"/>
      <c r="F18" s="7"/>
      <c r="G18" s="7" t="s">
        <v>139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149</v>
      </c>
      <c r="B19" s="125"/>
      <c r="C19" s="125"/>
      <c r="D19" s="125"/>
      <c r="E19" s="125"/>
      <c r="F19" s="7"/>
      <c r="G19" s="7" t="s">
        <v>134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150</v>
      </c>
      <c r="B20" s="8"/>
      <c r="C20" s="8"/>
      <c r="D20" s="8"/>
      <c r="E20" s="8"/>
      <c r="F20" s="7"/>
      <c r="G20" s="7" t="s">
        <v>140</v>
      </c>
      <c r="H20" s="23"/>
      <c r="I20" s="23"/>
      <c r="J20" s="23"/>
      <c r="K20" s="23"/>
      <c r="L20" s="23"/>
      <c r="M20" s="23"/>
    </row>
    <row r="21" spans="1:17" ht="13.8" x14ac:dyDescent="0.25">
      <c r="A21" s="99" t="s">
        <v>151</v>
      </c>
      <c r="B21" s="8"/>
      <c r="C21" s="8"/>
      <c r="D21" s="8"/>
      <c r="E21" s="8"/>
      <c r="G21" s="139" t="s">
        <v>141</v>
      </c>
      <c r="H21" s="139"/>
      <c r="I21" s="139"/>
      <c r="J21" s="139"/>
      <c r="K21" s="139"/>
      <c r="L21" s="139"/>
      <c r="M21" s="139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4" t="s">
        <v>154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6" x14ac:dyDescent="0.3">
      <c r="A24" s="20" t="s">
        <v>22</v>
      </c>
      <c r="C24" s="18" t="s">
        <v>157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">
        <v>161</v>
      </c>
      <c r="F26" s="156"/>
      <c r="G26" s="156"/>
      <c r="J26" s="21"/>
    </row>
    <row r="27" spans="1:17" ht="34.5" customHeight="1" x14ac:dyDescent="0.25">
      <c r="A27" s="67" t="s">
        <v>109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7.6" x14ac:dyDescent="0.25">
      <c r="A30" s="127">
        <v>1</v>
      </c>
      <c r="B30" s="101" t="s">
        <v>123</v>
      </c>
      <c r="C30" s="107" t="s">
        <v>122</v>
      </c>
      <c r="D30" s="109" t="s">
        <v>110</v>
      </c>
      <c r="E30" s="101">
        <v>2950</v>
      </c>
      <c r="F30" s="116" t="s">
        <v>27</v>
      </c>
      <c r="G30" s="106">
        <v>19300</v>
      </c>
      <c r="H30" s="106">
        <v>17235</v>
      </c>
      <c r="I30" s="108">
        <v>1</v>
      </c>
      <c r="J30" s="13">
        <f t="shared" ref="J30:J31" si="0">H30*I30</f>
        <v>17235</v>
      </c>
      <c r="K30" s="12">
        <v>0</v>
      </c>
      <c r="L30" s="12">
        <v>0</v>
      </c>
      <c r="M30" s="13">
        <f t="shared" ref="M30:M31" si="1">J30</f>
        <v>17235</v>
      </c>
      <c r="O30" s="100"/>
      <c r="Q30" s="100"/>
    </row>
    <row r="31" spans="1:17" ht="27.6" x14ac:dyDescent="0.25">
      <c r="A31" s="127">
        <v>2</v>
      </c>
      <c r="B31" s="101" t="s">
        <v>123</v>
      </c>
      <c r="C31" s="107" t="s">
        <v>122</v>
      </c>
      <c r="D31" s="109" t="s">
        <v>112</v>
      </c>
      <c r="E31" s="101">
        <v>450</v>
      </c>
      <c r="F31" s="110" t="s">
        <v>27</v>
      </c>
      <c r="G31" s="106">
        <v>3365</v>
      </c>
      <c r="H31" s="106">
        <v>2735</v>
      </c>
      <c r="I31" s="108">
        <v>1</v>
      </c>
      <c r="J31" s="13">
        <f t="shared" si="0"/>
        <v>2735</v>
      </c>
      <c r="K31" s="12">
        <v>0</v>
      </c>
      <c r="L31" s="12">
        <v>0</v>
      </c>
      <c r="M31" s="13">
        <f t="shared" si="1"/>
        <v>2735</v>
      </c>
      <c r="O31" s="100"/>
      <c r="Q31" s="100"/>
    </row>
    <row r="32" spans="1:17" ht="13.8" x14ac:dyDescent="0.25">
      <c r="A32" s="150" t="s">
        <v>0</v>
      </c>
      <c r="B32" s="151"/>
      <c r="C32" s="14"/>
      <c r="D32" s="15"/>
      <c r="E32" s="64">
        <f>SUM(E30:E31)</f>
        <v>3400</v>
      </c>
      <c r="F32" s="15"/>
      <c r="G32" s="64">
        <f>SUM(G30:G31)</f>
        <v>22665</v>
      </c>
      <c r="H32" s="64">
        <f>SUM(H30:H31)</f>
        <v>19970</v>
      </c>
      <c r="I32" s="102"/>
      <c r="J32" s="17">
        <f>SUM(J30:J31)</f>
        <v>19970</v>
      </c>
      <c r="K32" s="16"/>
      <c r="L32" s="16"/>
      <c r="M32" s="17">
        <f>SUM(M30:M31)</f>
        <v>19970</v>
      </c>
      <c r="P32" s="66"/>
    </row>
    <row r="33" spans="1:14" ht="13.8" x14ac:dyDescent="0.3">
      <c r="A33" s="2" t="s">
        <v>17</v>
      </c>
      <c r="B33" s="3"/>
      <c r="C33" s="11"/>
      <c r="D33" s="11"/>
      <c r="E33" s="146" t="str">
        <f>Лист1!B3</f>
        <v>Девятнадцать тысяч девятьсот семьдесят долларов США, 00 центов.</v>
      </c>
      <c r="F33" s="147"/>
      <c r="G33" s="147"/>
      <c r="H33" s="147"/>
      <c r="I33" s="147"/>
      <c r="J33" s="147"/>
      <c r="K33" s="147"/>
      <c r="L33" s="147"/>
      <c r="M33" s="147"/>
    </row>
    <row r="34" spans="1:14" ht="20.2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</row>
    <row r="35" spans="1:14" ht="25.5" customHeight="1" x14ac:dyDescent="0.25">
      <c r="A35" s="144" t="s">
        <v>108</v>
      </c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26"/>
    </row>
    <row r="37" spans="1:14" ht="13.8" x14ac:dyDescent="0.25">
      <c r="A37" s="7" t="s">
        <v>28</v>
      </c>
      <c r="B37" s="7"/>
      <c r="D37" s="25" t="s">
        <v>152</v>
      </c>
      <c r="E37" s="24"/>
    </row>
    <row r="38" spans="1:14" ht="13.8" x14ac:dyDescent="0.25">
      <c r="A38" s="7"/>
      <c r="B38" s="9"/>
    </row>
    <row r="39" spans="1:14" ht="13.8" x14ac:dyDescent="0.25">
      <c r="A39" s="7" t="s">
        <v>18</v>
      </c>
      <c r="B39" s="9"/>
    </row>
    <row r="40" spans="1:14" ht="13.8" x14ac:dyDescent="0.25">
      <c r="A40" s="7"/>
      <c r="B40" s="9"/>
    </row>
    <row r="41" spans="1:14" ht="13.8" x14ac:dyDescent="0.25">
      <c r="A41" s="7" t="s">
        <v>29</v>
      </c>
      <c r="B41" s="9"/>
    </row>
    <row r="42" spans="1:14" ht="13.8" x14ac:dyDescent="0.25">
      <c r="A42" s="8"/>
      <c r="B42" s="9"/>
    </row>
    <row r="43" spans="1:14" x14ac:dyDescent="0.25">
      <c r="A43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5:M35"/>
    <mergeCell ref="G15:M15"/>
    <mergeCell ref="G13:M13"/>
    <mergeCell ref="G14:M14"/>
    <mergeCell ref="E33:M33"/>
    <mergeCell ref="E28:E29"/>
    <mergeCell ref="C28:C29"/>
    <mergeCell ref="D28:D29"/>
    <mergeCell ref="A34:M34"/>
    <mergeCell ref="A32:B32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7" zoomScale="115" zoomScaleNormal="115" workbookViewId="0">
      <selection activeCell="F17" sqref="F17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“EXACT GROUP”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ШЕРАБАДСКИЙ РАЙОН, МФЙ «БАХОР», УЛИЦА ШЕРЖАН, ДОМ 19Б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162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06.09.2025г.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EXG-F-49 от  06.09.2025г.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2950</v>
      </c>
      <c r="D30" s="103" t="str">
        <f>+Инвойс!D30</f>
        <v>Пласт. ящик</v>
      </c>
      <c r="E30" s="103"/>
      <c r="F30" s="103" t="str">
        <f>+Инвойс!B30</f>
        <v>Виноград свежий столовых сортов</v>
      </c>
      <c r="G30" s="104" t="str">
        <f>+Инвойс!C30</f>
        <v>0806101001</v>
      </c>
      <c r="H30" s="103"/>
      <c r="I30" s="105">
        <f>+Инвойс!G30</f>
        <v>19300</v>
      </c>
    </row>
    <row r="31" spans="1:9" ht="9" customHeight="1" x14ac:dyDescent="0.2">
      <c r="A31" s="74"/>
      <c r="B31" s="103">
        <f>+Инвойс!A31</f>
        <v>2</v>
      </c>
      <c r="C31" s="103">
        <f>+Инвойс!E31</f>
        <v>450</v>
      </c>
      <c r="D31" s="103" t="str">
        <f>+Инвойс!D31</f>
        <v>Дер. ящик</v>
      </c>
      <c r="E31" s="103"/>
      <c r="F31" s="103" t="str">
        <f>+Инвойс!B31</f>
        <v>Виноград свежий столовых сортов</v>
      </c>
      <c r="G31" s="104" t="str">
        <f>+Инвойс!C31</f>
        <v>0806101001</v>
      </c>
      <c r="H31" s="103"/>
      <c r="I31" s="105">
        <f>+Инвойс!G31</f>
        <v>3365</v>
      </c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г.Челябинский таможенный пост г.Челябинск ул. Енисейская, 87А код поста 10504080   ООО "ГРИН ВОРЛД" 
RU/0237/2 от 27.12.2024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06.09.2025г.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30400MAA/300770BA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4" zoomScaleNormal="100" workbookViewId="0">
      <selection activeCell="J26" sqref="J26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3" t="s">
        <v>96</v>
      </c>
      <c r="C2" s="163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4" t="str">
        <f>+Инвойс!E26</f>
        <v>30400MAA/300770BA</v>
      </c>
      <c r="C14" s="164"/>
      <c r="D14" s="164"/>
      <c r="E14" s="164"/>
      <c r="F14" s="164"/>
      <c r="G14" s="164"/>
      <c r="H14" s="165" t="s">
        <v>107</v>
      </c>
      <c r="I14" s="165"/>
      <c r="J14" s="88" t="str">
        <f>+Инвойс!F1</f>
        <v xml:space="preserve"> 06.09.2025г.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EXG-F-49 от  06.09.2025г.</v>
      </c>
      <c r="I15" s="166"/>
      <c r="J15" s="166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2950</v>
      </c>
      <c r="G18" s="167" t="str">
        <f>+CMR!F30</f>
        <v>Виноград свежий столовых сортов</v>
      </c>
      <c r="H18" s="167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Пласт. ящик</v>
      </c>
      <c r="G19" s="161" t="str">
        <f>+Инвойс!C30</f>
        <v>0806101001</v>
      </c>
      <c r="H19" s="162"/>
      <c r="I19" s="122" t="s">
        <v>103</v>
      </c>
      <c r="J19" s="120">
        <f>+Инвойс!G30</f>
        <v>19300</v>
      </c>
    </row>
    <row r="20" spans="2:10" ht="13.5" customHeight="1" x14ac:dyDescent="0.3">
      <c r="B20" s="83"/>
      <c r="E20" s="123"/>
      <c r="F20" s="118">
        <f>+Инвойс!E31</f>
        <v>450</v>
      </c>
      <c r="G20" s="167" t="str">
        <f>+CMR!F31</f>
        <v>Виноград свежий столовых сортов</v>
      </c>
      <c r="H20" s="167"/>
      <c r="I20" s="119"/>
      <c r="J20" s="120"/>
    </row>
    <row r="21" spans="2:10" ht="13.5" customHeight="1" x14ac:dyDescent="0.3">
      <c r="B21" s="83" t="s">
        <v>104</v>
      </c>
      <c r="E21" s="123"/>
      <c r="F21" s="121" t="str">
        <f>+Инвойс!D31</f>
        <v>Дер. ящик</v>
      </c>
      <c r="G21" s="161" t="str">
        <f>+Инвойс!C31</f>
        <v>0806101001</v>
      </c>
      <c r="H21" s="162"/>
      <c r="I21" s="122" t="s">
        <v>103</v>
      </c>
      <c r="J21" s="120">
        <f>+Инвойс!G31</f>
        <v>3365</v>
      </c>
    </row>
    <row r="22" spans="2:10" ht="12.75" customHeight="1" x14ac:dyDescent="0.3">
      <c r="B22" s="83"/>
      <c r="E22" s="123"/>
      <c r="F22" s="118"/>
      <c r="G22" s="167"/>
      <c r="H22" s="167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7"/>
      <c r="H24" s="167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7"/>
      <c r="H26" s="167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7"/>
      <c r="H28" s="167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7"/>
      <c r="H30" s="167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7"/>
      <c r="H32" s="167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7"/>
      <c r="H34" s="167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7"/>
      <c r="H36" s="167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7"/>
      <c r="H38" s="167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7"/>
      <c r="H40" s="167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7"/>
      <c r="H42" s="167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9"/>
      <c r="H44" s="169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70">
        <f>+F18+F20+F22+F24+F26+F28+F30+F32+F34+F36+F38+F40+F42</f>
        <v>3400</v>
      </c>
      <c r="E47" s="171"/>
    </row>
    <row r="48" spans="2:10" ht="17.25" customHeight="1" x14ac:dyDescent="0.3">
      <c r="B48" s="168" t="s">
        <v>105</v>
      </c>
      <c r="C48" s="168"/>
      <c r="D48" s="168"/>
      <c r="E48" s="168"/>
    </row>
    <row r="49" spans="2:5" ht="21.75" customHeight="1" x14ac:dyDescent="0.3">
      <c r="B49" s="168"/>
      <c r="C49" s="168"/>
      <c r="D49" s="168"/>
      <c r="E49" s="168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3"/>
  <sheetViews>
    <sheetView topLeftCell="A16" zoomScale="85" zoomScaleNormal="85" workbookViewId="0">
      <selection activeCell="A35" sqref="A35:M35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4" t="s">
        <v>163</v>
      </c>
      <c r="C1" s="174"/>
      <c r="D1" s="174"/>
      <c r="E1" s="174"/>
      <c r="F1" s="134" t="str">
        <f>+Инвойс!F1</f>
        <v xml:space="preserve"> 06.09.2025г.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tr">
        <f>+Инвойс!C2</f>
        <v>к контракту № GR-EX-01 от 22.08.2025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tr">
        <f>+Инвойс!A5</f>
        <v>OOO “EXACT GROUP”</v>
      </c>
      <c r="B5" s="136"/>
      <c r="C5" s="136"/>
      <c r="D5" s="136"/>
      <c r="E5" s="136"/>
      <c r="F5" s="6"/>
      <c r="G5" s="138" t="str">
        <f>+Инвойс!G5</f>
        <v>ООО «ГРИН ВОРЛД»</v>
      </c>
      <c r="H5" s="138"/>
      <c r="I5" s="138"/>
      <c r="J5" s="138"/>
      <c r="K5" s="138"/>
      <c r="L5" s="138"/>
      <c r="M5" s="138"/>
    </row>
    <row r="6" spans="1:15" ht="13.8" x14ac:dyDescent="0.25">
      <c r="A6" s="142" t="str">
        <f>+Инвойс!A6</f>
        <v>РЕСПУБЛИКА УЗБЕКИСТАН. СУРХАНДАРЬИНСКАЯ ОБЛАСТЬ,</v>
      </c>
      <c r="B6" s="142"/>
      <c r="C6" s="142"/>
      <c r="D6" s="142"/>
      <c r="E6" s="142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3.8" x14ac:dyDescent="0.25">
      <c r="A7" s="142" t="str">
        <f>+Инвойс!A7</f>
        <v>ШЕРАБАДСКИЙ РАЙОН, МФЙ «БАХОР», УЛИЦА ШЕРЖАН, ДОМ 19Б</v>
      </c>
      <c r="B7" s="142"/>
      <c r="C7" s="142"/>
      <c r="D7" s="142"/>
      <c r="E7" s="142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42" t="str">
        <f>+Инвойс!A8</f>
        <v>в АКБ“KAPITAL BANK”  МФО: 01158  Swift: KACHUZ22</v>
      </c>
      <c r="B8" s="142"/>
      <c r="C8" s="142"/>
      <c r="D8" s="142"/>
      <c r="E8" s="142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3.8" x14ac:dyDescent="0.25">
      <c r="A9" s="142" t="str">
        <f>+Инвойс!A9</f>
        <v>Доллар США: 20208840607280925001</v>
      </c>
      <c r="B9" s="142"/>
      <c r="C9" s="142"/>
      <c r="D9" s="142"/>
      <c r="E9" s="142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3.8" x14ac:dyDescent="0.25">
      <c r="A10" s="142" t="str">
        <f>+Инвойс!A10</f>
        <v>Корреспондирующий банк (RUB): АКБ "Азия Инвест Банк" (АО) :</v>
      </c>
      <c r="B10" s="142"/>
      <c r="C10" s="142"/>
      <c r="D10" s="142"/>
      <c r="E10" s="142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3.8" x14ac:dyDescent="0.25">
      <c r="A11" s="142" t="str">
        <f>+Инвойс!A11</f>
        <v>SWIFT:ASIJRUMM / БИК 044525234,</v>
      </c>
      <c r="B11" s="142"/>
      <c r="C11" s="142"/>
      <c r="D11" s="142"/>
      <c r="E11" s="142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tr">
        <f>+Инвойс!A14</f>
        <v>OOO “EXACT GROUP”</v>
      </c>
      <c r="B14" s="136"/>
      <c r="C14" s="136"/>
      <c r="D14" s="136"/>
      <c r="E14" s="136"/>
      <c r="F14" s="6"/>
      <c r="G14" s="138" t="str">
        <f>+Инвойс!G14</f>
        <v>ООО «ГРИН ВОРЛД»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tr">
        <f>+Инвойс!A15</f>
        <v>РЕСПУБЛИКА УЗБЕКИСТАН. СУРХАНДАРЬИНСКАЯ ОБЛАСТЬ,</v>
      </c>
      <c r="B15" s="142"/>
      <c r="C15" s="142"/>
      <c r="D15" s="142"/>
      <c r="E15" s="142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3.8" x14ac:dyDescent="0.25">
      <c r="A16" s="142" t="str">
        <f>+Инвойс!A16</f>
        <v>ШЕРАБАДСКИЙ РАЙОН, МФЙ «БАХОР», УЛИЦА ШЕРЖАН, ДОМ 19Б</v>
      </c>
      <c r="B16" s="142"/>
      <c r="C16" s="142"/>
      <c r="D16" s="142"/>
      <c r="E16" s="142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42" t="str">
        <f>+Инвойс!A17</f>
        <v>в АКБ“KAPITAL BANK”  МФО: 01158  Swift: KACHUZ22</v>
      </c>
      <c r="B17" s="142"/>
      <c r="C17" s="142"/>
      <c r="D17" s="142"/>
      <c r="E17" s="142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3.8" x14ac:dyDescent="0.25">
      <c r="A18" s="142" t="str">
        <f>+Инвойс!A18</f>
        <v>Доллар США: 20208840607280925001</v>
      </c>
      <c r="B18" s="142"/>
      <c r="C18" s="142"/>
      <c r="D18" s="142"/>
      <c r="E18" s="142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3.8" x14ac:dyDescent="0.25">
      <c r="A19" s="142" t="str">
        <f>+Инвойс!A19</f>
        <v>Корреспондирующий банк (RUB): АКБ "Азия Инвест Банк" (АО) :</v>
      </c>
      <c r="B19" s="142"/>
      <c r="C19" s="142"/>
      <c r="D19" s="142"/>
      <c r="E19" s="142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3.8" x14ac:dyDescent="0.25">
      <c r="A20" s="142" t="str">
        <f>+Инвойс!A20</f>
        <v>SWIFT:ASIJRUMM / БИК 044525234,</v>
      </c>
      <c r="B20" s="142"/>
      <c r="C20" s="142"/>
      <c r="D20" s="142"/>
      <c r="E20" s="142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3.8" x14ac:dyDescent="0.25">
      <c r="A21" s="142"/>
      <c r="B21" s="142"/>
      <c r="C21" s="142"/>
      <c r="D21" s="142"/>
      <c r="E21" s="142"/>
      <c r="G21" s="7"/>
      <c r="H21" s="23"/>
      <c r="I21" s="23"/>
      <c r="J21" s="23"/>
    </row>
    <row r="22" spans="1:17" ht="43.5" customHeight="1" x14ac:dyDescent="0.3">
      <c r="A22" s="1" t="s">
        <v>125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115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Сарыагаш,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tr">
        <f>+Инвойс!E26</f>
        <v>30400MAA/300770BA</v>
      </c>
      <c r="F26" s="156"/>
      <c r="G26" s="156"/>
      <c r="J26" s="21"/>
    </row>
    <row r="27" spans="1:17" ht="34.5" customHeight="1" x14ac:dyDescent="0.25">
      <c r="A27" s="67" t="s">
        <v>126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7.6" x14ac:dyDescent="0.25">
      <c r="A30" s="127">
        <f>+Инвойс!A30</f>
        <v>1</v>
      </c>
      <c r="B30" s="101" t="str">
        <f>+Инвойс!B30</f>
        <v>Виноград свежий столовых сортов</v>
      </c>
      <c r="C30" s="107" t="str">
        <f>+Инвойс!C30</f>
        <v>0806101001</v>
      </c>
      <c r="D30" s="115" t="str">
        <f>+Инвойс!D30</f>
        <v>Пласт. ящик</v>
      </c>
      <c r="E30" s="101">
        <f>+Инвойс!E30</f>
        <v>2950</v>
      </c>
      <c r="F30" s="116" t="str">
        <f>+Инвойс!F30</f>
        <v>кг</v>
      </c>
      <c r="G30" s="106">
        <f>+Инвойс!G30</f>
        <v>19300</v>
      </c>
      <c r="H30" s="106">
        <f>+Инвойс!H30</f>
        <v>17235</v>
      </c>
      <c r="I30" s="108">
        <f>+Инвойс!I30</f>
        <v>1</v>
      </c>
      <c r="J30" s="13">
        <f>+Инвойс!J30</f>
        <v>17235</v>
      </c>
      <c r="K30" s="12">
        <v>0</v>
      </c>
      <c r="L30" s="12">
        <v>0</v>
      </c>
      <c r="M30" s="13">
        <f>+Инвойс!M30</f>
        <v>17235</v>
      </c>
      <c r="O30" s="100"/>
      <c r="Q30" s="100"/>
    </row>
    <row r="31" spans="1:17" ht="27.6" x14ac:dyDescent="0.25">
      <c r="A31" s="127">
        <f>+Инвойс!A31</f>
        <v>2</v>
      </c>
      <c r="B31" s="101" t="str">
        <f>+Инвойс!B31</f>
        <v>Виноград свежий столовых сортов</v>
      </c>
      <c r="C31" s="107" t="str">
        <f>+Инвойс!C31</f>
        <v>0806101001</v>
      </c>
      <c r="D31" s="115" t="str">
        <f>+Инвойс!D31</f>
        <v>Дер. ящик</v>
      </c>
      <c r="E31" s="101">
        <f>+Инвойс!E31</f>
        <v>450</v>
      </c>
      <c r="F31" s="116" t="str">
        <f>+Инвойс!F31</f>
        <v>кг</v>
      </c>
      <c r="G31" s="106">
        <f>+Инвойс!G31</f>
        <v>3365</v>
      </c>
      <c r="H31" s="106">
        <f>+Инвойс!H31</f>
        <v>2735</v>
      </c>
      <c r="I31" s="108">
        <f>+Инвойс!I31</f>
        <v>1</v>
      </c>
      <c r="J31" s="13">
        <f>+Инвойс!J31</f>
        <v>2735</v>
      </c>
      <c r="K31" s="12">
        <v>0</v>
      </c>
      <c r="L31" s="12">
        <v>0</v>
      </c>
      <c r="M31" s="13">
        <f>+Инвойс!M31</f>
        <v>2735</v>
      </c>
      <c r="O31" s="100"/>
      <c r="Q31" s="100"/>
    </row>
    <row r="32" spans="1:17" ht="13.8" x14ac:dyDescent="0.25">
      <c r="A32" s="150" t="s">
        <v>0</v>
      </c>
      <c r="B32" s="151"/>
      <c r="C32" s="14"/>
      <c r="D32" s="15"/>
      <c r="E32" s="64">
        <f>SUM(E30:E31)</f>
        <v>3400</v>
      </c>
      <c r="F32" s="15"/>
      <c r="G32" s="64">
        <f>SUM(G30:G31)</f>
        <v>22665</v>
      </c>
      <c r="H32" s="64">
        <f>SUM(H30:H31)</f>
        <v>19970</v>
      </c>
      <c r="I32" s="102"/>
      <c r="J32" s="17">
        <f>SUM(J30:J31)</f>
        <v>19970</v>
      </c>
      <c r="K32" s="16"/>
      <c r="L32" s="16"/>
      <c r="M32" s="17">
        <f>SUM(M30:M31)</f>
        <v>19970</v>
      </c>
      <c r="P32" s="66"/>
    </row>
    <row r="33" spans="1:14" ht="13.8" x14ac:dyDescent="0.3">
      <c r="A33" s="2" t="s">
        <v>17</v>
      </c>
      <c r="B33" s="3"/>
      <c r="C33" s="11"/>
      <c r="D33" s="11"/>
      <c r="E33" s="146" t="str">
        <f>Лист1!B3</f>
        <v>Девятнадцать тысяч девятьсот семьдесят долларов США, 00 центов.</v>
      </c>
      <c r="F33" s="147"/>
      <c r="G33" s="147"/>
      <c r="H33" s="147"/>
      <c r="I33" s="147"/>
      <c r="J33" s="147"/>
      <c r="K33" s="147"/>
      <c r="L33" s="147"/>
      <c r="M33" s="147"/>
    </row>
    <row r="34" spans="1:14" ht="20.2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</row>
    <row r="35" spans="1:14" ht="25.5" customHeight="1" x14ac:dyDescent="0.25">
      <c r="A35" s="144"/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26"/>
    </row>
    <row r="37" spans="1:14" s="18" customFormat="1" ht="15.6" x14ac:dyDescent="0.3">
      <c r="A37" s="131" t="s">
        <v>153</v>
      </c>
      <c r="B37" s="131"/>
      <c r="D37" s="18" t="str">
        <f>+Инвойс!D37</f>
        <v>АБДИЛАКИМОВ А.А</v>
      </c>
      <c r="E37" s="132"/>
      <c r="G37" s="129" t="s">
        <v>128</v>
      </c>
      <c r="H37" s="18" t="str">
        <f>Инвойс!G5</f>
        <v>ООО «ГРИН ВОРЛД»</v>
      </c>
      <c r="K37" s="133" t="s">
        <v>142</v>
      </c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7"/>
      <c r="B41" s="9"/>
    </row>
    <row r="42" spans="1:14" ht="13.8" x14ac:dyDescent="0.25">
      <c r="A42" s="8"/>
      <c r="B42" s="9"/>
    </row>
    <row r="43" spans="1:14" x14ac:dyDescent="0.25">
      <c r="A43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4:M34"/>
    <mergeCell ref="A35:M35"/>
    <mergeCell ref="G28:H28"/>
    <mergeCell ref="I28:I29"/>
    <mergeCell ref="K28:L28"/>
    <mergeCell ref="M28:M29"/>
    <mergeCell ref="A32:B32"/>
    <mergeCell ref="E33:M33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topLeftCell="A7"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116</v>
      </c>
    </row>
    <row r="3" spans="1:10" ht="52.8" x14ac:dyDescent="0.25">
      <c r="A3" s="130" t="s">
        <v>127</v>
      </c>
    </row>
    <row r="5" spans="1:10" ht="92.4" x14ac:dyDescent="0.25">
      <c r="A5" s="126" t="s">
        <v>155</v>
      </c>
    </row>
    <row r="6" spans="1:10" x14ac:dyDescent="0.25">
      <c r="E6" s="18" t="s">
        <v>156</v>
      </c>
      <c r="J6" s="25" t="s">
        <v>130</v>
      </c>
    </row>
    <row r="7" spans="1:10" ht="52.8" x14ac:dyDescent="0.25">
      <c r="A7" s="126" t="s">
        <v>117</v>
      </c>
    </row>
    <row r="8" spans="1:10" x14ac:dyDescent="0.25">
      <c r="E8" s="18" t="s">
        <v>157</v>
      </c>
      <c r="J8" s="25" t="s">
        <v>131</v>
      </c>
    </row>
    <row r="9" spans="1:10" ht="52.8" x14ac:dyDescent="0.25">
      <c r="A9" s="126" t="s">
        <v>118</v>
      </c>
    </row>
    <row r="10" spans="1:10" x14ac:dyDescent="0.25">
      <c r="A10" s="126"/>
      <c r="E10" s="18" t="s">
        <v>157</v>
      </c>
      <c r="J10" s="25" t="s">
        <v>132</v>
      </c>
    </row>
    <row r="11" spans="1:10" ht="52.8" x14ac:dyDescent="0.25">
      <c r="A11" s="126" t="s">
        <v>154</v>
      </c>
    </row>
    <row r="12" spans="1:10" x14ac:dyDescent="0.25">
      <c r="E12" s="18" t="s">
        <v>158</v>
      </c>
      <c r="J12" s="25" t="s">
        <v>133</v>
      </c>
    </row>
    <row r="13" spans="1:10" ht="52.8" x14ac:dyDescent="0.25">
      <c r="A13" s="126" t="s">
        <v>119</v>
      </c>
    </row>
    <row r="15" spans="1:10" ht="39.6" x14ac:dyDescent="0.25">
      <c r="A15" s="126" t="s">
        <v>120</v>
      </c>
    </row>
    <row r="17" spans="1:1" ht="39.6" x14ac:dyDescent="0.25">
      <c r="A17" s="126" t="s">
        <v>121</v>
      </c>
    </row>
    <row r="19" spans="1:1" ht="39.6" x14ac:dyDescent="0.25">
      <c r="A19" s="128" t="s">
        <v>124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Инвойс!M32</f>
        <v>19970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Девятнадцать тысяч девятьсот семьдесят долларов США, 00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45906</v>
      </c>
      <c r="O3" s="178"/>
      <c r="P3">
        <f ca="1">DAY(N3)</f>
        <v>6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Девятнадцать тысяч девятьсот семьдесят долларов США, 00 центов. (в т.ч. НДС - 357,79)</v>
      </c>
      <c r="H4" s="32"/>
      <c r="I4" s="32"/>
      <c r="J4" s="32"/>
      <c r="K4" s="179" t="str">
        <f ca="1">CONCATENATE(" «  ",P3,"  »  ",Q3,"  ",R3," г.")</f>
        <v xml:space="preserve"> «  6  »  сентября  2025 г.</v>
      </c>
      <c r="L4" s="179"/>
      <c r="M4" s="179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девятнадцать тысяч девятьсот семьдесят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девятнадцать тысяч девятьсот семьдесят долларов США, 00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девятнадцать тысяч </v>
      </c>
      <c r="D10" s="47"/>
      <c r="E10" s="48"/>
      <c r="F10" s="41" t="str">
        <f>PROPER(F9)</f>
        <v>Д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девятьсот семьдесят долларов США, 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45906</v>
      </c>
    </row>
    <row r="13" spans="1:19" s="43" customFormat="1" x14ac:dyDescent="0.25">
      <c r="A13" s="49"/>
      <c r="D13" s="51"/>
      <c r="E13" s="52">
        <f>TRUNC(E2)</f>
        <v>19970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1</v>
      </c>
      <c r="B24" s="47">
        <f>TRUNC(RIGHT(A24))</f>
        <v>1</v>
      </c>
      <c r="C24" s="51" t="str">
        <f>IF(B24=1,"",B24)</f>
        <v/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19</v>
      </c>
      <c r="B25" s="47">
        <f>TRUNC(RIGHT(A25))</f>
        <v>9</v>
      </c>
      <c r="C25" s="51">
        <f>IF(B24=1,B25+10,IF(B25=0,0,B25))</f>
        <v>19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девять </v>
      </c>
      <c r="F25" s="43" t="str">
        <f>IF(AND(C25&gt;15,C25&lt;20),IF(C25=16,D40,IF(C25=17,D41,IF(C25=18,D42,IF(C25=19,D43,)))),"")</f>
        <v xml:space="preserve">девятнадцать </v>
      </c>
    </row>
    <row r="26" spans="1:9" s="43" customFormat="1" x14ac:dyDescent="0.25">
      <c r="A26" s="54"/>
      <c r="B26" s="47"/>
      <c r="C26" s="51"/>
      <c r="E26" s="57">
        <f>B23*100+B24*10+B25</f>
        <v>19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199</v>
      </c>
      <c r="B27" s="47">
        <f>TRUNC(RIGHT(A27))</f>
        <v>9</v>
      </c>
      <c r="C27" s="51">
        <f>B27</f>
        <v>9</v>
      </c>
      <c r="E27" s="55" t="str">
        <f>IF(B27=1,E43,IF(B27=2,G35,IF(B27=3,G36,IF(B27=4,G37,IF(B27=5,G38,IF(B27=6,G39,IF(B27=7,G40,IF(B27=8,G41,G42))))))))</f>
        <v xml:space="preserve">девятьсот </v>
      </c>
    </row>
    <row r="28" spans="1:9" s="43" customFormat="1" x14ac:dyDescent="0.25">
      <c r="A28" s="54">
        <f>TRUNC(A29/10)</f>
        <v>1997</v>
      </c>
      <c r="B28" s="58">
        <f>TRUNC(RIGHT(A28))</f>
        <v>7</v>
      </c>
      <c r="C28" s="51">
        <f>IF(B28=1,"",B28)</f>
        <v>7</v>
      </c>
      <c r="E28" s="56" t="str">
        <f>IF(OR(C28=0,B28=1),"",IF(C28=2,E35,IF(C28=3,E36,IF(C28=4,E37,IF(C28=5,E38,IF(C28=6,E39,IF(C28=7,E40,IF(C28=8,E41,E42))))))))</f>
        <v xml:space="preserve">семьдесят </v>
      </c>
      <c r="G28" s="47"/>
    </row>
    <row r="29" spans="1:9" s="43" customFormat="1" x14ac:dyDescent="0.25">
      <c r="A29" s="54">
        <f>E13</f>
        <v>19970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970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2025-09-06T07:31:49Z</cp:lastPrinted>
  <dcterms:created xsi:type="dcterms:W3CDTF">1996-10-14T23:33:28Z</dcterms:created>
  <dcterms:modified xsi:type="dcterms:W3CDTF">2025-09-06T07:32:31Z</dcterms:modified>
</cp:coreProperties>
</file>