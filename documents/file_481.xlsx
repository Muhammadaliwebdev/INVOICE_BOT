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E52166E-86E8-448C-A4C3-2A16DF192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J31" i="2" l="1"/>
  <c r="M31" i="2" s="1"/>
  <c r="D37" i="7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<sst xmlns="http://schemas.openxmlformats.org/spreadsheetml/2006/main" count="217" uniqueCount="165">
  <si>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</si>
  <si>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</si>
  <si>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</si>
  <si>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</si>
  <si>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</si>
  <si>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</si>
  <si>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</si>
  <si>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</si>
  <si>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</si>
  <si>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</si>
  <si>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</si>
  <si>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</si>
  <si>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</si>
  <si>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</si>
  <si>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</si>
  <si>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</si>
  <si>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</si>
  <si>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</si>
  <si>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</si>
  <si>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</si>
  <si>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</si>
  <si>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</si>
  <si>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</si>
  <si>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</si>
  <si>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</si>
  <si>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</si>
  <si>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</si>
  <si>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</si>
  <si>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</si>
  <si>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</si>
  <si>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</si>
  <si>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</si>
  <si>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</si>
  <si>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</si>
  <si>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</si>
  <si>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</si>
  <si>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</si>
  <si>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</si>
  <si>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</si>
  <si>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</si>
  <si>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</si>
  <si>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</si>
  <si>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</si>
  <si>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</si>
  <si>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</si>
  <si>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</si>
  <si>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</si>
  <si>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</si>
  <si>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</si>
  <si>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</si>
  <si>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</si>
  <si>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</si>
  <si>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</si>
  <si>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</si>
  <si>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</si>
  <si>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</si>
  <si>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</si>
  <si>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</si>
  <si>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</si>
  <si>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</si>
  <si>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</si>
  <si>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</si>
  <si>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</si>
  <si>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</si>
  <si>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</si>
  <si>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</si>
  <si>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</si>
  <si>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</si>
  <si>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</si>
  <si>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</si>
  <si>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</si>
  <si>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</si>
  <si>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</si>
  <si>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</si>
  <si>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</si>
  <si>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</si>
  <si>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</si>
  <si>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</si>
  <si>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</si>
  <si>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</si>
  <si>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</si>
  <si>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</si>
  <si>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</si>
  <si>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</si>
  <si>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</si>
  <si>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</si>
  <si>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</si>
  <si>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</si>
  <si>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</si>
  <si>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</si>
  <si>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</si>
  <si>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</si>
  <si>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</si>
  <si>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</si>
  <si>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</si>
  <si>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</si>
  <si>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</si>
  <si>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</si>
  <si>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</si>
  <si>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</si>
  <si>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</si>
  <si>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</si>
  <si>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</si>
  <si>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</si>
  <si>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</si>
  <si>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</si>
  <si>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</si>
  <si>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</si>
  <si>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</si>
  <si>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</si>
  <si>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</si>
  <si>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</si>
  <si>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</si>
  <si>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</si>
  <si>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</si>
  <si>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</si>
  <si>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</si>
  <si>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</si>
  <si>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</si>
  <si>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</si>
  <si>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</si>
  <si>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</si>
  <si>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</si>
  <si>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</si>
  <si>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</si>
  <si>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</si>
  <si>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</si>
  <si>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</si>
  <si>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</si>
  <si>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</si>
  <si>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</si>
  <si>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</si>
  <si>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</si>
  <si>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</si>
  <si>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</si>
  <si>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</si>
  <si>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</si>
  <si>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</si>
  <si>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</si>
  <si>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</si>
  <si>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</si>
  <si>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</si>
  <si>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</si>
  <si>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</si>
  <si>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</si>
  <si>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</si>
  <si>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</si>
  <si>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</si>
  <si>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</si>
  <si>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</si>
  <si>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</si>
  <si>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</si>
  <si>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</si>
  <si>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</si>
  <si>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</si>
  <si>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</si>
  <si>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</si>
  <si>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</si>
  <si>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</si>
  <si>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UFG-M-77 от </t>
  </si>
  <si>
    <t xml:space="preserve"> 08.09.2025г.</t>
  </si>
  <si>
    <t>80C202BA/806274BA</t>
  </si>
  <si>
    <t>навалом</t>
  </si>
  <si>
    <t>-</t>
  </si>
  <si>
    <t xml:space="preserve">СПЕЦИФИКАЦИЯ № UFG-M-77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</si>
</sst>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940</v>
      </c>
      <c r="F30" s="110" t="s">
        <v>27</v>
      </c>
      <c r="G30" s="106">
        <v>21100</v>
      </c>
      <c r="H30" s="106">
        <v>19408</v>
      </c>
      <c r="I30" s="108">
        <v>0.25</v>
      </c>
      <c r="J30" s="13">
        <f t="shared" ref="J30:J31" si="0">H30*I30</f>
        <v>4852</v>
      </c>
      <c r="K30" s="12">
        <v>0</v>
      </c>
      <c r="L30" s="12">
        <v>0</v>
      </c>
      <c r="M30" s="13">
        <f t="shared" ref="M30:M31" si="1">J30</f>
        <v>4852</v>
      </c>
      <c r="O30" s="100"/>
      <c r="Q30" s="100"/>
    </row>
    <row r="31" spans="1:17" ht="13.8" x14ac:dyDescent="0.25">
      <c r="A31" s="127">
        <v>2</v>
      </c>
      <c r="B31" s="101" t="s">
        <v>125</v>
      </c>
      <c r="C31" s="107" t="s">
        <v>126</v>
      </c>
      <c r="D31" s="109" t="s">
        <v>162</v>
      </c>
      <c r="E31" s="101" t="s">
        <v>163</v>
      </c>
      <c r="F31" s="116" t="s">
        <v>27</v>
      </c>
      <c r="G31" s="106">
        <v>1400</v>
      </c>
      <c r="H31" s="106">
        <v>1400</v>
      </c>
      <c r="I31" s="108">
        <v>0.25</v>
      </c>
      <c r="J31" s="13">
        <f t="shared" si="0"/>
        <v>350</v>
      </c>
      <c r="K31" s="12">
        <v>0</v>
      </c>
      <c r="L31" s="12">
        <v>0</v>
      </c>
      <c r="M31" s="13">
        <f t="shared" si="1"/>
        <v>350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940</v>
      </c>
      <c r="F32" s="15"/>
      <c r="G32" s="64">
        <f>SUM(G30:G31)</f>
        <v>22500</v>
      </c>
      <c r="H32" s="64">
        <f>SUM(H30:H31)</f>
        <v>20808</v>
      </c>
      <c r="I32" s="102"/>
      <c r="J32" s="17">
        <f>SUM(J30:J31)</f>
        <v>5202</v>
      </c>
      <c r="K32" s="16"/>
      <c r="L32" s="16"/>
      <c r="M32" s="17">
        <f>SUM(M30:M31)</f>
        <v>5202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два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152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UFG-M-77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21100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1400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80C202BA/806274BA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43" sqref="G43:H4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80C202BA/806274BA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UFG-M-77 от  08.09.2025г.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940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21100</v>
      </c>
    </row>
    <row r="20" spans="2:10" ht="13.5" customHeight="1" x14ac:dyDescent="0.3">
      <c r="B20" s="83"/>
      <c r="E20" s="123"/>
      <c r="F20" s="118" t="str">
        <f>+Инвойс!E31</f>
        <v>-</v>
      </c>
      <c r="G20" s="163" t="str">
        <f>+CMR!F31</f>
        <v>Дыни свежие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1400</v>
      </c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940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0" zoomScale="85" zoomScaleNormal="85" workbookViewId="0">
      <selection activeCell="S31" sqref="S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164</v>
      </c>
      <c r="C1" s="171"/>
      <c r="D1" s="171"/>
      <c r="E1" s="171"/>
      <c r="F1" s="153" t="str">
        <f>+Инвойс!F1</f>
        <v xml:space="preserve"> 08.09.2025г.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80C202BA/806274BA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940</v>
      </c>
      <c r="F30" s="116" t="str">
        <f>+Инвойс!F30</f>
        <v>кг</v>
      </c>
      <c r="G30" s="106">
        <f>+Инвойс!G30</f>
        <v>21100</v>
      </c>
      <c r="H30" s="106">
        <f>+Инвойс!H30</f>
        <v>19408</v>
      </c>
      <c r="I30" s="108">
        <f>+Инвойс!I30</f>
        <v>0.25</v>
      </c>
      <c r="J30" s="13">
        <f>+Инвойс!J30</f>
        <v>4852</v>
      </c>
      <c r="K30" s="12">
        <v>0</v>
      </c>
      <c r="L30" s="12">
        <v>0</v>
      </c>
      <c r="M30" s="13">
        <f>+Инвойс!M30</f>
        <v>4852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1400</v>
      </c>
      <c r="H31" s="106">
        <f>+Инвойс!H31</f>
        <v>1400</v>
      </c>
      <c r="I31" s="108">
        <f>+Инвойс!I31</f>
        <v>0.25</v>
      </c>
      <c r="J31" s="13">
        <f>+Инвойс!J31</f>
        <v>350</v>
      </c>
      <c r="K31" s="12">
        <v>0</v>
      </c>
      <c r="L31" s="12">
        <v>0</v>
      </c>
      <c r="M31" s="13">
        <f>+Инвойс!M31</f>
        <v>350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940</v>
      </c>
      <c r="F32" s="15"/>
      <c r="G32" s="64">
        <f>SUM(G30:G31)</f>
        <v>22500</v>
      </c>
      <c r="H32" s="64">
        <f>SUM(H30:H31)</f>
        <v>20808</v>
      </c>
      <c r="I32" s="102"/>
      <c r="J32" s="17">
        <f>SUM(J30:J31)</f>
        <v>5202</v>
      </c>
      <c r="K32" s="16"/>
      <c r="L32" s="16"/>
      <c r="M32" s="17">
        <f>SUM(M30:M31)</f>
        <v>5202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два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1" t="s">
        <v>153</v>
      </c>
      <c r="B37" s="131"/>
      <c r="D37" s="18" t="str">
        <f>+Инвойс!D37</f>
        <v>ЭШТЕМИРОВ Х.Х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5202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45908</v>
      </c>
      <c r="O3" s="178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два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8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5202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2025-09-08T07:37:50Z</cp:lastPrinted>
  <dcterms:created xsi:type="dcterms:W3CDTF">1996-10-14T23:33:28Z</dcterms:created>
  <dcterms:modified xsi:type="dcterms:W3CDTF">2025-09-08T07:37:54Z</dcterms:modified>
</cp:coreProperties>
</file>