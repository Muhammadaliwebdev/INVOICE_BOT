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3FAA019-D85B-4267-9FAF-002C693A08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<sst xmlns="http://schemas.openxmlformats.org/spreadsheetml/2006/main" count="209" uniqueCount="163">
  <si>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</si>
  <si>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</si>
  <si>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</si>
  <si>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</si>
  <si>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</si>
  <si>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</si>
  <si>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</si>
  <si>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</si>
  <si>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</si>
  <si>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</si>
  <si>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</si>
  <si>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</si>
  <si>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</si>
  <si>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</si>
  <si>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</si>
  <si>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</si>
  <si>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</si>
  <si>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</si>
  <si>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</si>
  <si>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</si>
  <si>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</si>
  <si>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</si>
  <si>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</si>
  <si>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</si>
  <si>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</si>
  <si>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</si>
  <si>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</si>
  <si>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</si>
  <si>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</si>
  <si>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</si>
  <si>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</si>
  <si>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</si>
  <si>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</si>
  <si>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</si>
  <si>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</si>
  <si>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</si>
  <si>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</si>
  <si>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</si>
  <si>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</si>
  <si>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</si>
  <si>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</si>
  <si>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</si>
  <si>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</si>
  <si>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</si>
  <si>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</si>
  <si>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</si>
  <si>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</si>
  <si>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</si>
  <si>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</si>
  <si>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</si>
  <si>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</si>
  <si>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</si>
  <si>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</si>
  <si>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</si>
  <si>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</si>
  <si>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</si>
  <si>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</si>
  <si>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</si>
  <si>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</si>
  <si>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</si>
  <si>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</si>
  <si>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</si>
  <si>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</si>
  <si>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</si>
  <si>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</si>
  <si>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</si>
  <si>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</si>
  <si>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</si>
  <si>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</si>
  <si>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</si>
  <si>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</si>
  <si>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</si>
  <si>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</si>
  <si>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</si>
  <si>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</si>
  <si>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</si>
  <si>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</si>
  <si>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</si>
  <si>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</si>
  <si>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</si>
  <si>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</si>
  <si>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</si>
  <si>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</si>
  <si>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</si>
  <si>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</si>
  <si>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</si>
  <si>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</si>
  <si>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</si>
  <si>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</si>
  <si>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</si>
  <si>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</si>
  <si>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</si>
  <si>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</si>
  <si>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</si>
  <si>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</si>
  <si>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</si>
  <si>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</si>
  <si>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</si>
  <si>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</si>
  <si>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</si>
  <si>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</si>
  <si>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</si>
  <si>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</si>
  <si>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</si>
  <si>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</si>
  <si>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</si>
  <si>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</si>
  <si>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</si>
  <si>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</si>
  <si>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</si>
  <si>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</si>
  <si>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</si>
  <si>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</si>
  <si>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</si>
  <si>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</si>
  <si>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</si>
  <si>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</si>
  <si>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</si>
  <si>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</si>
  <si>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</si>
  <si>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</si>
  <si>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</si>
  <si>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</si>
  <si>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</si>
  <si>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</si>
  <si>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</si>
  <si>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</si>
  <si>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</si>
  <si>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</si>
  <si>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</si>
  <si>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</si>
  <si>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</si>
  <si>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</si>
  <si>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</si>
  <si>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</si>
  <si>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</si>
  <si>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</si>
  <si>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</si>
  <si>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</si>
  <si>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</si>
  <si>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«VISTOTRADE»</t>
  </si>
  <si>
    <t xml:space="preserve">Республика Узбекистан. Кашкадарьинская область, </t>
  </si>
  <si>
    <t>в АКБ «KAPITAL BANK» МФО: 01158</t>
  </si>
  <si>
    <t>р/с: 20208840407263267001 (доллар США)</t>
  </si>
  <si>
    <t>SWIFT: KACHUZ22</t>
  </si>
  <si>
    <t>ИНН: 312236782</t>
  </si>
  <si>
    <t>Авазов К.Ф</t>
  </si>
  <si>
    <t>Директор:  ООО «VISTOTRADE»</t>
  </si>
  <si>
    <t>Г. Гулам, МФУ, улица Гузара, дом 14</t>
  </si>
  <si>
    <t>к контракту № GR-VT-01 от 22.08.2025 года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</si>
  <si>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</si>
  <si>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</si>
  <si>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</si>
  <si>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</si>
  <si>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</si>
  <si>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</si>
  <si>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</si>
  <si>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</si>
  <si>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</si>
  <si>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VG-N-23 от </t>
  </si>
  <si>
    <t xml:space="preserve"> 27.08.2025г.</t>
  </si>
  <si>
    <t>30A773KB/300205BA</t>
  </si>
  <si>
    <t xml:space="preserve">СПЕЦИФИКАЦИЯ № VG-N-23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</si>
</sst>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89649</xdr:colOff>
      <xdr:row>36</xdr:row>
      <xdr:rowOff>89647</xdr:rowOff>
    </xdr:from>
    <xdr:to>
      <xdr:col>4</xdr:col>
      <xdr:colOff>166394</xdr:colOff>
      <xdr:row>39</xdr:row>
      <xdr:rowOff>171674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72503EC-7FB5-41AD-F313-3C4E70CCB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0914" y="20428323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739588</xdr:colOff>
      <xdr:row>36</xdr:row>
      <xdr:rowOff>100852</xdr:rowOff>
    </xdr:from>
    <xdr:to>
      <xdr:col>3</xdr:col>
      <xdr:colOff>47624</xdr:colOff>
      <xdr:row>48</xdr:row>
      <xdr:rowOff>147917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33AF74A-0D5C-A2D4-104B-AEBBDF133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176" y="20439528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504267</xdr:colOff>
      <xdr:row>36</xdr:row>
      <xdr:rowOff>145677</xdr:rowOff>
    </xdr:from>
    <xdr:to>
      <xdr:col>3</xdr:col>
      <xdr:colOff>569805</xdr:colOff>
      <xdr:row>40</xdr:row>
      <xdr:rowOff>44824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D272AFB-9F9E-491E-95FD-0A1ADD669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5943" y="19363765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414617</xdr:colOff>
      <xdr:row>36</xdr:row>
      <xdr:rowOff>156882</xdr:rowOff>
    </xdr:from>
    <xdr:to>
      <xdr:col>2</xdr:col>
      <xdr:colOff>462242</xdr:colOff>
      <xdr:row>49</xdr:row>
      <xdr:rowOff>47065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11BB9AD-03DF-4FBE-852B-33837A4DD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205" y="19374970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448235</xdr:colOff>
      <xdr:row>36</xdr:row>
      <xdr:rowOff>145676</xdr:rowOff>
    </xdr:from>
    <xdr:to>
      <xdr:col>9</xdr:col>
      <xdr:colOff>634813</xdr:colOff>
      <xdr:row>48</xdr:row>
      <xdr:rowOff>72929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F2FC92E-0823-4DFC-9CDB-86FF17136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2794" y="19173264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6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4" t="s">
        <v>159</v>
      </c>
      <c r="D1" s="154"/>
      <c r="E1" s="154"/>
      <c r="F1" s="153" t="s">
        <v>160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">
        <v>149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">
        <v>140</v>
      </c>
      <c r="B5" s="155"/>
      <c r="C5" s="155"/>
      <c r="D5" s="155"/>
      <c r="E5" s="155"/>
      <c r="F5" s="6"/>
      <c r="G5" s="148" t="s">
        <v>150</v>
      </c>
      <c r="H5" s="148"/>
      <c r="I5" s="148"/>
      <c r="J5" s="148"/>
      <c r="K5" s="148"/>
      <c r="L5" s="148"/>
      <c r="M5" s="148"/>
    </row>
    <row r="6" spans="1:15" ht="13.8" x14ac:dyDescent="0.25">
      <c r="A6" s="143" t="s">
        <v>141</v>
      </c>
      <c r="B6" s="142"/>
      <c r="C6" s="142"/>
      <c r="D6" s="142"/>
      <c r="E6" s="142"/>
      <c r="F6" s="7"/>
      <c r="G6" s="141" t="s">
        <v>151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42" t="s">
        <v>148</v>
      </c>
      <c r="B7" s="142"/>
      <c r="C7" s="142"/>
      <c r="D7" s="142"/>
      <c r="E7" s="142"/>
      <c r="F7" s="63"/>
      <c r="G7" s="141" t="s">
        <v>152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142</v>
      </c>
      <c r="B8" s="8"/>
      <c r="C8" s="8"/>
      <c r="D8" s="8"/>
      <c r="E8" s="8"/>
      <c r="F8" s="63"/>
      <c r="G8" s="7" t="s">
        <v>153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143</v>
      </c>
      <c r="B9" s="8"/>
      <c r="C9" s="8"/>
      <c r="D9" s="8"/>
      <c r="E9" s="8"/>
      <c r="F9" s="7"/>
      <c r="G9" s="7" t="s">
        <v>154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144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145</v>
      </c>
      <c r="B11" s="8"/>
      <c r="C11" s="8"/>
      <c r="D11" s="8"/>
      <c r="E11" s="8"/>
      <c r="F11" s="7"/>
      <c r="G11" s="7" t="s">
        <v>155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4" t="s">
        <v>156</v>
      </c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">
        <v>140</v>
      </c>
      <c r="B14" s="155"/>
      <c r="C14" s="155"/>
      <c r="D14" s="155"/>
      <c r="E14" s="155"/>
      <c r="F14" s="6"/>
      <c r="G14" s="148" t="s">
        <v>150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">
        <v>141</v>
      </c>
      <c r="B15" s="142"/>
      <c r="C15" s="142"/>
      <c r="D15" s="142"/>
      <c r="E15" s="142"/>
      <c r="F15" s="7"/>
      <c r="G15" s="141" t="s">
        <v>151</v>
      </c>
      <c r="H15" s="141"/>
      <c r="I15" s="141"/>
      <c r="J15" s="141"/>
      <c r="K15" s="141"/>
      <c r="L15" s="141"/>
      <c r="M15" s="141"/>
    </row>
    <row r="16" spans="1:15" ht="13.8" x14ac:dyDescent="0.25">
      <c r="A16" s="142" t="s">
        <v>148</v>
      </c>
      <c r="B16" s="142"/>
      <c r="C16" s="142"/>
      <c r="D16" s="142"/>
      <c r="E16" s="142"/>
      <c r="F16" s="63"/>
      <c r="G16" s="141" t="s">
        <v>152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142</v>
      </c>
      <c r="B17" s="8"/>
      <c r="C17" s="8"/>
      <c r="D17" s="8"/>
      <c r="E17" s="8"/>
      <c r="F17" s="63"/>
      <c r="G17" s="7" t="s">
        <v>153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143</v>
      </c>
      <c r="B18" s="8"/>
      <c r="C18" s="8"/>
      <c r="D18" s="8"/>
      <c r="E18" s="8"/>
      <c r="F18" s="7"/>
      <c r="G18" s="7" t="s">
        <v>154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144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145</v>
      </c>
      <c r="B20" s="8"/>
      <c r="C20" s="8"/>
      <c r="D20" s="8"/>
      <c r="E20" s="8"/>
      <c r="F20" s="7"/>
      <c r="G20" s="7" t="s">
        <v>155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4" t="s">
        <v>156</v>
      </c>
      <c r="H21" s="144"/>
      <c r="I21" s="144"/>
      <c r="J21" s="144"/>
      <c r="K21" s="144"/>
      <c r="L21" s="144"/>
      <c r="M21" s="144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8" t="s">
        <v>118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6" x14ac:dyDescent="0.3">
      <c r="A24" s="20" t="s">
        <v>22</v>
      </c>
      <c r="C24" s="18" t="s">
        <v>138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">
        <v>161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7.6" x14ac:dyDescent="0.25">
      <c r="A30" s="127">
        <v>1</v>
      </c>
      <c r="B30" s="101" t="s">
        <v>126</v>
      </c>
      <c r="C30" s="107" t="s">
        <v>127</v>
      </c>
      <c r="D30" s="109" t="s">
        <v>112</v>
      </c>
      <c r="E30" s="101">
        <v>970</v>
      </c>
      <c r="F30" s="110" t="s">
        <v>27</v>
      </c>
      <c r="G30" s="106">
        <v>23000</v>
      </c>
      <c r="H30" s="106">
        <v>21254</v>
      </c>
      <c r="I30" s="108">
        <v>0.25</v>
      </c>
      <c r="J30" s="13">
        <f t="shared" ref="J30" si="0">H30*I30</f>
        <v>5313.5</v>
      </c>
      <c r="K30" s="12">
        <v>0</v>
      </c>
      <c r="L30" s="12">
        <v>0</v>
      </c>
      <c r="M30" s="13">
        <f t="shared" ref="M30" si="1">J30</f>
        <v>5313.5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970</v>
      </c>
      <c r="F31" s="15"/>
      <c r="G31" s="64">
        <f>SUM(G30:G30)</f>
        <v>23000</v>
      </c>
      <c r="H31" s="64">
        <f>SUM(H30:H30)</f>
        <v>21254</v>
      </c>
      <c r="I31" s="102"/>
      <c r="J31" s="17">
        <f>SUM(J30:J30)</f>
        <v>5313.5</v>
      </c>
      <c r="K31" s="16"/>
      <c r="L31" s="16"/>
      <c r="M31" s="17">
        <f>SUM(M30:M30)</f>
        <v>5313.5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триста тринадцать долларов США, 50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 t="s">
        <v>109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3.8" x14ac:dyDescent="0.25">
      <c r="A36" s="7" t="s">
        <v>28</v>
      </c>
      <c r="B36" s="7"/>
      <c r="D36" s="25" t="s">
        <v>146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F35" sqref="F35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«VISTOTRADE»</v>
      </c>
    </row>
    <row r="3" spans="1:11" ht="11.25" customHeight="1" x14ac:dyDescent="0.2">
      <c r="B3" s="70" t="str">
        <f>+Инвойс!A6</f>
        <v xml:space="preserve">Республика Узбекистан. Кашкадарьинская область, </v>
      </c>
    </row>
    <row r="4" spans="1:11" ht="11.25" customHeight="1" x14ac:dyDescent="0.2">
      <c r="B4" s="70" t="str">
        <f>+Инвойс!A7</f>
        <v>Г. Гулам, МФУ, улица Гузара, дом 14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27.08.2025г.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VG-N-23 от  27.08.2025г.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970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"Уралкомплект" 10412130 - т/п Оренбургский
460027, Оренбургская обл., г. Оренбург, ул. Донгузская, д. 62А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27.08.2025г.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30A773KB/300205BA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G29" sqref="G29:H29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8" t="s">
        <v>96</v>
      </c>
      <c r="C2" s="168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9" t="str">
        <f>+Инвойс!E26</f>
        <v>30A773KB/300205BA</v>
      </c>
      <c r="C14" s="169"/>
      <c r="D14" s="169"/>
      <c r="E14" s="169"/>
      <c r="F14" s="169"/>
      <c r="G14" s="169"/>
      <c r="H14" s="170" t="s">
        <v>107</v>
      </c>
      <c r="I14" s="170"/>
      <c r="J14" s="88" t="str">
        <f>+Инвойс!F1</f>
        <v xml:space="preserve"> 27.08.2025г.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1" t="str">
        <f>+CMR!B24</f>
        <v>ИНВОЙС № VG-N-23 от  27.08.2025г.</v>
      </c>
      <c r="I15" s="171"/>
      <c r="J15" s="171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970</v>
      </c>
      <c r="G18" s="163" t="str">
        <f>+CMR!F30</f>
        <v>Дыни свежие</v>
      </c>
      <c r="H18" s="163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23000</v>
      </c>
    </row>
    <row r="20" spans="2:10" ht="13.5" customHeight="1" x14ac:dyDescent="0.3">
      <c r="B20" s="83"/>
      <c r="E20" s="123"/>
      <c r="F20" s="118"/>
      <c r="G20" s="163"/>
      <c r="H20" s="163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3"/>
      <c r="H22" s="163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3"/>
      <c r="H24" s="163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3"/>
      <c r="H26" s="163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3"/>
      <c r="H28" s="163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3"/>
      <c r="H30" s="163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3"/>
      <c r="H32" s="163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3"/>
      <c r="H34" s="163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3"/>
      <c r="H36" s="163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3"/>
      <c r="H38" s="163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3"/>
      <c r="H42" s="163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5"/>
      <c r="H44" s="165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6">
        <f>+F18+F20+F22+F24+F26+F28+F30+F32+F34+F36+F38+F40+F42</f>
        <v>970</v>
      </c>
      <c r="E47" s="167"/>
    </row>
    <row r="48" spans="2:10" ht="17.25" customHeight="1" x14ac:dyDescent="0.3">
      <c r="B48" s="164" t="s">
        <v>105</v>
      </c>
      <c r="C48" s="164"/>
      <c r="D48" s="164"/>
      <c r="E48" s="164"/>
    </row>
    <row r="49" spans="2:5" ht="21.75" customHeight="1" x14ac:dyDescent="0.3">
      <c r="B49" s="164"/>
      <c r="C49" s="164"/>
      <c r="D49" s="164"/>
      <c r="E49" s="164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25" zoomScale="85" zoomScaleNormal="85" workbookViewId="0">
      <selection activeCell="C31" sqref="C31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162</v>
      </c>
      <c r="C1" s="172"/>
      <c r="D1" s="172"/>
      <c r="E1" s="172"/>
      <c r="F1" s="153" t="str">
        <f>+Инвойс!F1</f>
        <v xml:space="preserve"> 27.08.2025г.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tr">
        <f>+Инвойс!C2</f>
        <v>к контракту № GR-VT-01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tr">
        <f>+Инвойс!A5</f>
        <v>ООО «VISTOTRADE»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3.8" x14ac:dyDescent="0.25">
      <c r="A6" s="143" t="str">
        <f>+Инвойс!A6</f>
        <v xml:space="preserve">Республика Узбекистан. Кашкадарьинская область, </v>
      </c>
      <c r="B6" s="143"/>
      <c r="C6" s="143"/>
      <c r="D6" s="143"/>
      <c r="E6" s="143"/>
      <c r="F6" s="7"/>
      <c r="G6" s="173" t="str">
        <f>+Инвойс!G6</f>
        <v xml:space="preserve">454106, ЧЕЛЯБИНСКАЯ ОБЛАСТЬ, Г ЧЕЛЯБИНСК, </v>
      </c>
      <c r="H6" s="173"/>
      <c r="I6" s="173"/>
      <c r="J6" s="173"/>
      <c r="K6" s="173"/>
      <c r="L6" s="173"/>
      <c r="M6" s="173"/>
      <c r="N6" s="4"/>
    </row>
    <row r="7" spans="1:15" ht="13.8" x14ac:dyDescent="0.25">
      <c r="A7" s="143" t="str">
        <f>+Инвойс!A7</f>
        <v>Г. Гулам, МФУ, улица Гузара, дом 14</v>
      </c>
      <c r="B7" s="143"/>
      <c r="C7" s="143"/>
      <c r="D7" s="143"/>
      <c r="E7" s="143"/>
      <c r="F7" s="63"/>
      <c r="G7" s="173" t="str">
        <f>+Инвойс!G7</f>
        <v>УЛ ОСТРОВСКОГО, Д. 36, КВ. 176</v>
      </c>
      <c r="H7" s="173"/>
      <c r="I7" s="173"/>
      <c r="J7" s="173"/>
      <c r="K7" s="173"/>
      <c r="L7" s="173"/>
      <c r="M7" s="173"/>
    </row>
    <row r="8" spans="1:15" ht="15" customHeight="1" x14ac:dyDescent="0.25">
      <c r="A8" s="143" t="str">
        <f>+Инвойс!A8</f>
        <v>в АКБ «KAPITAL BANK» МФО: 01158</v>
      </c>
      <c r="B8" s="143"/>
      <c r="C8" s="143"/>
      <c r="D8" s="143"/>
      <c r="E8" s="143"/>
      <c r="F8" s="63"/>
      <c r="G8" s="173" t="str">
        <f>+Инвойс!G8</f>
        <v>ИНН/ КПП 7448223299 / 744801001</v>
      </c>
      <c r="H8" s="173"/>
      <c r="I8" s="173"/>
      <c r="J8" s="173"/>
      <c r="K8" s="173"/>
      <c r="L8" s="173"/>
      <c r="M8" s="173"/>
    </row>
    <row r="9" spans="1:15" ht="13.8" x14ac:dyDescent="0.25">
      <c r="A9" s="143" t="str">
        <f>+Инвойс!A9</f>
        <v>р/с: 20208840407263267001 (доллар США)</v>
      </c>
      <c r="B9" s="143"/>
      <c r="C9" s="143"/>
      <c r="D9" s="143"/>
      <c r="E9" s="143"/>
      <c r="F9" s="7"/>
      <c r="G9" s="173" t="str">
        <f>+Инвойс!G9</f>
        <v>р/с 40702810000000024357</v>
      </c>
      <c r="H9" s="173"/>
      <c r="I9" s="173"/>
      <c r="J9" s="173"/>
      <c r="K9" s="173"/>
      <c r="L9" s="173"/>
      <c r="M9" s="173"/>
      <c r="O9" s="7"/>
    </row>
    <row r="10" spans="1:15" ht="13.8" x14ac:dyDescent="0.25">
      <c r="A10" s="143" t="str">
        <f>+Инвойс!A10</f>
        <v>SWIFT: KACHUZ22</v>
      </c>
      <c r="B10" s="143"/>
      <c r="C10" s="143"/>
      <c r="D10" s="143"/>
      <c r="E10" s="143"/>
      <c r="F10" s="7"/>
      <c r="G10" s="173" t="str">
        <f>+Инвойс!G10</f>
        <v>Корр. счет: 30101810445250000234</v>
      </c>
      <c r="H10" s="173"/>
      <c r="I10" s="173"/>
      <c r="J10" s="173"/>
      <c r="K10" s="173"/>
      <c r="L10" s="173"/>
      <c r="M10" s="173"/>
    </row>
    <row r="11" spans="1:15" ht="13.8" x14ac:dyDescent="0.25">
      <c r="A11" s="143" t="str">
        <f>+Инвойс!A11</f>
        <v>ИНН: 312236782</v>
      </c>
      <c r="B11" s="143"/>
      <c r="C11" s="143"/>
      <c r="D11" s="143"/>
      <c r="E11" s="143"/>
      <c r="F11" s="7"/>
      <c r="G11" s="173" t="str">
        <f>+Инвойс!G11</f>
        <v>Азия-Инвест Банк (АО) г. Москва</v>
      </c>
      <c r="H11" s="173"/>
      <c r="I11" s="173"/>
      <c r="J11" s="173"/>
      <c r="K11" s="173"/>
      <c r="L11" s="173"/>
      <c r="M11" s="173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tr">
        <f>+Инвойс!A14</f>
        <v>ООО «VISTOTRADE»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tr">
        <f>+Инвойс!A15</f>
        <v xml:space="preserve">Республика Узбекистан. Кашкадарьинская область, </v>
      </c>
      <c r="B15" s="143"/>
      <c r="C15" s="143"/>
      <c r="D15" s="143"/>
      <c r="E15" s="143"/>
      <c r="F15" s="7"/>
      <c r="G15" s="173" t="str">
        <f>+Инвойс!G15</f>
        <v xml:space="preserve">454106, ЧЕЛЯБИНСКАЯ ОБЛАСТЬ, Г ЧЕЛЯБИНСК, </v>
      </c>
      <c r="H15" s="173"/>
      <c r="I15" s="173"/>
      <c r="J15" s="173"/>
      <c r="K15" s="173"/>
      <c r="L15" s="173"/>
      <c r="M15" s="173"/>
    </row>
    <row r="16" spans="1:15" ht="13.8" x14ac:dyDescent="0.25">
      <c r="A16" s="143" t="str">
        <f>+Инвойс!A16</f>
        <v>Г. Гулам, МФУ, улица Гузара, дом 14</v>
      </c>
      <c r="B16" s="143"/>
      <c r="C16" s="143"/>
      <c r="D16" s="143"/>
      <c r="E16" s="143"/>
      <c r="F16" s="63"/>
      <c r="G16" s="173" t="str">
        <f>+Инвойс!G16</f>
        <v>УЛ ОСТРОВСКОГО, Д. 36, КВ. 176</v>
      </c>
      <c r="H16" s="173"/>
      <c r="I16" s="173"/>
      <c r="J16" s="173"/>
      <c r="K16" s="173"/>
      <c r="L16" s="173"/>
      <c r="M16" s="173"/>
    </row>
    <row r="17" spans="1:17" ht="15" customHeight="1" x14ac:dyDescent="0.25">
      <c r="A17" s="143" t="str">
        <f>+Инвойс!A17</f>
        <v>в АКБ «KAPITAL BANK» МФО: 01158</v>
      </c>
      <c r="B17" s="143"/>
      <c r="C17" s="143"/>
      <c r="D17" s="143"/>
      <c r="E17" s="143"/>
      <c r="F17" s="63"/>
      <c r="G17" s="173" t="str">
        <f>+Инвойс!G17</f>
        <v>ИНН/ КПП 7448223299 / 744801001</v>
      </c>
      <c r="H17" s="173"/>
      <c r="I17" s="173"/>
      <c r="J17" s="173"/>
      <c r="K17" s="173"/>
      <c r="L17" s="173"/>
      <c r="M17" s="173"/>
    </row>
    <row r="18" spans="1:17" ht="13.8" x14ac:dyDescent="0.25">
      <c r="A18" s="143" t="str">
        <f>+Инвойс!A18</f>
        <v>р/с: 20208840407263267001 (доллар США)</v>
      </c>
      <c r="B18" s="143"/>
      <c r="C18" s="143"/>
      <c r="D18" s="143"/>
      <c r="E18" s="143"/>
      <c r="F18" s="7"/>
      <c r="G18" s="173" t="str">
        <f>+Инвойс!G18</f>
        <v>р/с 40702810000000024357</v>
      </c>
      <c r="H18" s="173"/>
      <c r="I18" s="173"/>
      <c r="J18" s="173"/>
      <c r="K18" s="173"/>
      <c r="L18" s="173"/>
      <c r="M18" s="173"/>
    </row>
    <row r="19" spans="1:17" ht="13.8" x14ac:dyDescent="0.25">
      <c r="A19" s="143" t="str">
        <f>+Инвойс!A19</f>
        <v>SWIFT: KACHUZ22</v>
      </c>
      <c r="B19" s="143"/>
      <c r="C19" s="143"/>
      <c r="D19" s="143"/>
      <c r="E19" s="143"/>
      <c r="F19" s="7"/>
      <c r="G19" s="173" t="str">
        <f>+Инвойс!G19</f>
        <v>Корр. счет: 30101810445250000234</v>
      </c>
      <c r="H19" s="173"/>
      <c r="I19" s="173"/>
      <c r="J19" s="173"/>
      <c r="K19" s="173"/>
      <c r="L19" s="173"/>
      <c r="M19" s="173"/>
    </row>
    <row r="20" spans="1:17" ht="13.8" x14ac:dyDescent="0.25">
      <c r="A20" s="143" t="str">
        <f>+Инвойс!A20</f>
        <v>ИНН: 312236782</v>
      </c>
      <c r="B20" s="143"/>
      <c r="C20" s="143"/>
      <c r="D20" s="143"/>
      <c r="E20" s="143"/>
      <c r="F20" s="7"/>
      <c r="G20" s="173" t="str">
        <f>+Инвойс!G20</f>
        <v>Азия-Инвест Банк (АО) г. Москва</v>
      </c>
      <c r="H20" s="173"/>
      <c r="I20" s="173"/>
      <c r="J20" s="173"/>
      <c r="K20" s="173"/>
      <c r="L20" s="173"/>
      <c r="M20" s="173"/>
    </row>
    <row r="21" spans="1:17" ht="13.8" x14ac:dyDescent="0.25">
      <c r="A21" s="143"/>
      <c r="B21" s="143"/>
      <c r="C21" s="143"/>
      <c r="D21" s="143"/>
      <c r="E21" s="143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4" t="s">
        <v>115</v>
      </c>
      <c r="D23" s="174"/>
      <c r="E23" s="174"/>
      <c r="F23" s="174"/>
      <c r="G23" s="174"/>
      <c r="H23" s="174"/>
      <c r="I23" s="174"/>
      <c r="J23" s="174"/>
      <c r="K23" s="174"/>
      <c r="L23" s="174"/>
      <c r="M23" s="174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tr">
        <f>+Инвойс!E26</f>
        <v>30A773KB/300205BA</v>
      </c>
      <c r="F26" s="140"/>
      <c r="G26" s="140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4.6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970</v>
      </c>
      <c r="F30" s="116" t="str">
        <f>+Инвойс!F30</f>
        <v>кг</v>
      </c>
      <c r="G30" s="106">
        <f>+Инвойс!G30</f>
        <v>23000</v>
      </c>
      <c r="H30" s="106">
        <f>+Инвойс!H30</f>
        <v>21254</v>
      </c>
      <c r="I30" s="108">
        <f>+Инвойс!I30</f>
        <v>0.25</v>
      </c>
      <c r="J30" s="13">
        <f>+Инвойс!J30</f>
        <v>5313.5</v>
      </c>
      <c r="K30" s="12">
        <v>0</v>
      </c>
      <c r="L30" s="12">
        <v>0</v>
      </c>
      <c r="M30" s="13">
        <f>+Инвойс!M30</f>
        <v>5313.5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970</v>
      </c>
      <c r="F31" s="15"/>
      <c r="G31" s="64">
        <f>SUM(G30:G30)</f>
        <v>23000</v>
      </c>
      <c r="H31" s="64">
        <f>SUM(H30:H30)</f>
        <v>21254</v>
      </c>
      <c r="I31" s="102"/>
      <c r="J31" s="17">
        <f>SUM(J30:J30)</f>
        <v>5313.5</v>
      </c>
      <c r="K31" s="16"/>
      <c r="L31" s="16"/>
      <c r="M31" s="17">
        <f>SUM(M30:M30)</f>
        <v>5313.5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триста тринадцать долларов США, 50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6" x14ac:dyDescent="0.3">
      <c r="A36" s="131" t="s">
        <v>147</v>
      </c>
      <c r="B36" s="131"/>
      <c r="D36" s="18" t="str">
        <f>+Инвойс!D36</f>
        <v>Авазов К.Ф</v>
      </c>
      <c r="E36" s="132"/>
      <c r="G36" s="129" t="s">
        <v>130</v>
      </c>
      <c r="H36" s="18" t="str">
        <f>Инвойс!G5</f>
        <v>ООО «ГРИН ВОРЛД»</v>
      </c>
      <c r="K36" s="133" t="s">
        <v>157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128</v>
      </c>
    </row>
    <row r="5" spans="1:10" ht="39.6" x14ac:dyDescent="0.25">
      <c r="A5" s="126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6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6" t="s">
        <v>119</v>
      </c>
    </row>
    <row r="10" spans="1:10" x14ac:dyDescent="0.25">
      <c r="A10" s="126"/>
      <c r="E10" s="18" t="s">
        <v>134</v>
      </c>
      <c r="J10" s="25" t="s">
        <v>135</v>
      </c>
    </row>
    <row r="11" spans="1:10" ht="52.8" x14ac:dyDescent="0.25">
      <c r="A11" s="126" t="s">
        <v>158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6" t="s">
        <v>120</v>
      </c>
    </row>
    <row r="15" spans="1:10" ht="39.6" x14ac:dyDescent="0.25">
      <c r="A15" s="126" t="s">
        <v>121</v>
      </c>
    </row>
    <row r="17" spans="1:1" ht="39.6" x14ac:dyDescent="0.25">
      <c r="A17" s="126" t="s">
        <v>122</v>
      </c>
    </row>
    <row r="19" spans="1:1" ht="39.6" x14ac:dyDescent="0.25">
      <c r="A19" s="128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5313.5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триста тринадцать долларов США, 50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45896</v>
      </c>
      <c r="O3" s="178"/>
      <c r="P3">
        <f ca="1">DAY(N3)</f>
        <v>27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триста тринадцать долларов США, 50 центов. (в т.ч. НДС - 357,79)</v>
      </c>
      <c r="H4" s="32"/>
      <c r="I4" s="32"/>
      <c r="J4" s="32"/>
      <c r="K4" s="179" t="str">
        <f ca="1">CONCATENATE(" «  ",P3,"  »  ",Q3,"  ",R3," г.")</f>
        <v xml:space="preserve"> «  27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триста тринадцать долларов США, 50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триста тринадцать долларов США, 50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триста тринадцать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50 центов.</v>
      </c>
      <c r="D12" s="47"/>
      <c r="E12" s="48"/>
      <c r="M12" s="50">
        <f ca="1">TODAY()</f>
        <v>45896</v>
      </c>
    </row>
    <row r="13" spans="1:19" s="43" customFormat="1" x14ac:dyDescent="0.25">
      <c r="A13" s="49"/>
      <c r="D13" s="51"/>
      <c r="E13" s="52">
        <f>TRUNC(E2)</f>
        <v>5313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5">
      <c r="A28" s="54">
        <f>TRUNC(A29/10)</f>
        <v>531</v>
      </c>
      <c r="B28" s="58">
        <f>TRUNC(RIGHT(A28))</f>
        <v>1</v>
      </c>
      <c r="C28" s="51" t="str">
        <f>IF(B28=1,"",B28)</f>
        <v/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5">
      <c r="A29" s="54">
        <f>E13</f>
        <v>5313</v>
      </c>
      <c r="B29" s="47">
        <f>TRUNC(RIGHT(A29))</f>
        <v>3</v>
      </c>
      <c r="C29" s="51">
        <f>IF(B28=1,B29+10,IF(B29=0,0,B29))</f>
        <v>13</v>
      </c>
      <c r="D29" s="43" t="str">
        <f>IF(AND(C29&gt;9,C29&lt;16),IF(C29=10,D34,IF(C29=11,D35,IF(C29=12,D36,IF(C29=13,D37,IF(C29=14,D38,IF(C29=15,D39,)))))),"")</f>
        <v xml:space="preserve">тринадцать </v>
      </c>
      <c r="E29" s="56" t="str">
        <f>IF(B29=1,A34,IF(B29=2,A35,IF(B29=3,A36,IF(B29=4,A37,IF(B29=5,A38,IF(B29=6,A39,IF(B29=7,A40,IF(B29=8,A41,A42))))))))</f>
        <v xml:space="preserve">три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313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2025-08-27T10:43:05Z</cp:lastPrinted>
  <dcterms:created xsi:type="dcterms:W3CDTF">1996-10-14T23:33:28Z</dcterms:created>
  <dcterms:modified xsi:type="dcterms:W3CDTF">2025-08-27T10:43:09Z</dcterms:modified>
</cp:coreProperties>
</file>