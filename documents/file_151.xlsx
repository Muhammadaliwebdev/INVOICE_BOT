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H30" i="7"/>
  <c r="G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A31" i="3" l="1"/>
  <c r="C31" i="3" s="1"/>
  <c r="C32" i="3" s="1"/>
  <c r="E32" i="3" s="1"/>
  <c r="B28" i="3"/>
  <c r="C28" i="3" s="1"/>
  <c r="E28" i="3" s="1"/>
  <c r="B29" i="3"/>
  <c r="E29" i="3" s="1"/>
  <c r="A25" i="3"/>
  <c r="B27" i="3"/>
  <c r="A12" i="3" l="1"/>
  <c r="E31" i="3"/>
  <c r="C29" i="3"/>
  <c r="B25" i="3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<sst xmlns="http://schemas.openxmlformats.org/spreadsheetml/2006/main" count="217" uniqueCount="175">
  <si>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</si>
  <si>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</si>
  <si>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</si>
  <si>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</si>
  <si>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</si>
  <si>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</si>
  <si>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</si>
  <si>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</si>
  <si>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</si>
  <si>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</si>
  <si>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</si>
  <si>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</si>
  <si>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</si>
  <si>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</si>
  <si>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</si>
  <si>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</si>
  <si>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</si>
  <si>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</si>
  <si>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</si>
  <si>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</si>
  <si>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</si>
  <si>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</si>
  <si>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</si>
  <si>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</si>
  <si>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</si>
  <si>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</si>
  <si>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</si>
  <si>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</si>
  <si>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</si>
  <si>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</si>
  <si>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</si>
  <si>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</si>
  <si>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</si>
  <si>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</si>
  <si>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</si>
  <si>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</si>
  <si>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</si>
  <si>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</si>
  <si>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</si>
  <si>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</si>
  <si>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</si>
  <si>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</si>
  <si>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</si>
  <si>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</si>
  <si>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</si>
  <si>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</si>
  <si>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</si>
  <si>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</si>
  <si>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</si>
  <si>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</si>
  <si>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</si>
  <si>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</si>
  <si>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</si>
  <si>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</si>
  <si>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</si>
  <si>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</si>
  <si>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</si>
  <si>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</si>
  <si>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</si>
  <si>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</si>
  <si>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</si>
  <si>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</si>
  <si>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</si>
  <si>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</si>
  <si>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</si>
  <si>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</si>
  <si>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</si>
  <si>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</si>
  <si>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</si>
  <si>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</si>
  <si>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</si>
  <si>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</si>
  <si>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</si>
  <si>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</si>
  <si>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</si>
  <si>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</si>
  <si>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</si>
  <si>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</si>
  <si>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</si>
  <si>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</si>
  <si>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</si>
  <si>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</si>
  <si>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</si>
  <si>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</si>
  <si>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</si>
  <si>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</si>
  <si>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</si>
  <si>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</si>
  <si>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</si>
  <si>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</si>
  <si>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</si>
  <si>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</si>
  <si>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</si>
  <si>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</si>
  <si>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</si>
  <si>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</si>
  <si>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</si>
  <si>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</si>
  <si>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</si>
  <si>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</si>
  <si>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</si>
  <si>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</si>
  <si>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</si>
  <si>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</si>
  <si>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</si>
  <si>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</si>
  <si>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</si>
  <si>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</si>
  <si>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</si>
  <si>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</si>
  <si>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</si>
  <si>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</si>
  <si>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</si>
  <si>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</si>
  <si>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</si>
  <si>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</si>
  <si>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</si>
  <si>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</si>
  <si>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</si>
  <si>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</si>
  <si>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</si>
  <si>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</si>
  <si>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</si>
  <si>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</si>
  <si>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</si>
  <si>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</si>
  <si>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</si>
  <si>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</si>
  <si>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</si>
  <si>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</si>
  <si>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</si>
  <si>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</si>
  <si>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</si>
  <si>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</si>
  <si>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</si>
  <si>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</si>
  <si>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</si>
  <si>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</si>
  <si>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</si>
  <si>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</si>
  <si>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</si>
  <si>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</si>
  <si>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</si>
  <si>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</si>
  <si>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</si>
  <si>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</si>
  <si>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</si>
  <si>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Дыни свежие</t>
  </si>
  <si>
    <t>0807190001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</si>
  <si>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</si>
  <si>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</si>
  <si>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</si>
  <si>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</si>
  <si>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</si>
  <si>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</si>
  <si>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</si>
  <si>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</si>
  <si>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</si>
  <si>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</si>
  <si>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</si>
  <si>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</si>
  <si>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</si>
  <si>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</si>
  <si>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</si>
  <si>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</si>
  <si>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</si>
  <si>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</si>
  <si>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</si>
  <si>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</si>
  <si>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</si>
  <si>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</si>
  <si>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10.08.2025г.</t>
  </si>
  <si>
    <t>ИНВОЙС № M-216 от</t>
  </si>
  <si>
    <t>10V918BB/105470BA</t>
  </si>
  <si>
    <t>Спецификация № M-216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</si>
</sst>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5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38</xdr:row>
      <xdr:rowOff>95250</xdr:rowOff>
    </xdr:from>
    <xdr:to>
      <xdr:col>9</xdr:col>
      <xdr:colOff>238775</xdr:colOff>
      <xdr:row>48</xdr:row>
      <xdr:rowOff>123825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267902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567569</xdr:colOff>
      <xdr:row>38</xdr:row>
      <xdr:rowOff>95250</xdr:rowOff>
    </xdr:from>
    <xdr:to>
      <xdr:col>12</xdr:col>
      <xdr:colOff>180975</xdr:colOff>
      <xdr:row>41</xdr:row>
      <xdr:rowOff>47625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969" y="2267902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8" t="s">
        <v>172</v>
      </c>
      <c r="D1" s="128"/>
      <c r="E1" s="128"/>
      <c r="F1" s="127" t="s">
        <v>171</v>
      </c>
      <c r="G1" s="127"/>
      <c r="H1" s="127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9" t="s">
        <v>149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">
      <c r="A5" s="130" t="s">
        <v>150</v>
      </c>
      <c r="B5" s="130"/>
      <c r="C5" s="130"/>
      <c r="D5" s="130"/>
      <c r="E5" s="130"/>
      <c r="F5" s="6"/>
      <c r="G5" s="132" t="s">
        <v>141</v>
      </c>
      <c r="H5" s="132"/>
      <c r="I5" s="132"/>
      <c r="J5" s="132"/>
      <c r="K5" s="132"/>
      <c r="L5" s="132"/>
      <c r="M5" s="132"/>
    </row>
    <row r="6" spans="1:15" ht="15" x14ac:dyDescent="0.25">
      <c r="A6" s="123" t="s">
        <v>151</v>
      </c>
      <c r="B6" s="123"/>
      <c r="C6" s="123"/>
      <c r="D6" s="123"/>
      <c r="E6" s="123"/>
      <c r="F6" s="7"/>
      <c r="G6" s="134" t="s">
        <v>142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3" t="s">
        <v>152</v>
      </c>
      <c r="B7" s="123"/>
      <c r="C7" s="123"/>
      <c r="D7" s="123"/>
      <c r="E7" s="123"/>
      <c r="F7" s="63"/>
      <c r="G7" s="134" t="s">
        <v>143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155</v>
      </c>
      <c r="B8" s="8"/>
      <c r="C8" s="8"/>
      <c r="D8" s="8"/>
      <c r="E8" s="8"/>
      <c r="F8" s="63"/>
      <c r="G8" s="135" t="s">
        <v>144</v>
      </c>
      <c r="H8" s="135"/>
      <c r="I8" s="135"/>
      <c r="J8" s="135"/>
      <c r="K8" s="135"/>
      <c r="L8" s="135"/>
      <c r="M8" s="135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156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154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3" t="s">
        <v>157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2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30" t="s">
        <v>150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" customHeight="1" x14ac:dyDescent="0.25">
      <c r="A15" s="123" t="s">
        <v>151</v>
      </c>
      <c r="B15" s="123"/>
      <c r="C15" s="123"/>
      <c r="D15" s="123"/>
      <c r="E15" s="123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5" x14ac:dyDescent="0.25">
      <c r="A16" s="123" t="s">
        <v>152</v>
      </c>
      <c r="B16" s="123"/>
      <c r="C16" s="123"/>
      <c r="D16" s="123"/>
      <c r="E16" s="123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155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156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154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33" t="s">
        <v>157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6" t="s">
        <v>127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</row>
    <row r="24" spans="1:17" ht="15.75" x14ac:dyDescent="0.25">
      <c r="A24" s="20" t="s">
        <v>22</v>
      </c>
      <c r="C24" s="18" t="s">
        <v>128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7" t="s">
        <v>173</v>
      </c>
      <c r="F26" s="148"/>
      <c r="G26" s="148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2.25" x14ac:dyDescent="0.2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30" x14ac:dyDescent="0.2">
      <c r="A30" s="124">
        <v>1</v>
      </c>
      <c r="B30" s="100" t="s">
        <v>147</v>
      </c>
      <c r="C30" s="106" t="s">
        <v>148</v>
      </c>
      <c r="D30" s="108" t="s">
        <v>138</v>
      </c>
      <c r="E30" s="100">
        <v>950</v>
      </c>
      <c r="F30" s="114" t="s">
        <v>27</v>
      </c>
      <c r="G30" s="105">
        <v>23500</v>
      </c>
      <c r="H30" s="105">
        <v>21790</v>
      </c>
      <c r="I30" s="107">
        <v>0.25</v>
      </c>
      <c r="J30" s="13">
        <f t="shared" ref="J30" si="0">H30*I30</f>
        <v>5447.5</v>
      </c>
      <c r="K30" s="12">
        <v>0</v>
      </c>
      <c r="L30" s="12">
        <v>0</v>
      </c>
      <c r="M30" s="13">
        <f t="shared" ref="M30" si="1">J30</f>
        <v>5447.5</v>
      </c>
      <c r="O30" s="99"/>
      <c r="Q30" s="99"/>
    </row>
    <row r="31" spans="1:17" ht="14.25" x14ac:dyDescent="0.2">
      <c r="A31" s="142" t="s">
        <v>0</v>
      </c>
      <c r="B31" s="143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1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5" x14ac:dyDescent="0.25">
      <c r="A32" s="2" t="s">
        <v>17</v>
      </c>
      <c r="B32" s="3"/>
      <c r="C32" s="11"/>
      <c r="D32" s="11"/>
      <c r="E32" s="138" t="str">
        <f>Лист1!B3</f>
        <v>Пять тысяч четыреста сорок семь долларов США, 50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">
      <c r="A34" s="136" t="s">
        <v>120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5" x14ac:dyDescent="0.25">
      <c r="A36" s="7" t="s">
        <v>28</v>
      </c>
      <c r="B36" s="7"/>
      <c r="D36" s="25" t="s">
        <v>158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J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M-216 от10.08.2025г.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117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950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23500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г.Новосибирск, ч/з Новосибирский з/т пост, г.Новосибирск, ул.Толмачевская, д.1/1. код поста 10609030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2" t="str">
        <f>+C22</f>
        <v>10.08.2025г.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10V918BB/105470BA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Normal="100" workbookViewId="0">
      <selection activeCell="F20" sqref="F20:J35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5" t="s">
        <v>96</v>
      </c>
      <c r="C2" s="15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6" t="str">
        <f>+Инвойс!E26</f>
        <v>10V918BB/105470BA</v>
      </c>
      <c r="C14" s="156"/>
      <c r="D14" s="156"/>
      <c r="E14" s="156"/>
      <c r="F14" s="156"/>
      <c r="G14" s="156"/>
      <c r="H14" s="157" t="s">
        <v>118</v>
      </c>
      <c r="I14" s="157"/>
      <c r="J14" s="88" t="str">
        <f>+Инвойс!F1</f>
        <v>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58" t="str">
        <f>+CMR!B24</f>
        <v>ИНВОЙС № M-216 от10.08.2025г.</v>
      </c>
      <c r="I15" s="158"/>
      <c r="J15" s="15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950</v>
      </c>
      <c r="G18" s="159" t="str">
        <f>+CMR!F30</f>
        <v>Дыни свежие</v>
      </c>
      <c r="H18" s="159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Карт.Коробок</v>
      </c>
      <c r="G19" s="153" t="str">
        <f>+Инвойс!C30</f>
        <v>0807190001</v>
      </c>
      <c r="H19" s="154"/>
      <c r="I19" s="120" t="s">
        <v>103</v>
      </c>
      <c r="J19" s="118">
        <f>+Инвойс!G30</f>
        <v>23500</v>
      </c>
    </row>
    <row r="20" spans="2:10" ht="13.5" customHeight="1" x14ac:dyDescent="0.25">
      <c r="B20" s="83"/>
      <c r="E20" s="121"/>
      <c r="F20" s="116"/>
      <c r="G20" s="159"/>
      <c r="H20" s="159"/>
      <c r="I20" s="117"/>
      <c r="J20" s="118"/>
    </row>
    <row r="21" spans="2:10" ht="13.5" customHeight="1" x14ac:dyDescent="0.25">
      <c r="B21" s="83" t="s">
        <v>104</v>
      </c>
      <c r="E21" s="121"/>
      <c r="F21" s="119"/>
      <c r="G21" s="153"/>
      <c r="H21" s="154"/>
      <c r="I21" s="120"/>
      <c r="J21" s="118"/>
    </row>
    <row r="22" spans="2:10" ht="12.75" customHeight="1" x14ac:dyDescent="0.25">
      <c r="B22" s="83"/>
      <c r="E22" s="121"/>
      <c r="F22" s="116"/>
      <c r="G22" s="159"/>
      <c r="H22" s="159"/>
      <c r="I22" s="117"/>
      <c r="J22" s="118"/>
    </row>
    <row r="23" spans="2:10" ht="14.25" customHeight="1" x14ac:dyDescent="0.25">
      <c r="B23" s="83"/>
      <c r="E23" s="121"/>
      <c r="F23" s="119"/>
      <c r="G23" s="153"/>
      <c r="H23" s="154"/>
      <c r="I23" s="120"/>
      <c r="J23" s="118"/>
    </row>
    <row r="24" spans="2:10" ht="12.75" customHeight="1" x14ac:dyDescent="0.25">
      <c r="B24" s="87"/>
      <c r="E24" s="121"/>
      <c r="F24" s="116"/>
      <c r="G24" s="159"/>
      <c r="H24" s="159"/>
      <c r="I24" s="117"/>
      <c r="J24" s="118"/>
    </row>
    <row r="25" spans="2:10" ht="12.75" customHeight="1" x14ac:dyDescent="0.25">
      <c r="B25" s="87"/>
      <c r="E25" s="121"/>
      <c r="F25" s="119"/>
      <c r="G25" s="153"/>
      <c r="H25" s="154"/>
      <c r="I25" s="120"/>
      <c r="J25" s="118"/>
    </row>
    <row r="26" spans="2:10" ht="12" customHeight="1" x14ac:dyDescent="0.25">
      <c r="B26" s="87"/>
      <c r="E26" s="121"/>
      <c r="F26" s="116"/>
      <c r="G26" s="159"/>
      <c r="H26" s="159"/>
      <c r="I26" s="117"/>
      <c r="J26" s="118"/>
    </row>
    <row r="27" spans="2:10" ht="14.25" customHeight="1" x14ac:dyDescent="0.25">
      <c r="B27" s="87"/>
      <c r="E27" s="121"/>
      <c r="F27" s="119"/>
      <c r="G27" s="153"/>
      <c r="H27" s="154"/>
      <c r="I27" s="120"/>
      <c r="J27" s="118"/>
    </row>
    <row r="28" spans="2:10" ht="12.75" customHeight="1" x14ac:dyDescent="0.25">
      <c r="B28" s="87"/>
      <c r="E28" s="121"/>
      <c r="F28" s="116"/>
      <c r="G28" s="159"/>
      <c r="H28" s="159"/>
      <c r="I28" s="117"/>
      <c r="J28" s="118"/>
    </row>
    <row r="29" spans="2:10" ht="12.75" customHeight="1" x14ac:dyDescent="0.25">
      <c r="B29" s="87"/>
      <c r="E29" s="121"/>
      <c r="F29" s="119"/>
      <c r="G29" s="153"/>
      <c r="H29" s="154"/>
      <c r="I29" s="120"/>
      <c r="J29" s="118"/>
    </row>
    <row r="30" spans="2:10" ht="12.75" customHeight="1" x14ac:dyDescent="0.25">
      <c r="B30" s="87"/>
      <c r="E30" s="121"/>
      <c r="F30" s="116"/>
      <c r="G30" s="159"/>
      <c r="H30" s="159"/>
      <c r="I30" s="117"/>
      <c r="J30" s="118"/>
    </row>
    <row r="31" spans="2:10" ht="13.5" customHeight="1" x14ac:dyDescent="0.25">
      <c r="B31" s="87"/>
      <c r="E31" s="121"/>
      <c r="F31" s="119"/>
      <c r="G31" s="153"/>
      <c r="H31" s="154"/>
      <c r="I31" s="120"/>
      <c r="J31" s="118"/>
    </row>
    <row r="32" spans="2:10" ht="13.5" customHeight="1" x14ac:dyDescent="0.25">
      <c r="B32" s="87"/>
      <c r="E32" s="121"/>
      <c r="F32" s="116"/>
      <c r="G32" s="159"/>
      <c r="H32" s="159"/>
      <c r="I32" s="117"/>
      <c r="J32" s="118"/>
    </row>
    <row r="33" spans="2:10" ht="13.5" customHeight="1" x14ac:dyDescent="0.25">
      <c r="B33" s="87"/>
      <c r="E33" s="121"/>
      <c r="F33" s="119"/>
      <c r="G33" s="153"/>
      <c r="H33" s="154"/>
      <c r="I33" s="120"/>
      <c r="J33" s="118"/>
    </row>
    <row r="34" spans="2:10" ht="13.5" customHeight="1" x14ac:dyDescent="0.25">
      <c r="B34" s="87"/>
      <c r="E34" s="121"/>
      <c r="F34" s="116"/>
      <c r="G34" s="159"/>
      <c r="H34" s="159"/>
      <c r="I34" s="117"/>
      <c r="J34" s="118"/>
    </row>
    <row r="35" spans="2:10" ht="12.75" customHeight="1" x14ac:dyDescent="0.25">
      <c r="B35" s="87"/>
      <c r="E35" s="121"/>
      <c r="F35" s="119"/>
      <c r="G35" s="153"/>
      <c r="H35" s="154"/>
      <c r="I35" s="120"/>
      <c r="J35" s="118"/>
    </row>
    <row r="36" spans="2:10" x14ac:dyDescent="0.25">
      <c r="B36" s="87"/>
      <c r="E36" s="121"/>
      <c r="F36" s="116"/>
      <c r="G36" s="159"/>
      <c r="H36" s="159"/>
      <c r="I36" s="117"/>
      <c r="J36" s="118"/>
    </row>
    <row r="37" spans="2:10" ht="13.5" customHeight="1" x14ac:dyDescent="0.25">
      <c r="B37" s="87"/>
      <c r="E37" s="121"/>
      <c r="F37" s="119"/>
      <c r="G37" s="153"/>
      <c r="H37" s="154"/>
      <c r="I37" s="120"/>
      <c r="J37" s="118"/>
    </row>
    <row r="38" spans="2:10" x14ac:dyDescent="0.25">
      <c r="B38" s="87"/>
      <c r="E38" s="121"/>
      <c r="F38" s="116"/>
      <c r="G38" s="159"/>
      <c r="H38" s="159"/>
      <c r="I38" s="117"/>
      <c r="J38" s="118"/>
    </row>
    <row r="39" spans="2:10" ht="13.5" customHeight="1" x14ac:dyDescent="0.25">
      <c r="B39" s="87"/>
      <c r="E39" s="121"/>
      <c r="F39" s="119"/>
      <c r="G39" s="153"/>
      <c r="H39" s="154"/>
      <c r="I39" s="120"/>
      <c r="J39" s="118"/>
    </row>
    <row r="40" spans="2:10" ht="14.25" hidden="1" customHeight="1" x14ac:dyDescent="0.25">
      <c r="B40" s="87"/>
      <c r="E40" s="121"/>
      <c r="F40" s="116"/>
      <c r="G40" s="159"/>
      <c r="H40" s="159"/>
      <c r="I40" s="117"/>
      <c r="J40" s="118"/>
    </row>
    <row r="41" spans="2:10" ht="14.25" hidden="1" customHeight="1" x14ac:dyDescent="0.25">
      <c r="B41" s="87"/>
      <c r="E41" s="121"/>
      <c r="F41" s="119"/>
      <c r="G41" s="153"/>
      <c r="H41" s="154"/>
      <c r="I41" s="120"/>
      <c r="J41" s="118"/>
    </row>
    <row r="42" spans="2:10" hidden="1" x14ac:dyDescent="0.25">
      <c r="B42" s="87"/>
      <c r="E42" s="121"/>
      <c r="F42" s="116"/>
      <c r="G42" s="159"/>
      <c r="H42" s="159"/>
      <c r="I42" s="117"/>
      <c r="J42" s="118"/>
    </row>
    <row r="43" spans="2:10" x14ac:dyDescent="0.25">
      <c r="B43" s="87"/>
      <c r="E43" s="121"/>
      <c r="F43" s="119"/>
      <c r="G43" s="153"/>
      <c r="H43" s="154"/>
      <c r="I43" s="120"/>
      <c r="J43" s="118"/>
    </row>
    <row r="44" spans="2:10" ht="9" customHeight="1" x14ac:dyDescent="0.25">
      <c r="B44" s="87"/>
      <c r="E44" s="95"/>
      <c r="F44" s="92"/>
      <c r="G44" s="161"/>
      <c r="H44" s="161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950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8" t="s">
        <v>174</v>
      </c>
      <c r="D1" s="128"/>
      <c r="E1" s="128"/>
      <c r="F1" s="127" t="str">
        <f>+Инвойс!F1</f>
        <v>10.08.2025г.</v>
      </c>
      <c r="G1" s="127"/>
      <c r="H1" s="127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9" t="str">
        <f>+Инвойс!C2</f>
        <v>к контракту № AGRO/EX/1802 от 18.02.2025г года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">
      <c r="A5" s="130" t="str">
        <f>+Инвойс!A5</f>
        <v xml:space="preserve">LLC «AAZZ GROUP» </v>
      </c>
      <c r="B5" s="130"/>
      <c r="C5" s="130"/>
      <c r="D5" s="130"/>
      <c r="E5" s="130"/>
      <c r="F5" s="6"/>
      <c r="G5" s="132" t="str">
        <f>+Инвойс!G5</f>
        <v>ООО «Гарден Экспорт Новосибирск»</v>
      </c>
      <c r="H5" s="132"/>
      <c r="I5" s="132"/>
      <c r="J5" s="132"/>
      <c r="K5" s="132"/>
      <c r="L5" s="132"/>
      <c r="M5" s="132"/>
    </row>
    <row r="6" spans="1:15" ht="15" x14ac:dyDescent="0.25">
      <c r="A6" s="123" t="str">
        <f>+Инвойс!A6</f>
        <v xml:space="preserve">Респyблика Узбекистан, Хорезмская область, </v>
      </c>
      <c r="B6" s="123"/>
      <c r="C6" s="123"/>
      <c r="D6" s="123"/>
      <c r="E6" s="123"/>
      <c r="F6" s="7"/>
      <c r="G6" s="134" t="str">
        <f>+Инвойс!G6</f>
        <v>633100, Новосибирская область, м.р-н Новосибирский,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3" t="str">
        <f>+Инвойс!A7</f>
        <v>Ургенчский р-н, Мевазор МФИ, улица Мустакиллик, д.6/2</v>
      </c>
      <c r="B7" s="123"/>
      <c r="C7" s="123"/>
      <c r="D7" s="123"/>
      <c r="E7" s="123"/>
      <c r="F7" s="63"/>
      <c r="G7" s="134" t="str">
        <f>+Инвойс!G7</f>
        <v>с.п. Толмачевский сельсовет, платф. 3307 км, д. 30, к.А1</v>
      </c>
      <c r="H7" s="135"/>
      <c r="I7" s="135"/>
      <c r="J7" s="135"/>
      <c r="K7" s="135"/>
      <c r="L7" s="135"/>
      <c r="M7" s="135"/>
    </row>
    <row r="8" spans="1:15" ht="15" customHeight="1" x14ac:dyDescent="0.25">
      <c r="A8" s="123" t="str">
        <f>+Инвойс!A8</f>
        <v xml:space="preserve">Р/с N 20208840907099612002  (USD)  </v>
      </c>
      <c r="B8" s="8"/>
      <c r="C8" s="8"/>
      <c r="D8" s="8"/>
      <c r="E8" s="8"/>
      <c r="F8" s="63"/>
      <c r="G8" s="134" t="str">
        <f>+Инвойс!G8</f>
        <v>Банк: Азия-Инвест Банк (АО) ИНН / КПП: 5410090342 /541001001</v>
      </c>
      <c r="H8" s="135"/>
      <c r="I8" s="135"/>
      <c r="J8" s="135"/>
      <c r="K8" s="135"/>
      <c r="L8" s="135"/>
      <c r="M8" s="135"/>
    </row>
    <row r="9" spans="1:15" ht="15" x14ac:dyDescent="0.25">
      <c r="A9" s="123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4" t="str">
        <f>+Инвойс!G9</f>
        <v>Р/Счет: 40702810700000003555 ; БИК:  044525234</v>
      </c>
      <c r="H9" s="135"/>
      <c r="I9" s="135"/>
      <c r="J9" s="135"/>
      <c r="K9" s="135"/>
      <c r="L9" s="135"/>
      <c r="M9" s="135"/>
      <c r="O9" s="7"/>
    </row>
    <row r="10" spans="1:15" ht="15" x14ac:dyDescent="0.25">
      <c r="A10" s="123" t="str">
        <f>+Инвойс!A10</f>
        <v>МФО: 00419 SWIFTCode: UZHOUZ22</v>
      </c>
      <c r="B10" s="123"/>
      <c r="C10" s="123"/>
      <c r="D10" s="123"/>
      <c r="E10" s="123"/>
      <c r="F10" s="7"/>
      <c r="G10" s="134" t="str">
        <f>+Инвойс!G10</f>
        <v>Корр.счет: 30101810445250000234  ОГРН:1215400044760</v>
      </c>
      <c r="H10" s="135"/>
      <c r="I10" s="135"/>
      <c r="J10" s="135"/>
      <c r="K10" s="135"/>
      <c r="L10" s="135"/>
      <c r="M10" s="135"/>
    </row>
    <row r="11" spans="1:15" ht="15" x14ac:dyDescent="0.25">
      <c r="A11" s="123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3" t="str">
        <f>+Инвойс!A12</f>
        <v>Адрес Банка: Республика Узбекистан,
г. Ташкент, ул. Мустакиллик, дом-15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2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30" t="str">
        <f>+Инвойс!A14</f>
        <v xml:space="preserve">LLC «AAZZ GROUP» 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" customHeight="1" x14ac:dyDescent="0.25">
      <c r="A15" s="123" t="str">
        <f>+Инвойс!A15</f>
        <v xml:space="preserve">Респyблика Узбекистан, Хорезмская область, </v>
      </c>
      <c r="B15" s="123"/>
      <c r="C15" s="123"/>
      <c r="D15" s="123"/>
      <c r="E15" s="123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5" x14ac:dyDescent="0.25">
      <c r="A16" s="123" t="str">
        <f>+Инвойс!A16</f>
        <v>Ургенчский р-н, Мевазор МФИ, улица Мустакиллик, д.6/2</v>
      </c>
      <c r="B16" s="123"/>
      <c r="C16" s="123"/>
      <c r="D16" s="123"/>
      <c r="E16" s="123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23" t="str">
        <f>+Инвойс!A17</f>
        <v xml:space="preserve">Р/с N 20208840907099612002  (USD)  </v>
      </c>
      <c r="B17" s="8"/>
      <c r="C17" s="8"/>
      <c r="D17" s="8"/>
      <c r="E17" s="8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5" x14ac:dyDescent="0.25">
      <c r="A18" s="123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5" x14ac:dyDescent="0.25">
      <c r="A19" s="123" t="str">
        <f>+Инвойс!A19</f>
        <v>МФО: 00419 SWIFTCode: UZHOUZ22</v>
      </c>
      <c r="B19" s="123"/>
      <c r="C19" s="123"/>
      <c r="D19" s="123"/>
      <c r="E19" s="123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5" x14ac:dyDescent="0.25">
      <c r="A20" s="123" t="str">
        <f>+Инвойс!A20</f>
        <v xml:space="preserve">ИНН: 311440436; ОКЭД: 46690 </v>
      </c>
      <c r="B20" s="8"/>
      <c r="C20" s="8"/>
      <c r="D20" s="8"/>
      <c r="E20" s="8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38.25" customHeight="1" x14ac:dyDescent="0.25">
      <c r="A21" s="133" t="str">
        <f>+Инвойс!A21</f>
        <v>Адрес Банка: Республика Узбекистан,
г. Ташкент, ул. Мустакиллик, дом-15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5" t="s">
        <v>166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1:17" ht="15.75" x14ac:dyDescent="0.25">
      <c r="A24" s="20" t="s">
        <v>22</v>
      </c>
      <c r="C24" s="166" t="str">
        <f>+Инвойс!C24</f>
        <v>DAP - г. Новосибирск, Российская Федерация (согласно Incoterms 2010)</v>
      </c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7" t="str">
        <f>+Инвойс!E26</f>
        <v>10V918BB/105470BA</v>
      </c>
      <c r="F26" s="148"/>
      <c r="G26" s="148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2.25" x14ac:dyDescent="0.2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30" x14ac:dyDescent="0.2">
      <c r="A30" s="124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950</v>
      </c>
      <c r="F30" s="109" t="str">
        <f>+Инвойс!F30</f>
        <v>кг</v>
      </c>
      <c r="G30" s="105">
        <f>+Инвойс!G30</f>
        <v>23500</v>
      </c>
      <c r="H30" s="105">
        <f>+Инвойс!H30</f>
        <v>21790</v>
      </c>
      <c r="I30" s="107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99"/>
      <c r="Q30" s="99"/>
    </row>
    <row r="31" spans="1:17" ht="15" x14ac:dyDescent="0.2">
      <c r="A31" s="142" t="s">
        <v>0</v>
      </c>
      <c r="B31" s="143"/>
      <c r="C31" s="14"/>
      <c r="D31" s="15"/>
      <c r="E31" s="64">
        <f>SUM(E30:E30)</f>
        <v>950</v>
      </c>
      <c r="F31" s="15"/>
      <c r="G31" s="105">
        <f>+Инвойс!G31</f>
        <v>23500</v>
      </c>
      <c r="H31" s="105">
        <f>+Инвойс!H31</f>
        <v>21790</v>
      </c>
      <c r="I31" s="101"/>
      <c r="J31" s="13">
        <f>+Инвойс!J31</f>
        <v>5447.5</v>
      </c>
      <c r="K31" s="16"/>
      <c r="L31" s="16"/>
      <c r="M31" s="13">
        <f>+Инвойс!M31</f>
        <v>5447.5</v>
      </c>
      <c r="P31" s="66"/>
    </row>
    <row r="32" spans="1:17" ht="13.5" x14ac:dyDescent="0.25">
      <c r="A32" s="2" t="s">
        <v>17</v>
      </c>
      <c r="B32" s="3"/>
      <c r="C32" s="11"/>
      <c r="D32" s="11"/>
      <c r="E32" s="138" t="str">
        <f>Лист1!B3</f>
        <v>Пять тысяч четыреста сорок семь долларов США, 50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5" x14ac:dyDescent="0.25">
      <c r="A36" s="7" t="s">
        <v>167</v>
      </c>
      <c r="B36" s="7"/>
      <c r="D36" s="25" t="s">
        <v>158</v>
      </c>
      <c r="E36" s="24"/>
      <c r="G36" s="125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6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46" t="s">
        <v>122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x14ac:dyDescent="0.2">
      <c r="A2" s="18" t="s">
        <v>123</v>
      </c>
    </row>
    <row r="5" spans="1:11" ht="12.75" customHeight="1" x14ac:dyDescent="0.2">
      <c r="A5" s="146" t="s">
        <v>159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</row>
    <row r="6" spans="1:11" x14ac:dyDescent="0.2">
      <c r="A6" s="18" t="s">
        <v>124</v>
      </c>
    </row>
    <row r="9" spans="1:11" x14ac:dyDescent="0.2">
      <c r="A9" s="146" t="s">
        <v>114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 spans="1:11" x14ac:dyDescent="0.2">
      <c r="A10" s="18" t="s">
        <v>115</v>
      </c>
    </row>
    <row r="13" spans="1:11" x14ac:dyDescent="0.2">
      <c r="A13" s="146" t="s">
        <v>125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</row>
    <row r="14" spans="1:11" x14ac:dyDescent="0.2">
      <c r="A14" s="18" t="s">
        <v>126</v>
      </c>
    </row>
    <row r="17" spans="1:14" x14ac:dyDescent="0.2">
      <c r="A17" s="146" t="s">
        <v>127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M17" s="70" t="s">
        <v>134</v>
      </c>
    </row>
    <row r="18" spans="1:14" x14ac:dyDescent="0.2">
      <c r="A18" s="18" t="s">
        <v>128</v>
      </c>
      <c r="M18" s="70" t="s">
        <v>135</v>
      </c>
    </row>
    <row r="20" spans="1:14" x14ac:dyDescent="0.2">
      <c r="N20" s="167" t="s">
        <v>136</v>
      </c>
    </row>
    <row r="21" spans="1:14" x14ac:dyDescent="0.2">
      <c r="A21" s="146" t="s">
        <v>129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N21" s="152"/>
    </row>
    <row r="22" spans="1:14" x14ac:dyDescent="0.2">
      <c r="A22" s="18" t="s">
        <v>130</v>
      </c>
    </row>
    <row r="25" spans="1:14" x14ac:dyDescent="0.2">
      <c r="A25" s="146" t="s">
        <v>131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4" x14ac:dyDescent="0.2">
      <c r="A26" s="18" t="s">
        <v>132</v>
      </c>
    </row>
    <row r="29" spans="1:14" x14ac:dyDescent="0.2">
      <c r="A29" s="146" t="s">
        <v>137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</row>
    <row r="30" spans="1:14" x14ac:dyDescent="0.2">
      <c r="A30" s="18" t="s">
        <v>160</v>
      </c>
    </row>
    <row r="32" spans="1:14" x14ac:dyDescent="0.2">
      <c r="A32" s="166" t="s">
        <v>161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6" t="s">
        <v>163</v>
      </c>
      <c r="B35" s="166"/>
      <c r="C35" s="166"/>
      <c r="D35" s="166"/>
      <c r="E35" s="166"/>
      <c r="F35" s="166"/>
      <c r="G35" s="166"/>
      <c r="H35" s="166"/>
      <c r="I35" s="166"/>
      <c r="J35" s="166"/>
      <c r="K35" s="166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0" t="s">
        <v>32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9" ht="15.75" x14ac:dyDescent="0.25">
      <c r="E2" s="27">
        <f>Инвойс!M31</f>
        <v>5447.5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1">
        <f ca="1">TODAY()</f>
        <v>45879</v>
      </c>
      <c r="O3" s="171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2" t="str">
        <f ca="1">CONCATENATE(" «  ",P3,"  »  ",Q3,"  ",R3," г.")</f>
        <v xml:space="preserve"> «  10  »  августа  2025 г.</v>
      </c>
      <c r="L4" s="172"/>
      <c r="M4" s="172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3" t="s">
        <v>38</v>
      </c>
      <c r="I7" s="173"/>
      <c r="J7" s="173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3"/>
      <c r="I8" s="173"/>
      <c r="J8" s="173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3"/>
      <c r="I9" s="173"/>
      <c r="J9" s="173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3"/>
      <c r="I10" s="173"/>
      <c r="J10" s="173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73"/>
      <c r="I11" s="173"/>
      <c r="J11" s="173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4" t="s">
        <v>81</v>
      </c>
      <c r="B44" s="174"/>
      <c r="C44" s="174"/>
      <c r="D44" s="174"/>
      <c r="E44" s="174"/>
      <c r="F44" s="174"/>
      <c r="G44" s="174"/>
      <c r="H44" s="174"/>
      <c r="I44" s="174"/>
      <c r="J44" s="169" t="s">
        <v>82</v>
      </c>
      <c r="K44" s="169"/>
    </row>
    <row r="45" spans="1:11" s="43" customFormat="1" x14ac:dyDescent="0.2">
      <c r="A45" s="174"/>
      <c r="B45" s="174"/>
      <c r="C45" s="174"/>
      <c r="D45" s="174"/>
      <c r="E45" s="174"/>
      <c r="F45" s="174"/>
      <c r="G45" s="174"/>
      <c r="H45" s="174"/>
      <c r="I45" s="174"/>
      <c r="J45" s="169"/>
      <c r="K45" s="169"/>
    </row>
    <row r="46" spans="1:11" s="43" customFormat="1" x14ac:dyDescent="0.2">
      <c r="B46" s="61"/>
      <c r="C46" s="61"/>
      <c r="G46" s="168" t="s">
        <v>83</v>
      </c>
      <c r="H46" s="168"/>
      <c r="I46" s="168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9" t="s">
        <v>85</v>
      </c>
      <c r="B100" s="169"/>
      <c r="C100" s="169"/>
      <c r="D100" s="169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2025-08-10T13:52:10Z</cp:lastPrinted>
  <dcterms:created xsi:type="dcterms:W3CDTF">1996-10-14T23:33:28Z</dcterms:created>
  <dcterms:modified xsi:type="dcterms:W3CDTF">2025-08-10T13:52:10Z</dcterms:modified>
</cp:coreProperties>
</file>