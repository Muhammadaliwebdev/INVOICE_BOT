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CBA2E7E-4B8F-47B3-A06F-C737632021C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J30" i="2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<sst xmlns="http://schemas.openxmlformats.org/spreadsheetml/2006/main" count="209" uniqueCount="163">
  <si>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</si>
  <si>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</si>
  <si>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</si>
  <si>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</si>
  <si>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</si>
  <si>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</si>
  <si>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</si>
  <si>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</si>
  <si>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</si>
  <si>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</si>
  <si>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</si>
  <si>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</si>
  <si>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</si>
  <si>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</si>
  <si>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</si>
  <si>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</si>
  <si>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</si>
  <si>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</si>
  <si>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</si>
  <si>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</si>
  <si>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</si>
  <si>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</si>
  <si>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</si>
  <si>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</si>
  <si>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</si>
  <si>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</si>
  <si>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</si>
  <si>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</si>
  <si>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</si>
  <si>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</si>
  <si>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</si>
  <si>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</si>
  <si>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</si>
  <si>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</si>
  <si>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</si>
  <si>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</si>
  <si>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</si>
  <si>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</si>
  <si>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</si>
  <si>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</si>
  <si>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</si>
  <si>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</si>
  <si>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</si>
  <si>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</si>
  <si>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</si>
  <si>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</si>
  <si>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</si>
  <si>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</si>
  <si>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</si>
  <si>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</si>
  <si>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</si>
  <si>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</si>
  <si>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</si>
  <si>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</si>
  <si>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</si>
  <si>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</si>
  <si>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</si>
  <si>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</si>
  <si>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</si>
  <si>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</si>
  <si>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</si>
  <si>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</si>
  <si>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</si>
  <si>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</si>
  <si>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</si>
  <si>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</si>
  <si>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</si>
  <si>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</si>
  <si>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</si>
  <si>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</si>
  <si>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</si>
  <si>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</si>
  <si>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</si>
  <si>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</si>
  <si>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</si>
  <si>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</si>
  <si>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</si>
  <si>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</si>
  <si>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</si>
  <si>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</si>
  <si>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</si>
  <si>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</si>
  <si>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</si>
  <si>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</si>
  <si>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</si>
  <si>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</si>
  <si>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</si>
  <si>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</si>
  <si>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</si>
  <si>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</si>
  <si>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</si>
  <si>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</si>
  <si>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</si>
  <si>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</si>
  <si>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</si>
  <si>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</si>
  <si>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</si>
  <si>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</si>
  <si>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</si>
  <si>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</si>
  <si>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</si>
  <si>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</si>
  <si>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</si>
  <si>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</si>
  <si>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</si>
  <si>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</si>
  <si>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</si>
  <si>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</si>
  <si>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</si>
  <si>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</si>
  <si>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</si>
  <si>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</si>
  <si>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</si>
  <si>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</si>
  <si>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</si>
  <si>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</si>
  <si>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</si>
  <si>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</si>
  <si>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</si>
  <si>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</si>
  <si>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</si>
  <si>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</si>
  <si>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</si>
  <si>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</si>
  <si>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</si>
  <si>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</si>
  <si>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</si>
  <si>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</si>
  <si>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</si>
  <si>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</si>
  <si>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</si>
  <si>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</si>
  <si>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</si>
  <si>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</si>
  <si>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</si>
  <si>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</si>
  <si>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</si>
  <si>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</si>
  <si>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</si>
  <si>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</si>
  <si>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</si>
  <si>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</si>
  <si>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</si>
  <si>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</si>
  <si>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</si>
  <si>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</si>
  <si>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</si>
  <si>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</si>
  <si>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</si>
  <si>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</si>
  <si>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</si>
  <si>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</si>
  <si>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</si>
  <si>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</si>
  <si>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</si>
  <si>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</si>
  <si>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</si>
  <si>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</si>
  <si>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Енисейская, 87А код поста 10504080   ООО "ГРИН ВОРЛД" 
RU/0237/2 от 27.12.2024</t>
  </si>
  <si>
    <t xml:space="preserve"> 01.09.2025г.</t>
  </si>
  <si>
    <t>01N175WC/018995BA</t>
  </si>
  <si>
    <t xml:space="preserve">ИНВОЙС № VG-N-64 от </t>
  </si>
  <si>
    <t xml:space="preserve">СПЕЦИФИКАЦИЯ № VG-N-64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</si>
</sst>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171674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9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161</v>
      </c>
      <c r="D1" s="154"/>
      <c r="E1" s="154"/>
      <c r="F1" s="153" t="s">
        <v>159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149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140</v>
      </c>
      <c r="B5" s="155"/>
      <c r="C5" s="155"/>
      <c r="D5" s="155"/>
      <c r="E5" s="155"/>
      <c r="F5" s="6"/>
      <c r="G5" s="148" t="s">
        <v>150</v>
      </c>
      <c r="H5" s="148"/>
      <c r="I5" s="148"/>
      <c r="J5" s="148"/>
      <c r="K5" s="148"/>
      <c r="L5" s="148"/>
      <c r="M5" s="148"/>
    </row>
    <row r="6" spans="1:15" ht="13.8" x14ac:dyDescent="0.25">
      <c r="A6" s="143" t="s">
        <v>141</v>
      </c>
      <c r="B6" s="142"/>
      <c r="C6" s="142"/>
      <c r="D6" s="142"/>
      <c r="E6" s="142"/>
      <c r="F6" s="7"/>
      <c r="G6" s="141" t="s">
        <v>151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148</v>
      </c>
      <c r="B7" s="142"/>
      <c r="C7" s="142"/>
      <c r="D7" s="142"/>
      <c r="E7" s="142"/>
      <c r="F7" s="63"/>
      <c r="G7" s="141" t="s">
        <v>152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142</v>
      </c>
      <c r="B8" s="8"/>
      <c r="C8" s="8"/>
      <c r="D8" s="8"/>
      <c r="E8" s="8"/>
      <c r="F8" s="63"/>
      <c r="G8" s="7" t="s">
        <v>153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143</v>
      </c>
      <c r="B9" s="8"/>
      <c r="C9" s="8"/>
      <c r="D9" s="8"/>
      <c r="E9" s="8"/>
      <c r="F9" s="7"/>
      <c r="G9" s="7" t="s">
        <v>154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144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145</v>
      </c>
      <c r="B11" s="8"/>
      <c r="C11" s="8"/>
      <c r="D11" s="8"/>
      <c r="E11" s="8"/>
      <c r="F11" s="7"/>
      <c r="G11" s="7" t="s">
        <v>155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4" t="s">
        <v>156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140</v>
      </c>
      <c r="B14" s="155"/>
      <c r="C14" s="155"/>
      <c r="D14" s="155"/>
      <c r="E14" s="155"/>
      <c r="F14" s="6"/>
      <c r="G14" s="148" t="s">
        <v>150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141</v>
      </c>
      <c r="B15" s="142"/>
      <c r="C15" s="142"/>
      <c r="D15" s="142"/>
      <c r="E15" s="142"/>
      <c r="F15" s="7"/>
      <c r="G15" s="141" t="s">
        <v>151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148</v>
      </c>
      <c r="B16" s="142"/>
      <c r="C16" s="142"/>
      <c r="D16" s="142"/>
      <c r="E16" s="142"/>
      <c r="F16" s="63"/>
      <c r="G16" s="141" t="s">
        <v>152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142</v>
      </c>
      <c r="B17" s="8"/>
      <c r="C17" s="8"/>
      <c r="D17" s="8"/>
      <c r="E17" s="8"/>
      <c r="F17" s="63"/>
      <c r="G17" s="7" t="s">
        <v>153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143</v>
      </c>
      <c r="B18" s="8"/>
      <c r="C18" s="8"/>
      <c r="D18" s="8"/>
      <c r="E18" s="8"/>
      <c r="F18" s="7"/>
      <c r="G18" s="7" t="s">
        <v>154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144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145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4" t="s">
        <v>156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128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136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160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124</v>
      </c>
      <c r="C30" s="107" t="s">
        <v>123</v>
      </c>
      <c r="D30" s="109" t="s">
        <v>111</v>
      </c>
      <c r="E30" s="101">
        <v>2600</v>
      </c>
      <c r="F30" s="110" t="s">
        <v>27</v>
      </c>
      <c r="G30" s="106">
        <v>22520</v>
      </c>
      <c r="H30" s="106">
        <v>20700</v>
      </c>
      <c r="I30" s="108">
        <v>1</v>
      </c>
      <c r="J30" s="13">
        <f t="shared" ref="J30" si="0">H30*I30</f>
        <v>20700</v>
      </c>
      <c r="K30" s="12">
        <v>0</v>
      </c>
      <c r="L30" s="12">
        <v>0</v>
      </c>
      <c r="M30" s="13">
        <f t="shared" ref="M30" si="1">J30</f>
        <v>20700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2600</v>
      </c>
      <c r="F31" s="15"/>
      <c r="G31" s="64">
        <f>SUM(G30:G30)</f>
        <v>22520</v>
      </c>
      <c r="H31" s="64">
        <f>SUM(H30:H30)</f>
        <v>20700</v>
      </c>
      <c r="I31" s="102"/>
      <c r="J31" s="17">
        <f>SUM(J30:J30)</f>
        <v>20700</v>
      </c>
      <c r="K31" s="16"/>
      <c r="L31" s="16"/>
      <c r="M31" s="17">
        <f>SUM(M30:M30)</f>
        <v>20700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Двадцать тысяч семьсот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146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VG-N-64 от  01.09.2025г.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2600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22520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01.09.2025г.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01N175WC/018995BA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F20" sqref="F20:K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01N175WC/018995BA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01.09.2025г.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VG-N-64 от  01.09.2025г.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2600</v>
      </c>
      <c r="G18" s="163" t="str">
        <f>+CMR!F30</f>
        <v>Виноград свежий столовых сортов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Пласт. ящик</v>
      </c>
      <c r="G19" s="161" t="str">
        <f>+Инвойс!C30</f>
        <v>0806101001</v>
      </c>
      <c r="H19" s="162"/>
      <c r="I19" s="122" t="s">
        <v>103</v>
      </c>
      <c r="J19" s="120">
        <f>+Инвойс!G30</f>
        <v>22520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2600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9" zoomScale="85" zoomScaleNormal="85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53" t="str">
        <f>+Инвойс!F1</f>
        <v xml:space="preserve"> 01.09.2025г.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GR-VT-01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ООО «VISTOTRADE»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 xml:space="preserve">Республика Узбекистан. Кашкадарьинская область, 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Г. Гулам, МФУ, улица Гузара, дом 14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 «KAPITAL BANK» МФО: 01158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р/с: 20208840407263267001 (доллар США)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SWIFT: KACHUZ22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ИНН: 312236782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ООО «VISTOTRADE»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 xml:space="preserve">Республика Узбекистан. Кашкадарьинская область, 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Г. Гулам, МФУ, улица Гузара, дом 14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 «KAPITAL BANK» МФО: 01158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р/с: 20208840407263267001 (доллар США)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SWIFT: KACHUZ22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ИНН: 312236782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126</v>
      </c>
      <c r="C22" s="65"/>
      <c r="F22" s="1"/>
    </row>
    <row r="23" spans="1:17" ht="26.25" hidden="1" customHeight="1" x14ac:dyDescent="0.25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 Акжигит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01N175WC/018995BA</v>
      </c>
      <c r="F26" s="140"/>
      <c r="G26" s="140"/>
      <c r="J26" s="21"/>
    </row>
    <row r="27" spans="1:17" ht="34.5" customHeight="1" x14ac:dyDescent="0.25">
      <c r="A27" s="67" t="s">
        <v>127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2600</v>
      </c>
      <c r="F30" s="116" t="str">
        <f>+Инвойс!F30</f>
        <v>кг</v>
      </c>
      <c r="G30" s="106">
        <f>+Инвойс!G30</f>
        <v>22520</v>
      </c>
      <c r="H30" s="106">
        <f>+Инвойс!H30</f>
        <v>20700</v>
      </c>
      <c r="I30" s="108">
        <f>+Инвойс!I30</f>
        <v>1</v>
      </c>
      <c r="J30" s="13">
        <f>+Инвойс!J30</f>
        <v>20700</v>
      </c>
      <c r="K30" s="12">
        <v>0</v>
      </c>
      <c r="L30" s="12">
        <v>0</v>
      </c>
      <c r="M30" s="13">
        <f>+Инвойс!M30</f>
        <v>20700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2600</v>
      </c>
      <c r="F31" s="15"/>
      <c r="G31" s="64">
        <f>SUM(G30:G30)</f>
        <v>22520</v>
      </c>
      <c r="H31" s="64">
        <f>SUM(H30:H30)</f>
        <v>20700</v>
      </c>
      <c r="I31" s="102"/>
      <c r="J31" s="17">
        <f>SUM(J30:J30)</f>
        <v>20700</v>
      </c>
      <c r="K31" s="16"/>
      <c r="L31" s="16"/>
      <c r="M31" s="17">
        <f>SUM(M30:M30)</f>
        <v>20700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Двадцать тысяч семьсот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147</v>
      </c>
      <c r="B36" s="131"/>
      <c r="D36" s="18" t="str">
        <f>+Инвойс!D36</f>
        <v>Авазов К.Ф</v>
      </c>
      <c r="E36" s="132"/>
      <c r="G36" s="129" t="s">
        <v>130</v>
      </c>
      <c r="H36" s="18" t="str">
        <f>Инвойс!G5</f>
        <v>ООО «ГРИН ВОРЛД»</v>
      </c>
      <c r="K36" s="133" t="s">
        <v>157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7" zoomScale="85" zoomScaleNormal="85" workbookViewId="0">
      <selection activeCell="E12" sqref="E12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125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20700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тысяч семьсот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45901</v>
      </c>
      <c r="O3" s="178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Двадцать тысяч семьсот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1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тысяч семьсот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тысяч семьсот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Д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семьсот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45901</v>
      </c>
    </row>
    <row r="13" spans="1:19" s="43" customFormat="1" x14ac:dyDescent="0.25">
      <c r="A13" s="49"/>
      <c r="D13" s="51"/>
      <c r="E13" s="52">
        <f>TRUNC(E2)</f>
        <v>20700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207</v>
      </c>
      <c r="B27" s="47">
        <f>TRUNC(RIGHT(A27))</f>
        <v>7</v>
      </c>
      <c r="C27" s="51">
        <f>B27</f>
        <v>7</v>
      </c>
      <c r="E27" s="55" t="str">
        <f>IF(B27=1,E43,IF(B27=2,G35,IF(B27=3,G36,IF(B27=4,G37,IF(B27=5,G38,IF(B27=6,G39,IF(B27=7,G40,IF(B27=8,G41,G42))))))))</f>
        <v xml:space="preserve">семьсот </v>
      </c>
    </row>
    <row r="28" spans="1:9" s="43" customFormat="1" x14ac:dyDescent="0.25">
      <c r="A28" s="54">
        <f>TRUNC(A29/10)</f>
        <v>2070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20700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700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</cp:lastModifiedBy>
  <cp:lastPrinted>2025-08-31T23:53:33Z</cp:lastPrinted>
  <dcterms:created xsi:type="dcterms:W3CDTF">1996-10-14T23:33:28Z</dcterms:created>
  <dcterms:modified xsi:type="dcterms:W3CDTF">2025-08-31T23:53:38Z</dcterms:modified>
</cp:coreProperties>
</file>