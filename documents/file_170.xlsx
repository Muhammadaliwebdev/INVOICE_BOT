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7E4F5C5-03A5-4F32-919F-301AFA9AC3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<sst xmlns="http://schemas.openxmlformats.org/spreadsheetml/2006/main" count="201" uniqueCount="163">
  <si>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</si>
  <si>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</si>
  <si>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</si>
  <si>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</si>
  <si>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</si>
  <si>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</si>
  <si>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</si>
  <si>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</si>
  <si>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</si>
  <si>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</si>
  <si>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</si>
  <si>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</si>
  <si>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</si>
  <si>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</si>
  <si>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</si>
  <si>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</si>
  <si>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</si>
  <si>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</si>
  <si>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</si>
  <si>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</si>
  <si>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</si>
  <si>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</si>
  <si>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</si>
  <si>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</si>
  <si>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</si>
  <si>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</si>
  <si>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</si>
  <si>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</si>
  <si>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</si>
  <si>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</si>
  <si>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</si>
  <si>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</si>
  <si>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</si>
  <si>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</si>
  <si>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</si>
  <si>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</si>
  <si>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</si>
  <si>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</si>
  <si>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</si>
  <si>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</si>
  <si>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</si>
  <si>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</si>
  <si>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</si>
  <si>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</si>
  <si>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</si>
  <si>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</si>
  <si>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</si>
  <si>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</si>
  <si>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</si>
  <si>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</si>
  <si>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</si>
  <si>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</si>
  <si>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</si>
  <si>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</si>
  <si>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</si>
  <si>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</si>
  <si>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</si>
  <si>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</si>
  <si>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</si>
  <si>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</si>
  <si>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</si>
  <si>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</si>
  <si>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</si>
  <si>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</si>
  <si>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</si>
  <si>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</si>
  <si>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</si>
  <si>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</si>
  <si>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</si>
  <si>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</si>
  <si>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</si>
  <si>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</si>
  <si>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</si>
  <si>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</si>
  <si>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</si>
  <si>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</si>
  <si>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</si>
  <si>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</si>
  <si>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</si>
  <si>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</si>
  <si>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</si>
  <si>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</si>
  <si>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</si>
  <si>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</si>
  <si>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</si>
  <si>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</si>
  <si>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</si>
  <si>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</si>
  <si>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</si>
  <si>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</si>
  <si>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</si>
  <si>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</si>
  <si>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</si>
  <si>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</si>
  <si>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</si>
  <si>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</si>
  <si>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</si>
  <si>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</si>
  <si>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</si>
  <si>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</si>
  <si>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</si>
  <si>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</si>
  <si>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</si>
  <si>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</si>
  <si>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</si>
  <si>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</si>
  <si>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</si>
  <si>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</si>
  <si>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</si>
  <si>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</si>
  <si>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</si>
  <si>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</si>
  <si>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</si>
  <si>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</si>
  <si>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</si>
  <si>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</si>
  <si>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</si>
  <si>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</si>
  <si>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</si>
  <si>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</si>
  <si>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</si>
  <si>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</si>
  <si>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</si>
  <si>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</si>
  <si>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</si>
  <si>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</si>
  <si>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</si>
  <si>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</si>
  <si>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</si>
  <si>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</si>
  <si>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</si>
  <si>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</si>
  <si>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</si>
  <si>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</si>
  <si>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</si>
  <si>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</si>
  <si>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</si>
  <si>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</si>
  <si>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</si>
  <si>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</si>
  <si>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</si>
  <si>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</si>
  <si>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</si>
  <si>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</si>
  <si>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</si>
  <si>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</si>
  <si>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</si>
  <si>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</si>
  <si>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</si>
  <si>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</si>
  <si>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</si>
  <si>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</si>
  <si>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</si>
  <si>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</si>
  <si>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</si>
  <si>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</si>
  <si>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</si>
  <si>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</si>
  <si>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BEZ-F-38 от </t>
  </si>
  <si>
    <t xml:space="preserve"> 11.08.2025г.</t>
  </si>
  <si>
    <t>DAP - с Амандык , Республика Казахстан</t>
  </si>
  <si>
    <t>10F519VA/108030AA</t>
  </si>
  <si>
    <t xml:space="preserve">СПЕЦИФИКАЦИЯ № BEZ-F-38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</si>
</sst>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950</v>
      </c>
      <c r="F30" s="110" t="s">
        <v>27</v>
      </c>
      <c r="G30" s="106">
        <v>22800</v>
      </c>
      <c r="H30" s="106">
        <v>21090</v>
      </c>
      <c r="I30" s="108">
        <v>0.2</v>
      </c>
      <c r="J30" s="13">
        <f t="shared" ref="J30" si="0">H30*I30</f>
        <v>4218</v>
      </c>
      <c r="K30" s="12">
        <v>0</v>
      </c>
      <c r="L30" s="12">
        <v>0</v>
      </c>
      <c r="M30" s="13">
        <f t="shared" ref="M30" si="1">J30</f>
        <v>4218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22800</v>
      </c>
      <c r="H31" s="64">
        <f>SUM(H30:H30)</f>
        <v>21090</v>
      </c>
      <c r="I31" s="102"/>
      <c r="J31" s="17">
        <f>SUM(J30:J30)</f>
        <v>4218</v>
      </c>
      <c r="K31" s="16"/>
      <c r="L31" s="16"/>
      <c r="M31" s="17">
        <f>SUM(M30:M30)</f>
        <v>4218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восемнадцать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K44" sqref="K4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BEZ-F-38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10F519VA/108030AA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K26" sqref="K2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10F519VA/108030AA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BEZ-F-38 от 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22800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950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zoomScale="85" zoomScaleNormal="85" workbookViewId="0">
      <selection activeCell="P26" sqref="P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10F519VA/108030AA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3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22800</v>
      </c>
      <c r="H30" s="106">
        <f>+Инвойс!H30</f>
        <v>21090</v>
      </c>
      <c r="I30" s="108">
        <f>+Инвойс!I30</f>
        <v>0.2</v>
      </c>
      <c r="J30" s="13">
        <f>+Инвойс!J30</f>
        <v>4218</v>
      </c>
      <c r="K30" s="12">
        <v>0</v>
      </c>
      <c r="L30" s="12">
        <v>0</v>
      </c>
      <c r="M30" s="13">
        <f>+Инвойс!M30</f>
        <v>4218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22800</v>
      </c>
      <c r="H31" s="64">
        <f>SUM(H30:H30)</f>
        <v>21090</v>
      </c>
      <c r="I31" s="102"/>
      <c r="J31" s="17">
        <f>SUM(J30:J30)</f>
        <v>4218</v>
      </c>
      <c r="K31" s="16"/>
      <c r="L31" s="16"/>
      <c r="M31" s="17">
        <f>SUM(M30:M30)</f>
        <v>4218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восемнадцать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4218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восемнадцать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восемнадцать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восемнадцать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восемнадцать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восемнадцать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4218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4218</v>
      </c>
      <c r="B29" s="47">
        <f>TRUNC(RIGHT(A29))</f>
        <v>8</v>
      </c>
      <c r="C29" s="51">
        <f>IF(B28=1,B29+10,IF(B29=0,0,B29))</f>
        <v>18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 xml:space="preserve">восемнадцать </v>
      </c>
      <c r="G29" s="47"/>
    </row>
    <row r="30" spans="1:9" s="43" customFormat="1" x14ac:dyDescent="0.25">
      <c r="A30" s="49"/>
      <c r="B30" s="58"/>
      <c r="C30" s="59"/>
      <c r="E30" s="57">
        <f>B27*100+B28*10+B29</f>
        <v>218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2025-08-11T07:53:44Z</cp:lastPrinted>
  <dcterms:created xsi:type="dcterms:W3CDTF">1996-10-14T23:33:28Z</dcterms:created>
  <dcterms:modified xsi:type="dcterms:W3CDTF">2025-08-11T07:54:00Z</dcterms:modified>
</cp:coreProperties>
</file>