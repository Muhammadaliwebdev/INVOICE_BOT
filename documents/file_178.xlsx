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updateLinks="never" defaultThemeVersion="124226"/>
  <bookViews>
    <workbookView xWindow="-120" yWindow="-120" windowWidth="20736" windowHeight="1116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45621"/>
</workbook>
</file>

<file path=xl/calcChain.xml><?xml version="1.0" encoding="utf-8"?>
<calcChain xmlns="http://schemas.openxmlformats.org/spreadsheetml/2006/main">
  <c r="J32" i="2" l="1"/>
  <c r="M32" i="2" s="1"/>
  <c r="J31" i="2"/>
  <c r="J30" i="2"/>
  <c r="B32" i="4"/>
  <c r="C32" i="4"/>
  <c r="D32" i="4"/>
  <c r="F32" i="4"/>
  <c r="G22" i="5" s="1"/>
  <c r="G32" i="4"/>
  <c r="B33" i="4"/>
  <c r="C33" i="4"/>
  <c r="D33" i="4"/>
  <c r="F33" i="4"/>
  <c r="G24" i="5" s="1"/>
  <c r="G33" i="4"/>
  <c r="F22" i="5"/>
  <c r="F23" i="5"/>
  <c r="G23" i="5"/>
  <c r="F24" i="5"/>
  <c r="F25" i="5"/>
  <c r="G25" i="5"/>
  <c r="J25" i="5" l="1"/>
  <c r="I33" i="4"/>
  <c r="J33" i="2"/>
  <c r="M33" i="2" s="1"/>
  <c r="J23" i="5"/>
  <c r="I32" i="4"/>
  <c r="H39" i="7"/>
  <c r="I31" i="4" l="1"/>
  <c r="G31" i="4"/>
  <c r="F31" i="4"/>
  <c r="B31" i="4"/>
  <c r="C31" i="4"/>
  <c r="D31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3" i="7" l="1"/>
  <c r="C32" i="7"/>
  <c r="C31" i="7"/>
  <c r="C30" i="7"/>
  <c r="A31" i="7"/>
  <c r="B31" i="7"/>
  <c r="D31" i="7"/>
  <c r="E31" i="7"/>
  <c r="F31" i="7"/>
  <c r="G31" i="7"/>
  <c r="H31" i="7"/>
  <c r="I31" i="7"/>
  <c r="A32" i="7"/>
  <c r="B32" i="7"/>
  <c r="D32" i="7"/>
  <c r="E32" i="7"/>
  <c r="F32" i="7"/>
  <c r="G32" i="7"/>
  <c r="H32" i="7"/>
  <c r="I32" i="7"/>
  <c r="A33" i="7"/>
  <c r="B33" i="7"/>
  <c r="D33" i="7"/>
  <c r="E33" i="7"/>
  <c r="F33" i="7"/>
  <c r="G33" i="7"/>
  <c r="H33" i="7"/>
  <c r="I33" i="7"/>
  <c r="I30" i="7"/>
  <c r="H30" i="7"/>
  <c r="F30" i="7"/>
  <c r="G30" i="7"/>
  <c r="E30" i="7"/>
  <c r="D30" i="7"/>
  <c r="B30" i="7"/>
  <c r="A30" i="7"/>
  <c r="E26" i="7"/>
  <c r="C24" i="7"/>
  <c r="F1" i="7"/>
  <c r="G34" i="7" l="1"/>
  <c r="E34" i="7"/>
  <c r="H34" i="7" l="1"/>
  <c r="E34" i="2" l="1"/>
  <c r="G34" i="2" l="1"/>
  <c r="H34" i="2"/>
  <c r="G21" i="5"/>
  <c r="G19" i="5"/>
  <c r="J21" i="5"/>
  <c r="F21" i="5"/>
  <c r="F20" i="5"/>
  <c r="F19" i="5"/>
  <c r="F18" i="5"/>
  <c r="J19" i="5"/>
  <c r="G30" i="4"/>
  <c r="G20" i="5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2" i="7"/>
  <c r="M30" i="2" l="1"/>
  <c r="M30" i="7" s="1"/>
  <c r="J30" i="7"/>
  <c r="M31" i="2"/>
  <c r="M31" i="7" s="1"/>
  <c r="J31" i="7"/>
  <c r="M33" i="7"/>
  <c r="J33" i="7"/>
  <c r="J34" i="2"/>
  <c r="M32" i="7"/>
  <c r="S3" i="3"/>
  <c r="S4" i="3"/>
  <c r="P3" i="3"/>
  <c r="R3" i="3"/>
  <c r="Q3" i="3" l="1"/>
  <c r="K4" i="3" s="1"/>
  <c r="J34" i="7"/>
  <c r="M34" i="7"/>
  <c r="M34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5" i="2" l="1"/>
  <c r="E35" i="7"/>
</calcChain>
</file>

<file path=xl/comments1.xml><?xml version="1.0" encoding="utf-8"?>
<comments xmlns="http://schemas.openxmlformats.org/spreadsheetml/2006/main">
  <authors>
    <author>Ok</author>
  </authors>
  <commentList>
    <comment ref="E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<sst xmlns="http://schemas.openxmlformats.org/spreadsheetml/2006/main" count="216" uniqueCount="165">
  <si>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</si>
  <si>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</si>
  <si>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</si>
  <si>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</si>
  <si>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</si>
  <si>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</si>
  <si>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</si>
  <si>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</si>
  <si>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</si>
  <si>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</si>
  <si>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</si>
  <si>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</si>
  <si>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</si>
  <si>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</si>
  <si>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</si>
  <si>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</si>
  <si>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</si>
  <si>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</si>
  <si>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</si>
  <si>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</si>
  <si>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</si>
  <si>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</si>
  <si>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</si>
  <si>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</si>
  <si>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</si>
  <si>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</si>
  <si>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</si>
  <si>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</si>
  <si>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</si>
  <si>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</si>
  <si>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</si>
  <si>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</si>
  <si>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</si>
  <si>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</si>
  <si>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</si>
  <si>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</si>
  <si>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</si>
  <si>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</si>
  <si>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</si>
  <si>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</si>
  <si>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</si>
  <si>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</si>
  <si>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</si>
  <si>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</si>
  <si>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</si>
  <si>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</si>
  <si>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</si>
  <si>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</si>
  <si>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</si>
  <si>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</si>
  <si>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</si>
  <si>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</si>
  <si>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</si>
  <si>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</si>
  <si>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</si>
  <si>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</si>
  <si>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</si>
  <si>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</si>
  <si>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</si>
  <si>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</si>
  <si>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</si>
  <si>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</si>
  <si>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</si>
  <si>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</si>
  <si>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</si>
  <si>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</si>
  <si>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</si>
  <si>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</si>
  <si>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</si>
  <si>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</si>
  <si>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</si>
  <si>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</si>
  <si>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</si>
  <si>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</si>
  <si>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</si>
  <si>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</si>
  <si>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</si>
  <si>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</si>
  <si>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</si>
  <si>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</si>
  <si>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</si>
  <si>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</si>
  <si>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</si>
  <si>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</si>
  <si>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</si>
  <si>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</si>
  <si>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</si>
  <si>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</si>
  <si>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</si>
  <si>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</si>
  <si>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</si>
  <si>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</si>
  <si>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</si>
  <si>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</si>
  <si>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</si>
  <si>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</si>
  <si>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</si>
  <si>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</si>
  <si>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</si>
  <si>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</si>
  <si>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</si>
  <si>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</si>
  <si>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</si>
  <si>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</si>
  <si>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</si>
  <si>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</si>
  <si>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</si>
  <si>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</si>
  <si>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</si>
  <si>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</si>
  <si>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</si>
  <si>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</si>
  <si>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</si>
  <si>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</si>
  <si>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</si>
  <si>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</si>
  <si>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Перец горький свежий</t>
  </si>
  <si>
    <t>0709609900</t>
  </si>
  <si>
    <t>Перец стручковый сладкий свежий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</si>
  <si>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</si>
  <si>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</si>
  <si>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</si>
  <si>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</si>
  <si>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</si>
  <si>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</si>
  <si>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</si>
  <si>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</si>
  <si>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</si>
  <si>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</si>
  <si>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</si>
  <si>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</si>
  <si>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</si>
  <si>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</si>
  <si>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</si>
  <si>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</si>
  <si>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0709601003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</si>
  <si>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</si>
  <si>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</si>
  <si>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</si>
  <si>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</si>
  <si>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</si>
  <si>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</si>
  <si>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</si>
  <si>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</si>
  <si>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</si>
  <si>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</si>
  <si>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</si>
  <si>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</si>
  <si>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</si>
  <si>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</si>
  <si>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</si>
  <si>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</si>
  <si>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</si>
  <si>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</si>
  <si>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</si>
  <si>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</si>
  <si>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</si>
  <si>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</si>
  <si>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</si>
  <si>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</si>
  <si>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 11.08.2025г.</t>
  </si>
  <si>
    <t xml:space="preserve">ИНВОЙС № BEZ-F-40 от </t>
  </si>
  <si>
    <t xml:space="preserve">СПЕЦИФИКАЦИЯ № BEZ-F-40 от </t>
  </si>
  <si>
    <t>20D975GA/201767AA</t>
  </si>
  <si>
    <t>DAP - с Амандык , Республика Казахстан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</si>
</sst>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Hipervínculo" xfId="1" builtinId="8"/>
    <cellStyle name="Normal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40</xdr:row>
      <xdr:rowOff>22411</xdr:rowOff>
    </xdr:from>
    <xdr:to>
      <xdr:col>4</xdr:col>
      <xdr:colOff>159123</xdr:colOff>
      <xdr:row>50</xdr:row>
      <xdr:rowOff>21290</xdr:rowOff>
    </xdr:to>
    <xdr:pic>
      <xdr:nvPicPr>
        <xdr:cNvPr id="2" name="Рисунок 2">
          <a:extLst>
            <a:ext uri="{FF2B5EF4-FFF2-40B4-BE49-F238E27FC236}">
              <a16:creationId xmlns=""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42</xdr:row>
      <xdr:rowOff>20172</xdr:rowOff>
    </xdr:from>
    <xdr:to>
      <xdr:col>12</xdr:col>
      <xdr:colOff>149486</xdr:colOff>
      <xdr:row>45</xdr:row>
      <xdr:rowOff>113593</xdr:rowOff>
    </xdr:to>
    <xdr:pic>
      <xdr:nvPicPr>
        <xdr:cNvPr id="3" name="Рисунок 2">
          <a:extLst>
            <a:ext uri="{FF2B5EF4-FFF2-40B4-BE49-F238E27FC236}">
              <a16:creationId xmlns=""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40</xdr:row>
      <xdr:rowOff>98613</xdr:rowOff>
    </xdr:from>
    <xdr:to>
      <xdr:col>9</xdr:col>
      <xdr:colOff>159123</xdr:colOff>
      <xdr:row>52</xdr:row>
      <xdr:rowOff>93657</xdr:rowOff>
    </xdr:to>
    <xdr:pic>
      <xdr:nvPicPr>
        <xdr:cNvPr id="4" name="Рисунок 3">
          <a:extLst>
            <a:ext uri="{FF2B5EF4-FFF2-40B4-BE49-F238E27FC236}">
              <a16:creationId xmlns=""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40</xdr:row>
      <xdr:rowOff>56030</xdr:rowOff>
    </xdr:from>
    <xdr:to>
      <xdr:col>3</xdr:col>
      <xdr:colOff>268941</xdr:colOff>
      <xdr:row>53</xdr:row>
      <xdr:rowOff>11869</xdr:rowOff>
    </xdr:to>
    <xdr:pic>
      <xdr:nvPicPr>
        <xdr:cNvPr id="6" name="Рисунок 2">
          <a:extLst>
            <a:ext uri="{FF2B5EF4-FFF2-40B4-BE49-F238E27FC236}">
              <a16:creationId xmlns=""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5"/>
  <sheetViews>
    <sheetView tabSelected="1" topLeftCell="A16" zoomScale="85" zoomScaleNormal="85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3" t="s">
        <v>161</v>
      </c>
      <c r="D1" s="133"/>
      <c r="E1" s="133"/>
      <c r="F1" s="132" t="s">
        <v>160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150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151</v>
      </c>
      <c r="B5" s="134"/>
      <c r="C5" s="134"/>
      <c r="D5" s="134"/>
      <c r="E5" s="134"/>
      <c r="F5" s="6"/>
      <c r="G5" s="136" t="s">
        <v>140</v>
      </c>
      <c r="H5" s="136"/>
      <c r="I5" s="136"/>
      <c r="J5" s="136"/>
      <c r="K5" s="136"/>
      <c r="L5" s="136"/>
      <c r="M5" s="136"/>
    </row>
    <row r="6" spans="1:15" ht="13.8" x14ac:dyDescent="0.25">
      <c r="A6" s="124" t="s">
        <v>152</v>
      </c>
      <c r="B6" s="124"/>
      <c r="C6" s="124"/>
      <c r="D6" s="124"/>
      <c r="E6" s="124"/>
      <c r="F6" s="7"/>
      <c r="G6" s="138" t="s">
        <v>141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4" t="s">
        <v>153</v>
      </c>
      <c r="B7" s="124"/>
      <c r="C7" s="124"/>
      <c r="D7" s="124"/>
      <c r="E7" s="124"/>
      <c r="F7" s="63"/>
      <c r="G7" s="138" t="s">
        <v>142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154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155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156</v>
      </c>
      <c r="B10" s="124"/>
      <c r="C10" s="124"/>
      <c r="D10" s="124"/>
      <c r="E10" s="124"/>
      <c r="F10" s="7"/>
      <c r="G10" s="7" t="s">
        <v>145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157</v>
      </c>
      <c r="B11" s="8"/>
      <c r="C11" s="8"/>
      <c r="D11" s="8"/>
      <c r="E11" s="8"/>
      <c r="F11" s="7"/>
      <c r="G11" s="7" t="s">
        <v>146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">
        <v>151</v>
      </c>
      <c r="B14" s="134"/>
      <c r="C14" s="134"/>
      <c r="D14" s="134"/>
      <c r="E14" s="134"/>
      <c r="F14" s="6"/>
      <c r="G14" s="136" t="s">
        <v>128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24" t="s">
        <v>152</v>
      </c>
      <c r="B15" s="124"/>
      <c r="C15" s="124"/>
      <c r="D15" s="124"/>
      <c r="E15" s="124"/>
      <c r="F15" s="7"/>
      <c r="G15" s="138" t="s">
        <v>129</v>
      </c>
      <c r="H15" s="141"/>
      <c r="I15" s="141"/>
      <c r="J15" s="141"/>
      <c r="K15" s="141"/>
      <c r="L15" s="141"/>
      <c r="M15" s="141"/>
    </row>
    <row r="16" spans="1:15" ht="13.8" x14ac:dyDescent="0.25">
      <c r="A16" s="124" t="s">
        <v>153</v>
      </c>
      <c r="B16" s="124"/>
      <c r="C16" s="124"/>
      <c r="D16" s="124"/>
      <c r="E16" s="124"/>
      <c r="F16" s="63"/>
      <c r="G16" s="138" t="s">
        <v>130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154</v>
      </c>
      <c r="B17" s="8"/>
      <c r="C17" s="8"/>
      <c r="D17" s="8"/>
      <c r="E17" s="8"/>
      <c r="F17" s="63"/>
      <c r="G17" s="7" t="s">
        <v>131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155</v>
      </c>
      <c r="B18" s="8"/>
      <c r="C18" s="8"/>
      <c r="D18" s="8"/>
      <c r="E18" s="8"/>
      <c r="F18" s="7"/>
      <c r="G18" s="8" t="s">
        <v>132</v>
      </c>
      <c r="H18" s="8"/>
      <c r="I18" s="8"/>
      <c r="J18" s="8"/>
      <c r="K18" s="8"/>
      <c r="L18" s="8"/>
      <c r="M18" s="8"/>
    </row>
    <row r="19" spans="1:17" ht="13.8" x14ac:dyDescent="0.25">
      <c r="A19" s="124" t="s">
        <v>156</v>
      </c>
      <c r="B19" s="124"/>
      <c r="C19" s="124"/>
      <c r="D19" s="124"/>
      <c r="E19" s="124"/>
      <c r="F19" s="7"/>
      <c r="G19" s="7" t="s">
        <v>133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157</v>
      </c>
      <c r="B20" s="8"/>
      <c r="C20" s="8"/>
      <c r="D20" s="8"/>
      <c r="E20" s="8"/>
      <c r="F20" s="7"/>
      <c r="G20" s="7" t="s">
        <v>134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1" t="s">
        <v>136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51"/>
    </row>
    <row r="24" spans="1:17" ht="15.6" x14ac:dyDescent="0.3">
      <c r="A24" s="20" t="s">
        <v>22</v>
      </c>
      <c r="C24" s="18" t="s">
        <v>164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">
        <v>163</v>
      </c>
      <c r="F26" s="153"/>
      <c r="G26" s="153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0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0" t="s">
        <v>12</v>
      </c>
      <c r="H29" s="110" t="s">
        <v>13</v>
      </c>
      <c r="I29" s="146"/>
      <c r="J29" s="111" t="s">
        <v>14</v>
      </c>
      <c r="K29" s="10" t="s">
        <v>15</v>
      </c>
      <c r="L29" s="10" t="s">
        <v>16</v>
      </c>
      <c r="M29" s="146"/>
    </row>
    <row r="30" spans="1:17" ht="27.6" x14ac:dyDescent="0.25">
      <c r="A30" s="127">
        <v>1</v>
      </c>
      <c r="B30" s="125" t="s">
        <v>116</v>
      </c>
      <c r="C30" s="107" t="s">
        <v>117</v>
      </c>
      <c r="D30" s="109" t="s">
        <v>112</v>
      </c>
      <c r="E30" s="101">
        <v>100</v>
      </c>
      <c r="F30" s="115" t="s">
        <v>27</v>
      </c>
      <c r="G30" s="106">
        <v>800</v>
      </c>
      <c r="H30" s="106">
        <v>700</v>
      </c>
      <c r="I30" s="108">
        <v>1</v>
      </c>
      <c r="J30" s="13">
        <f t="shared" ref="J30:J31" si="0">H30*I30</f>
        <v>700</v>
      </c>
      <c r="K30" s="12">
        <v>0</v>
      </c>
      <c r="L30" s="12">
        <v>0</v>
      </c>
      <c r="M30" s="13">
        <f t="shared" ref="M30:M33" si="1">J30</f>
        <v>700</v>
      </c>
      <c r="O30" s="100"/>
      <c r="Q30" s="100"/>
    </row>
    <row r="31" spans="1:17" ht="27.6" x14ac:dyDescent="0.25">
      <c r="A31" s="127">
        <v>2</v>
      </c>
      <c r="B31" s="125" t="s">
        <v>116</v>
      </c>
      <c r="C31" s="107" t="s">
        <v>117</v>
      </c>
      <c r="D31" s="109" t="s">
        <v>112</v>
      </c>
      <c r="E31" s="101">
        <v>50</v>
      </c>
      <c r="F31" s="115" t="s">
        <v>27</v>
      </c>
      <c r="G31" s="106">
        <v>400</v>
      </c>
      <c r="H31" s="106">
        <v>350</v>
      </c>
      <c r="I31" s="108">
        <v>1</v>
      </c>
      <c r="J31" s="13">
        <f t="shared" si="0"/>
        <v>350</v>
      </c>
      <c r="K31" s="12">
        <v>0</v>
      </c>
      <c r="L31" s="12">
        <v>0</v>
      </c>
      <c r="M31" s="13">
        <f t="shared" si="1"/>
        <v>350</v>
      </c>
      <c r="O31" s="100"/>
      <c r="Q31" s="100"/>
    </row>
    <row r="32" spans="1:17" ht="27.6" x14ac:dyDescent="0.25">
      <c r="A32" s="127">
        <v>3</v>
      </c>
      <c r="B32" s="125" t="s">
        <v>118</v>
      </c>
      <c r="C32" s="107" t="s">
        <v>135</v>
      </c>
      <c r="D32" s="109" t="s">
        <v>112</v>
      </c>
      <c r="E32" s="101">
        <v>100</v>
      </c>
      <c r="F32" s="115" t="s">
        <v>27</v>
      </c>
      <c r="G32" s="106">
        <v>1950</v>
      </c>
      <c r="H32" s="106">
        <v>1800</v>
      </c>
      <c r="I32" s="108">
        <v>0.35</v>
      </c>
      <c r="J32" s="13">
        <f t="shared" ref="J32:J33" si="2">H32*I32</f>
        <v>630</v>
      </c>
      <c r="K32" s="12">
        <v>0</v>
      </c>
      <c r="L32" s="12">
        <v>0</v>
      </c>
      <c r="M32" s="13">
        <f t="shared" si="1"/>
        <v>630</v>
      </c>
      <c r="O32" s="100"/>
      <c r="Q32" s="100"/>
    </row>
    <row r="33" spans="1:17" ht="27.6" x14ac:dyDescent="0.25">
      <c r="A33" s="127">
        <v>4</v>
      </c>
      <c r="B33" s="125" t="s">
        <v>118</v>
      </c>
      <c r="C33" s="107" t="s">
        <v>135</v>
      </c>
      <c r="D33" s="109" t="s">
        <v>112</v>
      </c>
      <c r="E33" s="101">
        <v>1000</v>
      </c>
      <c r="F33" s="115" t="s">
        <v>27</v>
      </c>
      <c r="G33" s="106">
        <v>19500</v>
      </c>
      <c r="H33" s="106">
        <v>18000</v>
      </c>
      <c r="I33" s="108">
        <v>0.35</v>
      </c>
      <c r="J33" s="13">
        <f t="shared" si="2"/>
        <v>6300</v>
      </c>
      <c r="K33" s="12">
        <v>0</v>
      </c>
      <c r="L33" s="12">
        <v>0</v>
      </c>
      <c r="M33" s="13">
        <f t="shared" si="1"/>
        <v>6300</v>
      </c>
      <c r="O33" s="100"/>
      <c r="Q33" s="100"/>
    </row>
    <row r="34" spans="1:17" ht="13.8" x14ac:dyDescent="0.25">
      <c r="A34" s="147" t="s">
        <v>0</v>
      </c>
      <c r="B34" s="148"/>
      <c r="C34" s="14"/>
      <c r="D34" s="15"/>
      <c r="E34" s="64">
        <f>SUM(E30:E33)</f>
        <v>1250</v>
      </c>
      <c r="F34" s="15"/>
      <c r="G34" s="64">
        <f>SUM(G30:G33)</f>
        <v>22650</v>
      </c>
      <c r="H34" s="64">
        <f>SUM(H30:H33)</f>
        <v>20850</v>
      </c>
      <c r="I34" s="102"/>
      <c r="J34" s="17">
        <f>SUM(J30:J33)</f>
        <v>7980</v>
      </c>
      <c r="K34" s="16"/>
      <c r="L34" s="16"/>
      <c r="M34" s="17">
        <f>SUM(M30:M33)</f>
        <v>7980</v>
      </c>
      <c r="P34" s="66"/>
    </row>
    <row r="35" spans="1:17" ht="13.8" x14ac:dyDescent="0.3">
      <c r="A35" s="2" t="s">
        <v>17</v>
      </c>
      <c r="B35" s="3"/>
      <c r="C35" s="11"/>
      <c r="D35" s="11"/>
      <c r="E35" s="143" t="str">
        <f>Лист1!B3</f>
        <v>Семь тысяч девятьсот восемьдесят долларов США, 00 центов.</v>
      </c>
      <c r="F35" s="144"/>
      <c r="G35" s="144"/>
      <c r="H35" s="144"/>
      <c r="I35" s="144"/>
      <c r="J35" s="144"/>
      <c r="K35" s="144"/>
      <c r="L35" s="144"/>
      <c r="M35" s="144"/>
    </row>
    <row r="36" spans="1:17" ht="20.25" customHeight="1" x14ac:dyDescent="0.25">
      <c r="A36" s="140"/>
      <c r="B36" s="140"/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</row>
    <row r="37" spans="1:17" ht="25.5" customHeight="1" x14ac:dyDescent="0.25">
      <c r="A37" s="140" t="s">
        <v>110</v>
      </c>
      <c r="B37" s="140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26"/>
    </row>
    <row r="39" spans="1:17" ht="13.8" x14ac:dyDescent="0.25">
      <c r="A39" s="7" t="s">
        <v>28</v>
      </c>
      <c r="B39" s="7"/>
      <c r="D39" s="25" t="s">
        <v>158</v>
      </c>
      <c r="E39" s="24"/>
    </row>
    <row r="40" spans="1:17" ht="13.8" x14ac:dyDescent="0.25">
      <c r="A40" s="7"/>
      <c r="B40" s="9"/>
    </row>
    <row r="41" spans="1:17" ht="13.8" x14ac:dyDescent="0.25">
      <c r="A41" s="7" t="s">
        <v>18</v>
      </c>
      <c r="B41" s="9"/>
    </row>
    <row r="42" spans="1:17" ht="13.8" x14ac:dyDescent="0.25">
      <c r="A42" s="7"/>
      <c r="B42" s="9"/>
    </row>
    <row r="43" spans="1:17" ht="13.8" x14ac:dyDescent="0.25">
      <c r="A43" s="7" t="s">
        <v>29</v>
      </c>
      <c r="B43" s="9"/>
    </row>
    <row r="44" spans="1:17" ht="13.8" x14ac:dyDescent="0.25">
      <c r="A44" s="8"/>
      <c r="B44" s="9"/>
    </row>
    <row r="45" spans="1:17" x14ac:dyDescent="0.25">
      <c r="A45" s="4"/>
    </row>
  </sheetData>
  <mergeCells count="32">
    <mergeCell ref="I28:I29"/>
    <mergeCell ref="G28:H28"/>
    <mergeCell ref="C23:M23"/>
    <mergeCell ref="E26:G26"/>
    <mergeCell ref="G7:M7"/>
    <mergeCell ref="A37:M37"/>
    <mergeCell ref="G15:M15"/>
    <mergeCell ref="G13:M13"/>
    <mergeCell ref="G14:M14"/>
    <mergeCell ref="E35:M35"/>
    <mergeCell ref="E28:E29"/>
    <mergeCell ref="C28:C29"/>
    <mergeCell ref="D28:D29"/>
    <mergeCell ref="A36:M36"/>
    <mergeCell ref="A34:B34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zoomScale="85" zoomScaleNormal="85" workbookViewId="0">
      <selection activeCell="B24" sqref="B24:D24"/>
    </sheetView>
  </sheetViews>
  <sheetFormatPr baseColWidth="10" defaultColWidth="8.88671875"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113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11.08.2025г.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BEZ-F-40 от  11.08.2025г.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</v>
      </c>
      <c r="D30" s="103" t="str">
        <f>+Инвойс!D30</f>
        <v>Пласт. ящик</v>
      </c>
      <c r="E30" s="103"/>
      <c r="F30" s="103" t="str">
        <f>+Инвойс!B30</f>
        <v>Перец горький свежий</v>
      </c>
      <c r="G30" s="104" t="str">
        <f>+Инвойс!C30</f>
        <v>0709609900</v>
      </c>
      <c r="H30" s="103"/>
      <c r="I30" s="105">
        <f>+Инвойс!G30</f>
        <v>800</v>
      </c>
    </row>
    <row r="31" spans="1:9" ht="9" customHeight="1" x14ac:dyDescent="0.2">
      <c r="A31" s="74"/>
      <c r="B31" s="103">
        <f>+Инвойс!A31</f>
        <v>2</v>
      </c>
      <c r="C31" s="103">
        <f>+Инвойс!E31</f>
        <v>50</v>
      </c>
      <c r="D31" s="103" t="str">
        <f>+Инвойс!D31</f>
        <v>Пласт. ящик</v>
      </c>
      <c r="E31" s="103"/>
      <c r="F31" s="103" t="str">
        <f>+Инвойс!B31</f>
        <v>Перец горький свежий</v>
      </c>
      <c r="G31" s="104" t="str">
        <f>+Инвойс!C31</f>
        <v>0709609900</v>
      </c>
      <c r="H31" s="103"/>
      <c r="I31" s="105">
        <f>+Инвойс!G31</f>
        <v>400</v>
      </c>
    </row>
    <row r="32" spans="1:9" ht="9" customHeight="1" x14ac:dyDescent="0.2">
      <c r="A32" s="74"/>
      <c r="B32" s="103">
        <f>+Инвойс!A32</f>
        <v>3</v>
      </c>
      <c r="C32" s="103">
        <f>+Инвойс!E32</f>
        <v>100</v>
      </c>
      <c r="D32" s="103" t="str">
        <f>+Инвойс!D32</f>
        <v>Пласт. ящик</v>
      </c>
      <c r="E32" s="103"/>
      <c r="F32" s="103" t="str">
        <f>+Инвойс!B32</f>
        <v>Перец стручковый сладкий свежий</v>
      </c>
      <c r="G32" s="104" t="str">
        <f>+Инвойс!C32</f>
        <v>0709601003</v>
      </c>
      <c r="H32" s="103"/>
      <c r="I32" s="105">
        <f>+Инвойс!G32</f>
        <v>1950</v>
      </c>
    </row>
    <row r="33" spans="1:9" ht="9" customHeight="1" x14ac:dyDescent="0.2">
      <c r="A33" s="74"/>
      <c r="B33" s="103">
        <f>+Инвойс!A33</f>
        <v>4</v>
      </c>
      <c r="C33" s="103">
        <f>+Инвойс!E33</f>
        <v>1000</v>
      </c>
      <c r="D33" s="103" t="str">
        <f>+Инвойс!D33</f>
        <v>Пласт. ящик</v>
      </c>
      <c r="E33" s="103"/>
      <c r="F33" s="103" t="str">
        <f>+Инвойс!B33</f>
        <v>Перец стручковый сладкий свежий</v>
      </c>
      <c r="G33" s="104" t="str">
        <f>+Инвойс!C33</f>
        <v>0709601003</v>
      </c>
      <c r="H33" s="103"/>
      <c r="I33" s="105">
        <f>+Инвойс!G33</f>
        <v>19500</v>
      </c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"ОМАС" 10610050 - т/п Омский 
644117, Омская обл., г. Омск, ул. 3-я Молодежная, д. 6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11.08.2025г.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20D975GA/201767AA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2" zoomScale="70" zoomScaleNormal="70" workbookViewId="0">
      <selection activeCell="D47" sqref="D47:E47"/>
    </sheetView>
  </sheetViews>
  <sheetFormatPr baseColWidth="10" defaultColWidth="8.88671875"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0" t="s">
        <v>96</v>
      </c>
      <c r="C2" s="160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1" t="str">
        <f>+Инвойс!E26</f>
        <v>20D975GA/201767AA</v>
      </c>
      <c r="C14" s="161"/>
      <c r="D14" s="161"/>
      <c r="E14" s="161"/>
      <c r="F14" s="161"/>
      <c r="G14" s="161"/>
      <c r="H14" s="162" t="s">
        <v>108</v>
      </c>
      <c r="I14" s="162"/>
      <c r="J14" s="88" t="str">
        <f>+Инвойс!F1</f>
        <v xml:space="preserve"> 11.08.2025г.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BEZ-F-40 от  11.08.2025г.</v>
      </c>
      <c r="I15" s="163"/>
      <c r="J15" s="163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100</v>
      </c>
      <c r="G18" s="164" t="str">
        <f>+CMR!F30</f>
        <v>Перец горький свежий</v>
      </c>
      <c r="H18" s="164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Пласт. ящик</v>
      </c>
      <c r="G19" s="158" t="str">
        <f>+Инвойс!C30</f>
        <v>0709609900</v>
      </c>
      <c r="H19" s="159"/>
      <c r="I19" s="121" t="s">
        <v>103</v>
      </c>
      <c r="J19" s="119">
        <f>+Инвойс!G30</f>
        <v>800</v>
      </c>
    </row>
    <row r="20" spans="2:10" ht="13.5" customHeight="1" x14ac:dyDescent="0.3">
      <c r="B20" s="83"/>
      <c r="E20" s="122"/>
      <c r="F20" s="117">
        <f>+Инвойс!E31</f>
        <v>50</v>
      </c>
      <c r="G20" s="164" t="str">
        <f>+CMR!F31</f>
        <v>Перец горький свежий</v>
      </c>
      <c r="H20" s="164"/>
      <c r="I20" s="118"/>
      <c r="J20" s="119"/>
    </row>
    <row r="21" spans="2:10" ht="13.5" customHeight="1" x14ac:dyDescent="0.3">
      <c r="B21" s="83" t="s">
        <v>104</v>
      </c>
      <c r="E21" s="122"/>
      <c r="F21" s="120" t="str">
        <f>+Инвойс!D31</f>
        <v>Пласт. ящик</v>
      </c>
      <c r="G21" s="158" t="str">
        <f>+Инвойс!C31</f>
        <v>0709609900</v>
      </c>
      <c r="H21" s="159"/>
      <c r="I21" s="121" t="s">
        <v>103</v>
      </c>
      <c r="J21" s="119">
        <f>+Инвойс!G31</f>
        <v>400</v>
      </c>
    </row>
    <row r="22" spans="2:10" ht="12.75" customHeight="1" x14ac:dyDescent="0.3">
      <c r="B22" s="83"/>
      <c r="E22" s="122"/>
      <c r="F22" s="117">
        <f>+Инвойс!E32</f>
        <v>100</v>
      </c>
      <c r="G22" s="164" t="str">
        <f>+CMR!F32</f>
        <v>Перец стручковый сладкий свежий</v>
      </c>
      <c r="H22" s="164"/>
      <c r="I22" s="118"/>
      <c r="J22" s="119"/>
    </row>
    <row r="23" spans="2:10" ht="14.25" customHeight="1" x14ac:dyDescent="0.3">
      <c r="B23" s="83"/>
      <c r="E23" s="122"/>
      <c r="F23" s="120" t="str">
        <f>+Инвойс!D32</f>
        <v>Пласт. ящик</v>
      </c>
      <c r="G23" s="158" t="str">
        <f>+Инвойс!C32</f>
        <v>0709601003</v>
      </c>
      <c r="H23" s="159"/>
      <c r="I23" s="121" t="s">
        <v>103</v>
      </c>
      <c r="J23" s="119">
        <f>+Инвойс!G32</f>
        <v>1950</v>
      </c>
    </row>
    <row r="24" spans="2:10" ht="12.75" customHeight="1" x14ac:dyDescent="0.3">
      <c r="B24" s="87"/>
      <c r="E24" s="122"/>
      <c r="F24" s="117">
        <f>+Инвойс!E33</f>
        <v>1000</v>
      </c>
      <c r="G24" s="164" t="str">
        <f>+CMR!F33</f>
        <v>Перец стручковый сладкий свежий</v>
      </c>
      <c r="H24" s="164"/>
      <c r="I24" s="118"/>
      <c r="J24" s="119"/>
    </row>
    <row r="25" spans="2:10" ht="12.75" customHeight="1" x14ac:dyDescent="0.3">
      <c r="B25" s="87"/>
      <c r="E25" s="122"/>
      <c r="F25" s="120" t="str">
        <f>+Инвойс!D33</f>
        <v>Пласт. ящик</v>
      </c>
      <c r="G25" s="158" t="str">
        <f>+Инвойс!C33</f>
        <v>0709601003</v>
      </c>
      <c r="H25" s="159"/>
      <c r="I25" s="121" t="s">
        <v>103</v>
      </c>
      <c r="J25" s="119">
        <f>+Инвойс!G33</f>
        <v>19500</v>
      </c>
    </row>
    <row r="26" spans="2:10" ht="12" customHeight="1" x14ac:dyDescent="0.3">
      <c r="B26" s="87"/>
      <c r="E26" s="122"/>
      <c r="F26" s="117"/>
      <c r="G26" s="164"/>
      <c r="H26" s="164"/>
      <c r="I26" s="118"/>
      <c r="J26" s="119"/>
    </row>
    <row r="27" spans="2:10" ht="14.25" customHeight="1" x14ac:dyDescent="0.3">
      <c r="B27" s="87"/>
      <c r="E27" s="122"/>
      <c r="F27" s="120"/>
      <c r="G27" s="158"/>
      <c r="H27" s="159"/>
      <c r="I27" s="121"/>
      <c r="J27" s="119"/>
    </row>
    <row r="28" spans="2:10" ht="12.75" customHeight="1" x14ac:dyDescent="0.3">
      <c r="B28" s="87"/>
      <c r="E28" s="122"/>
      <c r="F28" s="117"/>
      <c r="G28" s="164"/>
      <c r="H28" s="164"/>
      <c r="I28" s="118"/>
      <c r="J28" s="119"/>
    </row>
    <row r="29" spans="2:10" ht="12.75" customHeight="1" x14ac:dyDescent="0.3">
      <c r="B29" s="87"/>
      <c r="E29" s="122"/>
      <c r="F29" s="120"/>
      <c r="G29" s="158"/>
      <c r="H29" s="159"/>
      <c r="I29" s="121"/>
      <c r="J29" s="119"/>
    </row>
    <row r="30" spans="2:10" ht="12.75" customHeight="1" x14ac:dyDescent="0.3">
      <c r="B30" s="87"/>
      <c r="E30" s="122"/>
      <c r="F30" s="117"/>
      <c r="G30" s="164"/>
      <c r="H30" s="164"/>
      <c r="I30" s="118"/>
      <c r="J30" s="119"/>
    </row>
    <row r="31" spans="2:10" ht="13.5" customHeight="1" x14ac:dyDescent="0.3">
      <c r="B31" s="87"/>
      <c r="E31" s="122"/>
      <c r="F31" s="120"/>
      <c r="G31" s="158"/>
      <c r="H31" s="159"/>
      <c r="I31" s="121"/>
      <c r="J31" s="119"/>
    </row>
    <row r="32" spans="2:10" ht="13.5" customHeight="1" x14ac:dyDescent="0.3">
      <c r="B32" s="87"/>
      <c r="E32" s="122"/>
      <c r="F32" s="117"/>
      <c r="G32" s="164"/>
      <c r="H32" s="164"/>
      <c r="I32" s="118"/>
      <c r="J32" s="119"/>
    </row>
    <row r="33" spans="2:10" ht="13.5" customHeight="1" x14ac:dyDescent="0.3">
      <c r="B33" s="87"/>
      <c r="E33" s="122"/>
      <c r="F33" s="120"/>
      <c r="G33" s="158"/>
      <c r="H33" s="159"/>
      <c r="I33" s="121"/>
      <c r="J33" s="119"/>
    </row>
    <row r="34" spans="2:10" ht="13.5" customHeight="1" x14ac:dyDescent="0.3">
      <c r="B34" s="87"/>
      <c r="E34" s="122"/>
      <c r="F34" s="117"/>
      <c r="G34" s="164"/>
      <c r="H34" s="164"/>
      <c r="I34" s="118"/>
      <c r="J34" s="119"/>
    </row>
    <row r="35" spans="2:10" ht="12.75" customHeight="1" x14ac:dyDescent="0.3">
      <c r="B35" s="87"/>
      <c r="E35" s="122"/>
      <c r="F35" s="120"/>
      <c r="G35" s="158"/>
      <c r="H35" s="159"/>
      <c r="I35" s="121"/>
      <c r="J35" s="119"/>
    </row>
    <row r="36" spans="2:10" x14ac:dyDescent="0.3">
      <c r="B36" s="87"/>
      <c r="E36" s="122"/>
      <c r="F36" s="117"/>
      <c r="G36" s="164"/>
      <c r="H36" s="164"/>
      <c r="I36" s="118"/>
      <c r="J36" s="119"/>
    </row>
    <row r="37" spans="2:10" ht="13.5" customHeight="1" x14ac:dyDescent="0.3">
      <c r="B37" s="87"/>
      <c r="E37" s="122"/>
      <c r="F37" s="120"/>
      <c r="G37" s="158"/>
      <c r="H37" s="159"/>
      <c r="I37" s="121"/>
      <c r="J37" s="119"/>
    </row>
    <row r="38" spans="2:10" x14ac:dyDescent="0.3">
      <c r="B38" s="87"/>
      <c r="E38" s="122"/>
      <c r="F38" s="117"/>
      <c r="G38" s="164"/>
      <c r="H38" s="164"/>
      <c r="I38" s="118"/>
      <c r="J38" s="119"/>
    </row>
    <row r="39" spans="2:10" ht="13.5" customHeight="1" x14ac:dyDescent="0.3">
      <c r="B39" s="87"/>
      <c r="E39" s="122"/>
      <c r="F39" s="120"/>
      <c r="G39" s="158"/>
      <c r="H39" s="159"/>
      <c r="I39" s="121"/>
      <c r="J39" s="119"/>
    </row>
    <row r="40" spans="2:10" ht="14.25" hidden="1" customHeight="1" x14ac:dyDescent="0.3">
      <c r="B40" s="87"/>
      <c r="E40" s="122"/>
      <c r="F40" s="117"/>
      <c r="G40" s="164"/>
      <c r="H40" s="164"/>
      <c r="I40" s="118"/>
      <c r="J40" s="119"/>
    </row>
    <row r="41" spans="2:10" ht="14.25" hidden="1" customHeight="1" x14ac:dyDescent="0.3">
      <c r="B41" s="87"/>
      <c r="E41" s="122"/>
      <c r="F41" s="120"/>
      <c r="G41" s="158"/>
      <c r="H41" s="159"/>
      <c r="I41" s="121"/>
      <c r="J41" s="119"/>
    </row>
    <row r="42" spans="2:10" hidden="1" x14ac:dyDescent="0.3">
      <c r="B42" s="87"/>
      <c r="E42" s="122"/>
      <c r="F42" s="117"/>
      <c r="G42" s="164"/>
      <c r="H42" s="164"/>
      <c r="I42" s="118"/>
      <c r="J42" s="119"/>
    </row>
    <row r="43" spans="2:10" x14ac:dyDescent="0.3">
      <c r="B43" s="87"/>
      <c r="E43" s="122"/>
      <c r="F43" s="120"/>
      <c r="G43" s="158"/>
      <c r="H43" s="159"/>
      <c r="I43" s="121"/>
      <c r="J43" s="119"/>
    </row>
    <row r="44" spans="2:10" ht="9" customHeight="1" x14ac:dyDescent="0.3">
      <c r="B44" s="87"/>
      <c r="E44" s="95"/>
      <c r="F44" s="92"/>
      <c r="G44" s="166"/>
      <c r="H44" s="166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7">
        <f>+F18+F20+F22+F24+F26+F28+F30+F32+F34+F36+F38+F40+F42</f>
        <v>1250</v>
      </c>
      <c r="E47" s="168"/>
    </row>
    <row r="48" spans="2:10" ht="17.25" customHeight="1" x14ac:dyDescent="0.3">
      <c r="B48" s="165" t="s">
        <v>105</v>
      </c>
      <c r="C48" s="165"/>
      <c r="D48" s="165"/>
      <c r="E48" s="165"/>
    </row>
    <row r="49" spans="2:5" ht="21.75" customHeight="1" x14ac:dyDescent="0.3">
      <c r="B49" s="165"/>
      <c r="C49" s="165"/>
      <c r="D49" s="165"/>
      <c r="E49" s="165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5"/>
  <sheetViews>
    <sheetView zoomScale="70" zoomScaleNormal="70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32" t="str">
        <f>+Инвойс!F1</f>
        <v xml:space="preserve"> 11.08.2025г.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EX1607 от 16.07.2025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OOO “BMB EXIM”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3.8" x14ac:dyDescent="0.25">
      <c r="A6" s="170" t="str">
        <f>+Инвойс!A6</f>
        <v>Республика Узбекистан, Джизакская область,</v>
      </c>
      <c r="B6" s="170"/>
      <c r="C6" s="170"/>
      <c r="D6" s="170"/>
      <c r="E6" s="170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0" t="str">
        <f>+Инвойс!A7</f>
        <v>Шароф Рашидовский район, Токчилик МФЙ, ул Мустакиллик дом 92а</v>
      </c>
      <c r="B7" s="170"/>
      <c r="C7" s="170"/>
      <c r="D7" s="170"/>
      <c r="E7" s="170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>Р/с N 20208840905433267001   (USD)</v>
      </c>
      <c r="B8" s="170"/>
      <c r="C8" s="170"/>
      <c r="D8" s="170"/>
      <c r="E8" s="170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0" t="str">
        <f>+Инвойс!A9</f>
        <v xml:space="preserve">в “Узсаноаткурилиш” Банк операционный </v>
      </c>
      <c r="B9" s="170"/>
      <c r="C9" s="170"/>
      <c r="D9" s="170"/>
      <c r="E9" s="170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0" t="str">
        <f>+Инвойс!A10</f>
        <v>МФО 00440</v>
      </c>
      <c r="B10" s="170"/>
      <c r="C10" s="170"/>
      <c r="D10" s="170"/>
      <c r="E10" s="170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0" t="str">
        <f>+Инвойс!A11</f>
        <v>ИНН: 308822933</v>
      </c>
      <c r="B11" s="170"/>
      <c r="C11" s="170"/>
      <c r="D11" s="170"/>
      <c r="E11" s="170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tr">
        <f>+Инвойс!A14</f>
        <v>OOO “BMB EXIM”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70" t="str">
        <f>+Инвойс!A15</f>
        <v>Республика Узбекистан, Джизакская область,</v>
      </c>
      <c r="B15" s="170"/>
      <c r="C15" s="170"/>
      <c r="D15" s="170"/>
      <c r="E15" s="170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0" t="str">
        <f>+Инвойс!A16</f>
        <v>Шароф Рашидовский район, Токчилик МФЙ, ул Мустакиллик дом 92а</v>
      </c>
      <c r="B16" s="170"/>
      <c r="C16" s="170"/>
      <c r="D16" s="170"/>
      <c r="E16" s="170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>Р/с N 20208840905433267001   (USD)</v>
      </c>
      <c r="B17" s="170"/>
      <c r="C17" s="170"/>
      <c r="D17" s="170"/>
      <c r="E17" s="170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0" t="str">
        <f>+Инвойс!A18</f>
        <v xml:space="preserve">в “Узсаноаткурилиш” Банк операционный </v>
      </c>
      <c r="B18" s="170"/>
      <c r="C18" s="170"/>
      <c r="D18" s="170"/>
      <c r="E18" s="170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0" t="str">
        <f>+Инвойс!A19</f>
        <v>МФО 00440</v>
      </c>
      <c r="B19" s="170"/>
      <c r="C19" s="170"/>
      <c r="D19" s="170"/>
      <c r="E19" s="170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0" t="str">
        <f>+Инвойс!A20</f>
        <v>ИНН: 308822933</v>
      </c>
      <c r="B20" s="170"/>
      <c r="C20" s="170"/>
      <c r="D20" s="170"/>
      <c r="E20" s="170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3">
      <c r="A22" s="1" t="s">
        <v>137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119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tr">
        <f>+Инвойс!E26</f>
        <v>20D975GA/201767AA</v>
      </c>
      <c r="F26" s="153"/>
      <c r="G26" s="153"/>
      <c r="J26" s="21"/>
    </row>
    <row r="27" spans="1:17" ht="34.5" customHeight="1" x14ac:dyDescent="0.25">
      <c r="A27" s="67" t="s">
        <v>138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0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0" t="s">
        <v>12</v>
      </c>
      <c r="H29" s="110" t="s">
        <v>13</v>
      </c>
      <c r="I29" s="146"/>
      <c r="J29" s="111" t="s">
        <v>14</v>
      </c>
      <c r="K29" s="10" t="s">
        <v>15</v>
      </c>
      <c r="L29" s="10" t="s">
        <v>16</v>
      </c>
      <c r="M29" s="146"/>
    </row>
    <row r="30" spans="1:17" ht="13.8" x14ac:dyDescent="0.25">
      <c r="A30" s="127">
        <f>+Инвойс!A30</f>
        <v>1</v>
      </c>
      <c r="B30" s="101" t="str">
        <f>+Инвойс!B30</f>
        <v>Перец горький свежий</v>
      </c>
      <c r="C30" s="107" t="str">
        <f>+Инвойс!C30</f>
        <v>0709609900</v>
      </c>
      <c r="D30" s="114" t="str">
        <f>+Инвойс!D30</f>
        <v>Пласт. ящик</v>
      </c>
      <c r="E30" s="101">
        <f>+Инвойс!E30</f>
        <v>100</v>
      </c>
      <c r="F30" s="115" t="str">
        <f>+Инвойс!F30</f>
        <v>кг</v>
      </c>
      <c r="G30" s="106">
        <f>+Инвойс!G30</f>
        <v>800</v>
      </c>
      <c r="H30" s="106">
        <f>+Инвойс!H30</f>
        <v>700</v>
      </c>
      <c r="I30" s="108">
        <f>+Инвойс!I30</f>
        <v>1</v>
      </c>
      <c r="J30" s="13">
        <f>+Инвойс!J30</f>
        <v>700</v>
      </c>
      <c r="K30" s="12">
        <v>0</v>
      </c>
      <c r="L30" s="12">
        <v>0</v>
      </c>
      <c r="M30" s="13">
        <f>+Инвойс!M30</f>
        <v>700</v>
      </c>
      <c r="O30" s="100"/>
      <c r="Q30" s="100"/>
    </row>
    <row r="31" spans="1:17" ht="13.8" x14ac:dyDescent="0.25">
      <c r="A31" s="127">
        <f>+Инвойс!A31</f>
        <v>2</v>
      </c>
      <c r="B31" s="101" t="str">
        <f>+Инвойс!B31</f>
        <v>Перец горький свежий</v>
      </c>
      <c r="C31" s="107" t="str">
        <f>+Инвойс!C31</f>
        <v>0709609900</v>
      </c>
      <c r="D31" s="114" t="str">
        <f>+Инвойс!D31</f>
        <v>Пласт. ящик</v>
      </c>
      <c r="E31" s="101">
        <f>+Инвойс!E31</f>
        <v>50</v>
      </c>
      <c r="F31" s="115" t="str">
        <f>+Инвойс!F31</f>
        <v>кг</v>
      </c>
      <c r="G31" s="106">
        <f>+Инвойс!G31</f>
        <v>400</v>
      </c>
      <c r="H31" s="106">
        <f>+Инвойс!H31</f>
        <v>350</v>
      </c>
      <c r="I31" s="108">
        <f>+Инвойс!I31</f>
        <v>1</v>
      </c>
      <c r="J31" s="13">
        <f>+Инвойс!J31</f>
        <v>350</v>
      </c>
      <c r="K31" s="12">
        <v>0</v>
      </c>
      <c r="L31" s="12">
        <v>0</v>
      </c>
      <c r="M31" s="13">
        <f>+Инвойс!M31</f>
        <v>350</v>
      </c>
      <c r="O31" s="100"/>
      <c r="Q31" s="100"/>
    </row>
    <row r="32" spans="1:17" ht="27.6" x14ac:dyDescent="0.25">
      <c r="A32" s="127">
        <f>+Инвойс!A32</f>
        <v>3</v>
      </c>
      <c r="B32" s="101" t="str">
        <f>+Инвойс!B32</f>
        <v>Перец стручковый сладкий свежий</v>
      </c>
      <c r="C32" s="107" t="str">
        <f>+Инвойс!C32</f>
        <v>0709601003</v>
      </c>
      <c r="D32" s="114" t="str">
        <f>+Инвойс!D32</f>
        <v>Пласт. ящик</v>
      </c>
      <c r="E32" s="101">
        <f>+Инвойс!E32</f>
        <v>100</v>
      </c>
      <c r="F32" s="115" t="str">
        <f>+Инвойс!F32</f>
        <v>кг</v>
      </c>
      <c r="G32" s="106">
        <f>+Инвойс!G32</f>
        <v>1950</v>
      </c>
      <c r="H32" s="106">
        <f>+Инвойс!H32</f>
        <v>1800</v>
      </c>
      <c r="I32" s="108">
        <f>+Инвойс!I32</f>
        <v>0.35</v>
      </c>
      <c r="J32" s="13">
        <f>+Инвойс!J32</f>
        <v>630</v>
      </c>
      <c r="K32" s="12">
        <v>0</v>
      </c>
      <c r="L32" s="12">
        <v>0</v>
      </c>
      <c r="M32" s="13">
        <f>+Инвойс!M32</f>
        <v>630</v>
      </c>
      <c r="O32" s="100"/>
      <c r="Q32" s="100"/>
    </row>
    <row r="33" spans="1:17" ht="27.6" x14ac:dyDescent="0.25">
      <c r="A33" s="127">
        <f>+Инвойс!A33</f>
        <v>4</v>
      </c>
      <c r="B33" s="101" t="str">
        <f>+Инвойс!B33</f>
        <v>Перец стручковый сладкий свежий</v>
      </c>
      <c r="C33" s="107" t="str">
        <f>+Инвойс!C33</f>
        <v>0709601003</v>
      </c>
      <c r="D33" s="114" t="str">
        <f>+Инвойс!D33</f>
        <v>Пласт. ящик</v>
      </c>
      <c r="E33" s="101">
        <f>+Инвойс!E33</f>
        <v>1000</v>
      </c>
      <c r="F33" s="115" t="str">
        <f>+Инвойс!F33</f>
        <v>кг</v>
      </c>
      <c r="G33" s="106">
        <f>+Инвойс!G33</f>
        <v>19500</v>
      </c>
      <c r="H33" s="106">
        <f>+Инвойс!H33</f>
        <v>18000</v>
      </c>
      <c r="I33" s="108">
        <f>+Инвойс!I33</f>
        <v>0.35</v>
      </c>
      <c r="J33" s="13">
        <f>+Инвойс!J33</f>
        <v>6300</v>
      </c>
      <c r="K33" s="12">
        <v>0</v>
      </c>
      <c r="L33" s="12">
        <v>0</v>
      </c>
      <c r="M33" s="13">
        <f>+Инвойс!M33</f>
        <v>6300</v>
      </c>
      <c r="O33" s="100"/>
      <c r="Q33" s="100"/>
    </row>
    <row r="34" spans="1:17" ht="13.8" x14ac:dyDescent="0.25">
      <c r="A34" s="147" t="s">
        <v>0</v>
      </c>
      <c r="B34" s="148"/>
      <c r="C34" s="14"/>
      <c r="D34" s="15"/>
      <c r="E34" s="64">
        <f>SUM(E30:E33)</f>
        <v>1250</v>
      </c>
      <c r="F34" s="15"/>
      <c r="G34" s="64">
        <f>SUM(G30:G33)</f>
        <v>22650</v>
      </c>
      <c r="H34" s="64">
        <f>SUM(H30:H33)</f>
        <v>20850</v>
      </c>
      <c r="I34" s="102"/>
      <c r="J34" s="17">
        <f>SUM(J30:J33)</f>
        <v>7980</v>
      </c>
      <c r="K34" s="16"/>
      <c r="L34" s="16"/>
      <c r="M34" s="17">
        <f>SUM(M30:M33)</f>
        <v>7980</v>
      </c>
      <c r="P34" s="66"/>
    </row>
    <row r="35" spans="1:17" ht="13.8" x14ac:dyDescent="0.3">
      <c r="A35" s="2" t="s">
        <v>17</v>
      </c>
      <c r="B35" s="3"/>
      <c r="C35" s="11"/>
      <c r="D35" s="11"/>
      <c r="E35" s="143" t="str">
        <f>Лист1!B3</f>
        <v>Семь тысяч девятьсот восемьдесят долларов США, 00 центов.</v>
      </c>
      <c r="F35" s="144"/>
      <c r="G35" s="144"/>
      <c r="H35" s="144"/>
      <c r="I35" s="144"/>
      <c r="J35" s="144"/>
      <c r="K35" s="144"/>
      <c r="L35" s="144"/>
      <c r="M35" s="144"/>
    </row>
    <row r="36" spans="1:17" ht="20.25" customHeight="1" x14ac:dyDescent="0.25">
      <c r="A36" s="140"/>
      <c r="B36" s="140"/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</row>
    <row r="37" spans="1:17" ht="25.5" customHeight="1" x14ac:dyDescent="0.25">
      <c r="A37" s="140"/>
      <c r="B37" s="140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26"/>
    </row>
    <row r="39" spans="1:17" ht="15.6" x14ac:dyDescent="0.3">
      <c r="A39" s="7" t="s">
        <v>159</v>
      </c>
      <c r="B39" s="7"/>
      <c r="D39" s="25" t="s">
        <v>158</v>
      </c>
      <c r="E39" s="24"/>
      <c r="G39" s="129" t="s">
        <v>147</v>
      </c>
      <c r="H39" t="str">
        <f>Инвойс!G5</f>
        <v>ООО ТД «РЕСУРС»</v>
      </c>
      <c r="K39" s="130" t="s">
        <v>148</v>
      </c>
    </row>
    <row r="40" spans="1:17" ht="13.8" x14ac:dyDescent="0.25">
      <c r="A40" s="7"/>
      <c r="B40" s="9"/>
    </row>
    <row r="41" spans="1:17" ht="13.8" x14ac:dyDescent="0.25">
      <c r="A41" s="7"/>
      <c r="B41" s="9"/>
    </row>
    <row r="42" spans="1:17" ht="13.8" x14ac:dyDescent="0.25">
      <c r="A42" s="7"/>
      <c r="B42" s="9"/>
    </row>
    <row r="43" spans="1:17" ht="13.8" x14ac:dyDescent="0.25">
      <c r="A43" s="7"/>
      <c r="B43" s="9"/>
    </row>
    <row r="44" spans="1:17" ht="13.8" x14ac:dyDescent="0.25">
      <c r="A44" s="8"/>
      <c r="B44" s="9"/>
    </row>
    <row r="45" spans="1:17" x14ac:dyDescent="0.25">
      <c r="A45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6:M36"/>
    <mergeCell ref="A37:M37"/>
    <mergeCell ref="G28:H28"/>
    <mergeCell ref="I28:I29"/>
    <mergeCell ref="K28:L28"/>
    <mergeCell ref="M28:M29"/>
    <mergeCell ref="A34:B34"/>
    <mergeCell ref="E35:M35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topLeftCell="A10" zoomScale="85" zoomScaleNormal="85" workbookViewId="0">
      <selection activeCell="A19" sqref="A19"/>
    </sheetView>
  </sheetViews>
  <sheetFormatPr baseColWidth="10" defaultColWidth="8.88671875" defaultRowHeight="13.2" x14ac:dyDescent="0.25"/>
  <cols>
    <col min="1" max="1" width="48.6640625" bestFit="1" customWidth="1"/>
  </cols>
  <sheetData>
    <row r="1" spans="1:1" ht="39.6" x14ac:dyDescent="0.25">
      <c r="A1" s="126" t="s">
        <v>120</v>
      </c>
    </row>
    <row r="3" spans="1:1" ht="52.8" x14ac:dyDescent="0.25">
      <c r="A3" s="131" t="s">
        <v>139</v>
      </c>
    </row>
    <row r="5" spans="1:1" ht="39.6" x14ac:dyDescent="0.25">
      <c r="A5" s="126" t="s">
        <v>121</v>
      </c>
    </row>
    <row r="7" spans="1:1" ht="52.8" x14ac:dyDescent="0.25">
      <c r="A7" s="126" t="s">
        <v>122</v>
      </c>
    </row>
    <row r="9" spans="1:1" ht="52.8" x14ac:dyDescent="0.25">
      <c r="A9" s="126" t="s">
        <v>123</v>
      </c>
    </row>
    <row r="10" spans="1:1" x14ac:dyDescent="0.25">
      <c r="A10" s="126"/>
    </row>
    <row r="11" spans="1:1" ht="52.8" x14ac:dyDescent="0.25">
      <c r="A11" s="126" t="s">
        <v>124</v>
      </c>
    </row>
    <row r="13" spans="1:1" ht="52.8" x14ac:dyDescent="0.25">
      <c r="A13" s="126" t="s">
        <v>125</v>
      </c>
    </row>
    <row r="15" spans="1:1" ht="39.6" x14ac:dyDescent="0.25">
      <c r="A15" s="126" t="s">
        <v>126</v>
      </c>
    </row>
    <row r="17" spans="1:1" ht="39.6" x14ac:dyDescent="0.25">
      <c r="A17" s="126" t="s">
        <v>127</v>
      </c>
    </row>
    <row r="19" spans="1:1" ht="39.6" x14ac:dyDescent="0.25">
      <c r="A19" s="128" t="s">
        <v>136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baseColWidth="10"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Инвойс!M34</f>
        <v>7980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Семь тысяч девятьсот восемьдесят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45880</v>
      </c>
      <c r="O3" s="176"/>
      <c r="P3">
        <f ca="1">DAY(N3)</f>
        <v>11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Семь тысяч девятьсот восемьдесят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11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семь тысяч девятьсот восемьдесят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семь тысяч девятьсот восемьдесят долларов США, 00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241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с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семь тысяч </v>
      </c>
      <c r="D10" s="47"/>
      <c r="E10" s="48"/>
      <c r="F10" s="41" t="str">
        <f>PROPER(F9)</f>
        <v>С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девятьсот восемьдесят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45880</v>
      </c>
    </row>
    <row r="13" spans="1:19" s="43" customFormat="1" x14ac:dyDescent="0.25">
      <c r="A13" s="49"/>
      <c r="D13" s="51"/>
      <c r="E13" s="52">
        <f>TRUNC(E2)</f>
        <v>7980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7</v>
      </c>
      <c r="B25" s="47">
        <f>TRUNC(RIGHT(A25))</f>
        <v>7</v>
      </c>
      <c r="C25" s="51">
        <f>IF(B24=1,B25+10,IF(B25=0,0,B25))</f>
        <v>7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семь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7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79</v>
      </c>
      <c r="B27" s="47">
        <f>TRUNC(RIGHT(A27))</f>
        <v>9</v>
      </c>
      <c r="C27" s="51">
        <f>B27</f>
        <v>9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5">
      <c r="A28" s="54">
        <f>TRUNC(A29/10)</f>
        <v>798</v>
      </c>
      <c r="B28" s="58">
        <f>TRUNC(RIGHT(A28))</f>
        <v>8</v>
      </c>
      <c r="C28" s="51">
        <f>IF(B28=1,"",B28)</f>
        <v>8</v>
      </c>
      <c r="E28" s="56" t="str">
        <f>IF(OR(C28=0,B28=1),"",IF(C28=2,E35,IF(C28=3,E36,IF(C28=4,E37,IF(C28=5,E38,IF(C28=6,E39,IF(C28=7,E40,IF(C28=8,E41,E42))))))))</f>
        <v xml:space="preserve">восемьдесят </v>
      </c>
      <c r="G28" s="47"/>
    </row>
    <row r="29" spans="1:9" s="43" customFormat="1" x14ac:dyDescent="0.25">
      <c r="A29" s="54">
        <f>E13</f>
        <v>7980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980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2025-08-11T11:11:29Z</cp:lastPrinted>
  <dcterms:created xsi:type="dcterms:W3CDTF">1996-10-14T23:33:28Z</dcterms:created>
  <dcterms:modified xsi:type="dcterms:W3CDTF">2025-08-11T11:11:33Z</dcterms:modified>
</cp:coreProperties>
</file>