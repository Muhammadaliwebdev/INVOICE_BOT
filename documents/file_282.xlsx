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69901DC-C984-4C52-B161-8F7E0309EF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<sst xmlns="http://schemas.openxmlformats.org/spreadsheetml/2006/main" count="211" uniqueCount="164">
  <si>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</si>
  <si>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</si>
  <si>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</si>
  <si>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</si>
  <si>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</si>
  <si>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</si>
  <si>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</si>
  <si>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</si>
  <si>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</si>
  <si>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</si>
  <si>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</si>
  <si>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</si>
  <si>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</si>
  <si>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</si>
  <si>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</si>
  <si>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</si>
  <si>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</si>
  <si>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</si>
  <si>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</si>
  <si>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</si>
  <si>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</si>
  <si>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</si>
  <si>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</si>
  <si>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</si>
  <si>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</si>
  <si>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</si>
  <si>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</si>
  <si>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</si>
  <si>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</si>
  <si>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</si>
  <si>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</si>
  <si>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</si>
  <si>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</si>
  <si>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</si>
  <si>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</si>
  <si>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</si>
  <si>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</si>
  <si>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</si>
  <si>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</si>
  <si>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</si>
  <si>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</si>
  <si>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</si>
  <si>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</si>
  <si>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</si>
  <si>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</si>
  <si>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</si>
  <si>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</si>
  <si>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</si>
  <si>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</si>
  <si>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</si>
  <si>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</si>
  <si>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</si>
  <si>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</si>
  <si>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</si>
  <si>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</si>
  <si>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</si>
  <si>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</si>
  <si>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</si>
  <si>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</si>
  <si>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</si>
  <si>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</si>
  <si>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</si>
  <si>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</si>
  <si>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</si>
  <si>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</si>
  <si>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</si>
  <si>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</si>
  <si>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</si>
  <si>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</si>
  <si>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</si>
  <si>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</si>
  <si>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</si>
  <si>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</si>
  <si>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</si>
  <si>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</si>
  <si>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</si>
  <si>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</si>
  <si>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</si>
  <si>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</si>
  <si>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</si>
  <si>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</si>
  <si>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</si>
  <si>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</si>
  <si>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</si>
  <si>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</si>
  <si>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</si>
  <si>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</si>
  <si>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</si>
  <si>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</si>
  <si>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</si>
  <si>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</si>
  <si>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</si>
  <si>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</si>
  <si>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</si>
  <si>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</si>
  <si>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</si>
  <si>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</si>
  <si>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</si>
  <si>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</si>
  <si>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</si>
  <si>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</si>
  <si>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</si>
  <si>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</si>
  <si>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</si>
  <si>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</si>
  <si>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</si>
  <si>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</si>
  <si>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</si>
  <si>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</si>
  <si>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</si>
  <si>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</si>
  <si>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</si>
  <si>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</si>
  <si>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</si>
  <si>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</si>
  <si>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</si>
  <si>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</si>
  <si>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</si>
  <si>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</si>
  <si>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</si>
  <si>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</si>
  <si>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</si>
  <si>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</si>
  <si>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</si>
  <si>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</si>
  <si>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</si>
  <si>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</si>
  <si>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</si>
  <si>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</si>
  <si>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</si>
  <si>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</si>
  <si>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</si>
  <si>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</si>
  <si>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</si>
  <si>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</si>
  <si>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</si>
  <si>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</si>
  <si>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</si>
  <si>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</si>
  <si>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</si>
  <si>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</si>
  <si>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</si>
  <si>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</si>
  <si>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</si>
  <si>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</si>
  <si>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</si>
  <si>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</si>
  <si>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</si>
  <si>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</si>
  <si>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</si>
  <si>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</si>
  <si>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</si>
  <si>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</si>
  <si>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</si>
  <si>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</si>
  <si>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</si>
  <si>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</si>
  <si>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</si>
  <si>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</si>
  <si>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</si>
  <si>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 30.08.2025г.</t>
  </si>
  <si>
    <t>30627NBA/307214AA</t>
  </si>
  <si>
    <t xml:space="preserve">ИНВОЙС № UFG-M-32 от </t>
  </si>
  <si>
    <t xml:space="preserve">СПЕЦИФИКАЦИЯ № UFG-M- 32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</si>
</sst>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162</v>
      </c>
      <c r="D1" s="135"/>
      <c r="E1" s="135"/>
      <c r="F1" s="134" t="s">
        <v>160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152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153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148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154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153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148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154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118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161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950</v>
      </c>
      <c r="F30" s="110" t="s">
        <v>27</v>
      </c>
      <c r="G30" s="106">
        <v>23500</v>
      </c>
      <c r="H30" s="106">
        <v>21790</v>
      </c>
      <c r="I30" s="108">
        <v>0.25</v>
      </c>
      <c r="J30" s="13">
        <f t="shared" ref="J30" si="0">H30*I30</f>
        <v>5447.5</v>
      </c>
      <c r="K30" s="12">
        <v>0</v>
      </c>
      <c r="L30" s="12">
        <v>0</v>
      </c>
      <c r="M30" s="13">
        <f t="shared" ref="M30" si="1">J30</f>
        <v>5447.5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23500</v>
      </c>
      <c r="H31" s="64">
        <f>SUM(H30:H30)</f>
        <v>21790</v>
      </c>
      <c r="I31" s="102"/>
      <c r="J31" s="17">
        <f>SUM(J30:J30)</f>
        <v>5447.5</v>
      </c>
      <c r="K31" s="16"/>
      <c r="L31" s="16"/>
      <c r="M31" s="17">
        <f>SUM(M30:M30)</f>
        <v>5447.5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четыреста сорок семь долларов США, 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C38" sqref="C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UFG-M-32 от  30.08.2025г.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30.08.2025г.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30627NBA/307214AA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E46" sqref="E4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30627NBA/307214AA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UFG-M-32 от  30.08.2025г.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23500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950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B2" sqref="B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30.08.2025г.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30627NBA/307214AA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5.2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23500</v>
      </c>
      <c r="H30" s="106">
        <f>+Инвойс!H30</f>
        <v>21790</v>
      </c>
      <c r="I30" s="108">
        <f>+Инвойс!I30</f>
        <v>0.25</v>
      </c>
      <c r="J30" s="13">
        <f>+Инвойс!J30</f>
        <v>5447.5</v>
      </c>
      <c r="K30" s="12">
        <v>0</v>
      </c>
      <c r="L30" s="12">
        <v>0</v>
      </c>
      <c r="M30" s="13">
        <f>+Инвойс!M30</f>
        <v>5447.5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23500</v>
      </c>
      <c r="H31" s="64">
        <f>SUM(H30:H30)</f>
        <v>21790</v>
      </c>
      <c r="I31" s="102"/>
      <c r="J31" s="17">
        <f>SUM(J30:J30)</f>
        <v>5447.5</v>
      </c>
      <c r="K31" s="16"/>
      <c r="L31" s="16"/>
      <c r="M31" s="17">
        <f>SUM(M30:M30)</f>
        <v>5447.5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четыреста сорок семь долларов США, 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5447.5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четыреста сорок семь долларов США, 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45899</v>
      </c>
      <c r="O3" s="178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четыреста сорок семь долларов США, 50 центов. (в т.ч. НДС - 357,79)</v>
      </c>
      <c r="H4" s="32"/>
      <c r="I4" s="32"/>
      <c r="J4" s="32"/>
      <c r="K4" s="179" t="str">
        <f ca="1">CONCATENATE(" «  ",P3,"  »  ",Q3,"  ",R3," г.")</f>
        <v xml:space="preserve"> «  30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четыреста сорок семь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четыреста сорок семь долларов США, 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четыреста сорок семь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5447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544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5447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447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2025-08-30T05:58:56Z</cp:lastPrinted>
  <dcterms:created xsi:type="dcterms:W3CDTF">1996-10-14T23:33:28Z</dcterms:created>
  <dcterms:modified xsi:type="dcterms:W3CDTF">2025-08-30T05:59:23Z</dcterms:modified>
</cp:coreProperties>
</file>