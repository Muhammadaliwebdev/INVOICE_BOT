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1" i="2" l="1"/>
  <c r="M31" i="2" s="1"/>
  <c r="J30" i="2" l="1"/>
  <c r="M30" i="2" s="1"/>
  <c r="D37" i="7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M31" i="7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<sst xmlns="http://schemas.openxmlformats.org/spreadsheetml/2006/main" count="217" uniqueCount="167">
  <si>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</si>
  <si>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</si>
  <si>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</si>
  <si>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</si>
  <si>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</si>
  <si>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</si>
  <si>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</si>
  <si>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</si>
  <si>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</si>
  <si>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</si>
  <si>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</si>
  <si>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</si>
  <si>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</si>
  <si>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</si>
  <si>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</si>
  <si>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</si>
  <si>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</si>
  <si>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</si>
  <si>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</si>
  <si>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</si>
  <si>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</si>
  <si>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</si>
  <si>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</si>
  <si>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</si>
  <si>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</si>
  <si>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</si>
  <si>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</si>
  <si>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</si>
  <si>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</si>
  <si>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</si>
  <si>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</si>
  <si>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</si>
  <si>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</si>
  <si>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</si>
  <si>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</si>
  <si>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</si>
  <si>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</si>
  <si>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</si>
  <si>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</si>
  <si>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</si>
  <si>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</si>
  <si>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</si>
  <si>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</si>
  <si>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</si>
  <si>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</si>
  <si>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</si>
  <si>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</si>
  <si>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</si>
  <si>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</si>
  <si>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</si>
  <si>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</si>
  <si>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</si>
  <si>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</si>
  <si>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</si>
  <si>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</si>
  <si>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</si>
  <si>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</si>
  <si>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</si>
  <si>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</si>
  <si>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</si>
  <si>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</si>
  <si>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</si>
  <si>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</si>
  <si>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</si>
  <si>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</si>
  <si>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</si>
  <si>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</si>
  <si>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</si>
  <si>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</si>
  <si>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</si>
  <si>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</si>
  <si>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</si>
  <si>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</si>
  <si>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</si>
  <si>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</si>
  <si>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</si>
  <si>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</si>
  <si>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</si>
  <si>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</si>
  <si>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</si>
  <si>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</si>
  <si>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</si>
  <si>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</si>
  <si>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</si>
  <si>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</si>
  <si>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</si>
  <si>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</si>
  <si>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</si>
  <si>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</si>
  <si>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</si>
  <si>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</si>
  <si>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</si>
  <si>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</si>
  <si>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</si>
  <si>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</si>
  <si>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</si>
  <si>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</si>
  <si>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</si>
  <si>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</si>
  <si>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</si>
  <si>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</si>
  <si>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</si>
  <si>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</si>
  <si>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</si>
  <si>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</si>
  <si>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</si>
  <si>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</si>
  <si>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</si>
  <si>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</si>
  <si>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</si>
  <si>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</si>
  <si>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</si>
  <si>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</si>
  <si>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</si>
  <si>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</si>
  <si>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</si>
  <si>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</si>
  <si>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</si>
  <si>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</si>
  <si>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</si>
  <si>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</si>
  <si>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</si>
  <si>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</si>
  <si>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</si>
  <si>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</si>
  <si>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</si>
  <si>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</si>
  <si>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</si>
  <si>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</si>
  <si>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</si>
  <si>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</si>
  <si>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</si>
  <si>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</si>
  <si>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</si>
  <si>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</si>
  <si>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</si>
  <si>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</si>
  <si>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</si>
  <si>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</si>
  <si>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</si>
  <si>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</si>
  <si>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</si>
  <si>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</si>
  <si>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</si>
  <si>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</si>
  <si>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</si>
  <si>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</si>
  <si>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</si>
  <si>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</si>
  <si>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</si>
  <si>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</si>
  <si>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</si>
  <si>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</si>
  <si>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</si>
  <si>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</si>
  <si>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</si>
  <si>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</si>
  <si>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</si>
  <si>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</si>
  <si>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PLG-A-11 от </t>
  </si>
  <si>
    <t xml:space="preserve"> 27.08.2025г.</t>
  </si>
  <si>
    <t xml:space="preserve">СПЕЦИФИКАЦИЯ № PLG-A-11 от </t>
  </si>
  <si>
    <t>30921BBA/308765AA</t>
  </si>
  <si>
    <t>-</t>
  </si>
  <si>
    <t>Навалом</t>
  </si>
  <si>
    <t>KHAMDAKOV.R.R.</t>
  </si>
  <si>
    <t>FA1258635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</si>
</sst>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22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37</xdr:row>
      <xdr:rowOff>78442</xdr:rowOff>
    </xdr:from>
    <xdr:to>
      <xdr:col>4</xdr:col>
      <xdr:colOff>78441</xdr:colOff>
      <xdr:row>51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38</xdr:row>
      <xdr:rowOff>11208</xdr:rowOff>
    </xdr:from>
    <xdr:to>
      <xdr:col>5</xdr:col>
      <xdr:colOff>287992</xdr:colOff>
      <xdr:row>40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37</xdr:row>
      <xdr:rowOff>100853</xdr:rowOff>
    </xdr:from>
    <xdr:to>
      <xdr:col>9</xdr:col>
      <xdr:colOff>522754</xdr:colOff>
      <xdr:row>49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37</xdr:row>
      <xdr:rowOff>56029</xdr:rowOff>
    </xdr:from>
    <xdr:to>
      <xdr:col>3</xdr:col>
      <xdr:colOff>89647</xdr:colOff>
      <xdr:row>51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37</xdr:row>
      <xdr:rowOff>179295</xdr:rowOff>
    </xdr:from>
    <xdr:to>
      <xdr:col>4</xdr:col>
      <xdr:colOff>175934</xdr:colOff>
      <xdr:row>40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topLeftCell="A8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2" t="s">
        <v>159</v>
      </c>
      <c r="D1" s="152"/>
      <c r="E1" s="152"/>
      <c r="F1" s="151" t="s">
        <v>160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">
        <v>149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">
        <v>150</v>
      </c>
      <c r="B5" s="153"/>
      <c r="C5" s="153"/>
      <c r="D5" s="153"/>
      <c r="E5" s="153"/>
      <c r="F5" s="6"/>
      <c r="G5" s="146" t="s">
        <v>140</v>
      </c>
      <c r="H5" s="146"/>
      <c r="I5" s="146"/>
      <c r="J5" s="146"/>
      <c r="K5" s="146"/>
      <c r="L5" s="146"/>
      <c r="M5" s="146"/>
    </row>
    <row r="6" spans="1:15" ht="15" customHeight="1" x14ac:dyDescent="0.25">
      <c r="A6" s="141" t="s">
        <v>151</v>
      </c>
      <c r="B6" s="140"/>
      <c r="C6" s="140"/>
      <c r="D6" s="140"/>
      <c r="E6" s="140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0" t="s">
        <v>152</v>
      </c>
      <c r="B7" s="140"/>
      <c r="C7" s="140"/>
      <c r="D7" s="140"/>
      <c r="E7" s="140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146</v>
      </c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">
        <v>150</v>
      </c>
      <c r="B14" s="153"/>
      <c r="C14" s="153"/>
      <c r="D14" s="153"/>
      <c r="E14" s="153"/>
      <c r="F14" s="6"/>
      <c r="G14" s="146" t="s">
        <v>140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41" t="s">
        <v>151</v>
      </c>
      <c r="B15" s="140"/>
      <c r="C15" s="140"/>
      <c r="D15" s="140"/>
      <c r="E15" s="140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0" t="s">
        <v>152</v>
      </c>
      <c r="B16" s="140"/>
      <c r="C16" s="140"/>
      <c r="D16" s="140"/>
      <c r="E16" s="140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2" t="s">
        <v>146</v>
      </c>
      <c r="H21" s="142"/>
      <c r="I21" s="142"/>
      <c r="J21" s="142"/>
      <c r="K21" s="142"/>
      <c r="L21" s="142"/>
      <c r="M21" s="142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119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136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162</v>
      </c>
      <c r="F26" s="138"/>
      <c r="G26" s="138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5" t="s">
        <v>27</v>
      </c>
      <c r="G30" s="106">
        <v>22000</v>
      </c>
      <c r="H30" s="106">
        <v>20290</v>
      </c>
      <c r="I30" s="108">
        <v>0.25</v>
      </c>
      <c r="J30" s="13">
        <f t="shared" ref="J30:J31" si="0">H30*I30</f>
        <v>5072.5</v>
      </c>
      <c r="K30" s="12">
        <v>0</v>
      </c>
      <c r="L30" s="12">
        <v>0</v>
      </c>
      <c r="M30" s="13">
        <f t="shared" ref="M30:M31" si="1">J30</f>
        <v>5072.5</v>
      </c>
      <c r="O30" s="100"/>
      <c r="Q30" s="100"/>
    </row>
    <row r="31" spans="1:17" ht="15" x14ac:dyDescent="0.2">
      <c r="A31" s="126">
        <v>2</v>
      </c>
      <c r="B31" s="101" t="s">
        <v>126</v>
      </c>
      <c r="C31" s="107" t="s">
        <v>127</v>
      </c>
      <c r="D31" s="109" t="s">
        <v>164</v>
      </c>
      <c r="E31" s="101" t="s">
        <v>163</v>
      </c>
      <c r="F31" s="115" t="s">
        <v>27</v>
      </c>
      <c r="G31" s="106">
        <v>1000</v>
      </c>
      <c r="H31" s="106">
        <v>1000</v>
      </c>
      <c r="I31" s="108">
        <v>0.25</v>
      </c>
      <c r="J31" s="13">
        <f t="shared" si="0"/>
        <v>250</v>
      </c>
      <c r="K31" s="12">
        <v>0</v>
      </c>
      <c r="L31" s="12">
        <v>0</v>
      </c>
      <c r="M31" s="13">
        <f t="shared" si="1"/>
        <v>250</v>
      </c>
      <c r="O31" s="100"/>
      <c r="Q31" s="100"/>
    </row>
    <row r="32" spans="1:17" ht="14.25" x14ac:dyDescent="0.2">
      <c r="A32" s="149" t="s">
        <v>0</v>
      </c>
      <c r="B32" s="150"/>
      <c r="C32" s="14"/>
      <c r="D32" s="15"/>
      <c r="E32" s="64">
        <f>SUM(E30:E31)</f>
        <v>950</v>
      </c>
      <c r="F32" s="15"/>
      <c r="G32" s="64">
        <f>SUM(G30:G31)</f>
        <v>23000</v>
      </c>
      <c r="H32" s="64">
        <f>SUM(H30:H31)</f>
        <v>21290</v>
      </c>
      <c r="I32" s="102"/>
      <c r="J32" s="17">
        <f>SUM(J30:J31)</f>
        <v>5322.5</v>
      </c>
      <c r="K32" s="16"/>
      <c r="L32" s="16"/>
      <c r="M32" s="17">
        <f>SUM(M30:M31)</f>
        <v>5322.5</v>
      </c>
      <c r="P32" s="66"/>
    </row>
    <row r="33" spans="1:14" ht="13.5" x14ac:dyDescent="0.25">
      <c r="A33" s="2" t="s">
        <v>17</v>
      </c>
      <c r="B33" s="3"/>
      <c r="C33" s="11"/>
      <c r="D33" s="11"/>
      <c r="E33" s="147" t="str">
        <f>Лист1!B3</f>
        <v>Пять тысяч триста двадцать два доллара США,50 центов.</v>
      </c>
      <c r="F33" s="148"/>
      <c r="G33" s="148"/>
      <c r="H33" s="148"/>
      <c r="I33" s="148"/>
      <c r="J33" s="148"/>
      <c r="K33" s="148"/>
      <c r="L33" s="148"/>
      <c r="M33" s="148"/>
    </row>
    <row r="34" spans="1:14" ht="20.2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">
      <c r="A35" s="143" t="s">
        <v>109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ht="15" x14ac:dyDescent="0.25">
      <c r="A37" s="7" t="s">
        <v>28</v>
      </c>
      <c r="B37" s="7"/>
      <c r="D37" s="25" t="s">
        <v>157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70" zoomScaleNormal="70" workbookViewId="0">
      <selection activeCell="F18" sqref="F18:F22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  <c r="F18" s="70" t="s">
        <v>165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 t="s">
        <v>166</v>
      </c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PLG-A-11 от  27.08.2025г.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22000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1000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 xml:space="preserve">СВХ ОАО ГК "Армада" 10311020 - т/п Астраханский
414042, Астраханская обл., г. Астрахань, ул. Мосина, д. 1А
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8" t="str">
        <f>+C22</f>
        <v xml:space="preserve"> 27.08.2025г.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30921BBA/308765AA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D47" sqref="D47:E4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30921BBA/308765AA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PLG-A-11 от  27.08.2025г.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950</v>
      </c>
      <c r="G18" s="161" t="str">
        <f>+CMR!F30</f>
        <v>Дыни свежие</v>
      </c>
      <c r="H18" s="161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22000</v>
      </c>
    </row>
    <row r="20" spans="2:10" ht="13.5" customHeight="1" x14ac:dyDescent="0.25">
      <c r="B20" s="83"/>
      <c r="E20" s="122"/>
      <c r="F20" s="117" t="str">
        <f>+Инвойс!E31</f>
        <v>-</v>
      </c>
      <c r="G20" s="161" t="str">
        <f>+CMR!F31</f>
        <v>Дыни свежие</v>
      </c>
      <c r="H20" s="161"/>
      <c r="I20" s="118"/>
      <c r="J20" s="119"/>
    </row>
    <row r="21" spans="2:10" ht="13.5" customHeight="1" x14ac:dyDescent="0.25">
      <c r="B21" s="83" t="s">
        <v>104</v>
      </c>
      <c r="E21" s="122"/>
      <c r="F21" s="120" t="str">
        <f>+Инвойс!D31</f>
        <v>Навалом</v>
      </c>
      <c r="G21" s="159" t="str">
        <f>+Инвойс!C31</f>
        <v>0807190001</v>
      </c>
      <c r="H21" s="160"/>
      <c r="I21" s="121" t="s">
        <v>103</v>
      </c>
      <c r="J21" s="119">
        <f>+Инвойс!G31</f>
        <v>1000</v>
      </c>
    </row>
    <row r="22" spans="2:10" ht="12.75" customHeight="1" x14ac:dyDescent="0.25">
      <c r="B22" s="83"/>
      <c r="E22" s="122"/>
      <c r="F22" s="117"/>
      <c r="G22" s="161"/>
      <c r="H22" s="161"/>
      <c r="I22" s="118"/>
      <c r="J22" s="119"/>
    </row>
    <row r="23" spans="2:10" ht="14.25" customHeight="1" x14ac:dyDescent="0.25">
      <c r="B23" s="83"/>
      <c r="E23" s="122"/>
      <c r="F23" s="120"/>
      <c r="G23" s="159"/>
      <c r="H23" s="160"/>
      <c r="I23" s="121"/>
      <c r="J23" s="119"/>
    </row>
    <row r="24" spans="2:10" ht="12.75" customHeight="1" x14ac:dyDescent="0.25">
      <c r="B24" s="87"/>
      <c r="E24" s="122"/>
      <c r="F24" s="117"/>
      <c r="G24" s="161"/>
      <c r="H24" s="161"/>
      <c r="I24" s="118"/>
      <c r="J24" s="119"/>
    </row>
    <row r="25" spans="2:10" ht="12.75" customHeight="1" x14ac:dyDescent="0.25">
      <c r="B25" s="87"/>
      <c r="E25" s="122"/>
      <c r="F25" s="120"/>
      <c r="G25" s="159"/>
      <c r="H25" s="160"/>
      <c r="I25" s="121"/>
      <c r="J25" s="119"/>
    </row>
    <row r="26" spans="2:10" ht="12" customHeight="1" x14ac:dyDescent="0.25">
      <c r="B26" s="87"/>
      <c r="E26" s="122"/>
      <c r="F26" s="117"/>
      <c r="G26" s="161"/>
      <c r="H26" s="161"/>
      <c r="I26" s="118"/>
      <c r="J26" s="119"/>
    </row>
    <row r="27" spans="2:10" ht="14.25" customHeight="1" x14ac:dyDescent="0.25">
      <c r="B27" s="87"/>
      <c r="E27" s="122"/>
      <c r="F27" s="120"/>
      <c r="G27" s="159"/>
      <c r="H27" s="160"/>
      <c r="I27" s="121"/>
      <c r="J27" s="119"/>
    </row>
    <row r="28" spans="2:10" ht="12.75" customHeight="1" x14ac:dyDescent="0.25">
      <c r="B28" s="87"/>
      <c r="E28" s="122"/>
      <c r="F28" s="117"/>
      <c r="G28" s="161"/>
      <c r="H28" s="161"/>
      <c r="I28" s="118"/>
      <c r="J28" s="119"/>
    </row>
    <row r="29" spans="2:10" ht="12.75" customHeight="1" x14ac:dyDescent="0.25">
      <c r="B29" s="87"/>
      <c r="E29" s="122"/>
      <c r="F29" s="120"/>
      <c r="G29" s="159"/>
      <c r="H29" s="160"/>
      <c r="I29" s="121"/>
      <c r="J29" s="119"/>
    </row>
    <row r="30" spans="2:10" ht="12.75" customHeight="1" x14ac:dyDescent="0.25">
      <c r="B30" s="87"/>
      <c r="E30" s="122"/>
      <c r="F30" s="117"/>
      <c r="G30" s="161"/>
      <c r="H30" s="161"/>
      <c r="I30" s="118"/>
      <c r="J30" s="119"/>
    </row>
    <row r="31" spans="2:10" ht="13.5" customHeight="1" x14ac:dyDescent="0.25">
      <c r="B31" s="87"/>
      <c r="E31" s="122"/>
      <c r="F31" s="120"/>
      <c r="G31" s="159"/>
      <c r="H31" s="160"/>
      <c r="I31" s="121"/>
      <c r="J31" s="119"/>
    </row>
    <row r="32" spans="2:10" ht="13.5" customHeight="1" x14ac:dyDescent="0.25">
      <c r="B32" s="87"/>
      <c r="E32" s="122"/>
      <c r="F32" s="117"/>
      <c r="G32" s="161"/>
      <c r="H32" s="161"/>
      <c r="I32" s="118"/>
      <c r="J32" s="119"/>
    </row>
    <row r="33" spans="2:10" ht="13.5" customHeight="1" x14ac:dyDescent="0.25">
      <c r="B33" s="87"/>
      <c r="E33" s="122"/>
      <c r="F33" s="120"/>
      <c r="G33" s="159"/>
      <c r="H33" s="160"/>
      <c r="I33" s="121"/>
      <c r="J33" s="119"/>
    </row>
    <row r="34" spans="2:10" ht="13.5" customHeight="1" x14ac:dyDescent="0.25">
      <c r="B34" s="87"/>
      <c r="E34" s="122"/>
      <c r="F34" s="117"/>
      <c r="G34" s="161"/>
      <c r="H34" s="161"/>
      <c r="I34" s="118"/>
      <c r="J34" s="119"/>
    </row>
    <row r="35" spans="2:10" ht="12.75" customHeight="1" x14ac:dyDescent="0.25">
      <c r="B35" s="87"/>
      <c r="E35" s="122"/>
      <c r="F35" s="120"/>
      <c r="G35" s="159"/>
      <c r="H35" s="160"/>
      <c r="I35" s="121"/>
      <c r="J35" s="119"/>
    </row>
    <row r="36" spans="2:10" x14ac:dyDescent="0.25">
      <c r="B36" s="87"/>
      <c r="E36" s="122"/>
      <c r="F36" s="117"/>
      <c r="G36" s="161"/>
      <c r="H36" s="161"/>
      <c r="I36" s="118"/>
      <c r="J36" s="119"/>
    </row>
    <row r="37" spans="2:10" ht="13.5" customHeight="1" x14ac:dyDescent="0.25">
      <c r="B37" s="87"/>
      <c r="E37" s="122"/>
      <c r="F37" s="120"/>
      <c r="G37" s="159"/>
      <c r="H37" s="160"/>
      <c r="I37" s="121"/>
      <c r="J37" s="119"/>
    </row>
    <row r="38" spans="2:10" x14ac:dyDescent="0.25">
      <c r="B38" s="87"/>
      <c r="E38" s="122"/>
      <c r="F38" s="117"/>
      <c r="G38" s="161"/>
      <c r="H38" s="161"/>
      <c r="I38" s="118"/>
      <c r="J38" s="119"/>
    </row>
    <row r="39" spans="2:10" ht="13.5" customHeight="1" x14ac:dyDescent="0.25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25">
      <c r="B40" s="87"/>
      <c r="E40" s="122"/>
      <c r="F40" s="117"/>
      <c r="G40" s="161"/>
      <c r="H40" s="161"/>
      <c r="I40" s="118"/>
      <c r="J40" s="119"/>
    </row>
    <row r="41" spans="2:10" ht="14.25" hidden="1" customHeight="1" x14ac:dyDescent="0.25">
      <c r="B41" s="87"/>
      <c r="E41" s="122"/>
      <c r="F41" s="120"/>
      <c r="G41" s="159"/>
      <c r="H41" s="160"/>
      <c r="I41" s="121"/>
      <c r="J41" s="119"/>
    </row>
    <row r="42" spans="2:10" hidden="1" x14ac:dyDescent="0.25">
      <c r="B42" s="87"/>
      <c r="E42" s="122"/>
      <c r="F42" s="117"/>
      <c r="G42" s="161"/>
      <c r="H42" s="161"/>
      <c r="I42" s="118"/>
      <c r="J42" s="119"/>
    </row>
    <row r="43" spans="2:10" x14ac:dyDescent="0.25">
      <c r="B43" s="87"/>
      <c r="E43" s="122"/>
      <c r="F43" s="120"/>
      <c r="G43" s="159"/>
      <c r="H43" s="160"/>
      <c r="I43" s="121"/>
      <c r="J43" s="119"/>
    </row>
    <row r="44" spans="2:10" ht="9" customHeight="1" x14ac:dyDescent="0.25">
      <c r="B44" s="87"/>
      <c r="E44" s="95"/>
      <c r="F44" s="92"/>
      <c r="G44" s="163"/>
      <c r="H44" s="163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4">
        <v>950</v>
      </c>
      <c r="E47" s="165"/>
    </row>
    <row r="48" spans="2:10" ht="17.25" customHeight="1" x14ac:dyDescent="0.25">
      <c r="B48" s="162" t="s">
        <v>105</v>
      </c>
      <c r="C48" s="162"/>
      <c r="D48" s="162"/>
      <c r="E48" s="162"/>
    </row>
    <row r="49" spans="2:5" ht="21.75" customHeight="1" x14ac:dyDescent="0.25">
      <c r="B49" s="162"/>
      <c r="C49" s="162"/>
      <c r="D49" s="162"/>
      <c r="E49" s="162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70" zoomScaleNormal="70" workbookViewId="0">
      <selection activeCell="A32" sqref="A32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161</v>
      </c>
      <c r="C1" s="170"/>
      <c r="D1" s="170"/>
      <c r="E1" s="170"/>
      <c r="F1" s="151" t="str">
        <f>+Инвойс!F1</f>
        <v xml:space="preserve"> 27.08.2025г.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tr">
        <f>+Инвойс!C2</f>
        <v>к контракту № GR-POL-01 от 22.08.2025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tr">
        <f>+Инвойс!A5</f>
        <v>ООО «POLARIUM»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5" x14ac:dyDescent="0.25">
      <c r="A6" s="141" t="str">
        <f>+Инвойс!A6</f>
        <v>Республика Узбекистан. Ташкентская область, Бекабадский район,</v>
      </c>
      <c r="B6" s="141"/>
      <c r="C6" s="141"/>
      <c r="D6" s="141"/>
      <c r="E6" s="141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1" t="str">
        <f>+Инвойс!A7</f>
        <v>махалля Зафар, Гулистан МФЙ, улица Мустакиллик, дом 1</v>
      </c>
      <c r="B7" s="141"/>
      <c r="C7" s="141"/>
      <c r="D7" s="141"/>
      <c r="E7" s="141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1" t="str">
        <f>+Инвойс!A8</f>
        <v>в АКБ «TURON BANK» МФО 00446</v>
      </c>
      <c r="B8" s="141"/>
      <c r="C8" s="141"/>
      <c r="D8" s="141"/>
      <c r="E8" s="141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1" t="str">
        <f>+Инвойс!A9</f>
        <v>в/с: 20208840907287520001 (доллар США)</v>
      </c>
      <c r="B9" s="141"/>
      <c r="C9" s="141"/>
      <c r="D9" s="141"/>
      <c r="E9" s="141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1" t="str">
        <f>+Инвойс!A10</f>
        <v>SWIFT: TURONUZ22</v>
      </c>
      <c r="B10" s="141"/>
      <c r="C10" s="141"/>
      <c r="D10" s="141"/>
      <c r="E10" s="141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1" t="str">
        <f>+Инвойс!A11</f>
        <v>ИНН: 312302455</v>
      </c>
      <c r="B11" s="141"/>
      <c r="C11" s="141"/>
      <c r="D11" s="141"/>
      <c r="E11" s="141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tr">
        <f>+Инвойс!A14</f>
        <v>ООО «POLARIUM»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41" t="str">
        <f>+Инвойс!A15</f>
        <v>Республика Узбекистан. Ташкентская область, Бекабадский район,</v>
      </c>
      <c r="B15" s="141"/>
      <c r="C15" s="141"/>
      <c r="D15" s="141"/>
      <c r="E15" s="141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1" t="str">
        <f>+Инвойс!A16</f>
        <v>махалля Зафар, Гулистан МФЙ, улица Мустакиллик, дом 1</v>
      </c>
      <c r="B16" s="141"/>
      <c r="C16" s="141"/>
      <c r="D16" s="141"/>
      <c r="E16" s="141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1" t="str">
        <f>+Инвойс!A17</f>
        <v>в АКБ «TURON BANK» МФО 00446</v>
      </c>
      <c r="B17" s="141"/>
      <c r="C17" s="141"/>
      <c r="D17" s="141"/>
      <c r="E17" s="141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1" t="str">
        <f>+Инвойс!A18</f>
        <v>в/с: 20208840907287520001 (доллар США)</v>
      </c>
      <c r="B18" s="141"/>
      <c r="C18" s="141"/>
      <c r="D18" s="141"/>
      <c r="E18" s="141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1" t="str">
        <f>+Инвойс!A19</f>
        <v>SWIFT: TURONUZ22</v>
      </c>
      <c r="B19" s="141"/>
      <c r="C19" s="141"/>
      <c r="D19" s="141"/>
      <c r="E19" s="141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1" t="str">
        <f>+Инвойс!A20</f>
        <v>ИНН: 312302455</v>
      </c>
      <c r="B20" s="141"/>
      <c r="C20" s="141"/>
      <c r="D20" s="141"/>
      <c r="E20" s="141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30921BBA/308765AA</v>
      </c>
      <c r="F26" s="171"/>
      <c r="G26" s="171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9.2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22000</v>
      </c>
      <c r="H30" s="106">
        <f>+Инвойс!H30</f>
        <v>20290</v>
      </c>
      <c r="I30" s="108">
        <f>+Инвойс!I30</f>
        <v>0.25</v>
      </c>
      <c r="J30" s="13">
        <f>+Инвойс!J30</f>
        <v>5072.5</v>
      </c>
      <c r="K30" s="12">
        <v>0</v>
      </c>
      <c r="L30" s="12">
        <v>0</v>
      </c>
      <c r="M30" s="13">
        <f>+Инвойс!M30</f>
        <v>5072.5</v>
      </c>
      <c r="O30" s="100"/>
      <c r="Q30" s="100"/>
    </row>
    <row r="31" spans="1:17" ht="15" x14ac:dyDescent="0.2">
      <c r="A31" s="126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4" t="str">
        <f>+Инвойс!D31</f>
        <v>Навалом</v>
      </c>
      <c r="E31" s="101" t="str">
        <f>+Инвойс!E31</f>
        <v>-</v>
      </c>
      <c r="F31" s="115" t="str">
        <f>+Инвойс!F31</f>
        <v>кг</v>
      </c>
      <c r="G31" s="106">
        <f>+Инвойс!G31</f>
        <v>1000</v>
      </c>
      <c r="H31" s="106">
        <f>+Инвойс!H31</f>
        <v>1000</v>
      </c>
      <c r="I31" s="108">
        <f>+Инвойс!I31</f>
        <v>0.25</v>
      </c>
      <c r="J31" s="13">
        <f>+Инвойс!J31</f>
        <v>250</v>
      </c>
      <c r="K31" s="12">
        <v>0</v>
      </c>
      <c r="L31" s="12">
        <v>0</v>
      </c>
      <c r="M31" s="13">
        <f>+Инвойс!M31</f>
        <v>250</v>
      </c>
      <c r="O31" s="100"/>
      <c r="Q31" s="100"/>
    </row>
    <row r="32" spans="1:17" ht="14.25" x14ac:dyDescent="0.2">
      <c r="A32" s="149" t="s">
        <v>0</v>
      </c>
      <c r="B32" s="150"/>
      <c r="C32" s="14"/>
      <c r="D32" s="15"/>
      <c r="E32" s="64">
        <f>SUM(E30:E31)</f>
        <v>950</v>
      </c>
      <c r="F32" s="15"/>
      <c r="G32" s="64">
        <f>SUM(G30:G31)</f>
        <v>23000</v>
      </c>
      <c r="H32" s="64">
        <f>SUM(H30:H31)</f>
        <v>21290</v>
      </c>
      <c r="I32" s="102"/>
      <c r="J32" s="17">
        <f>SUM(J30:J31)</f>
        <v>5322.5</v>
      </c>
      <c r="K32" s="16"/>
      <c r="L32" s="16"/>
      <c r="M32" s="17">
        <f>SUM(M30:M31)</f>
        <v>5322.5</v>
      </c>
      <c r="P32" s="66"/>
    </row>
    <row r="33" spans="1:14" ht="13.5" x14ac:dyDescent="0.25">
      <c r="A33" s="2" t="s">
        <v>17</v>
      </c>
      <c r="B33" s="3"/>
      <c r="C33" s="11"/>
      <c r="D33" s="11"/>
      <c r="E33" s="147" t="str">
        <f>Лист1!B3</f>
        <v>Пять тысяч триста двадцать два доллара США,50 центов.</v>
      </c>
      <c r="F33" s="148"/>
      <c r="G33" s="148"/>
      <c r="H33" s="148"/>
      <c r="I33" s="148"/>
      <c r="J33" s="148"/>
      <c r="K33" s="148"/>
      <c r="L33" s="148"/>
      <c r="M33" s="148"/>
    </row>
    <row r="34" spans="1:14" ht="20.2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s="18" customFormat="1" ht="15.75" x14ac:dyDescent="0.25">
      <c r="A37" s="130" t="s">
        <v>158</v>
      </c>
      <c r="B37" s="130"/>
      <c r="D37" s="18" t="str">
        <f>+Инвойс!D37</f>
        <v>Юнусов Х.Р</v>
      </c>
      <c r="E37" s="131"/>
      <c r="G37" s="128" t="s">
        <v>130</v>
      </c>
      <c r="H37" s="18" t="str">
        <f>Инвойс!G5</f>
        <v>ООО «ГРИН ВОРЛД»</v>
      </c>
      <c r="K37" s="132" t="s">
        <v>147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Инвойс!M32</f>
        <v>5322.5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двадцать два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45896</v>
      </c>
      <c r="O3" s="177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двадцать два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27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двадцать два доллара США,50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двадцать два доллара США,50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триста двадцать два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5322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5322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322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2025-08-26T21:10:27Z</cp:lastPrinted>
  <dcterms:created xsi:type="dcterms:W3CDTF">1996-10-14T23:33:28Z</dcterms:created>
  <dcterms:modified xsi:type="dcterms:W3CDTF">2025-08-26T21:10:38Z</dcterms:modified>
</cp:coreProperties>
</file>