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91C080A-82BA-48D5-B2C9-AC4C1F2469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<sst xmlns="http://schemas.openxmlformats.org/spreadsheetml/2006/main" count="209" uniqueCount="163">
  <si>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</si>
  <si>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</si>
  <si>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</si>
  <si>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</si>
  <si>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</si>
  <si>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</si>
  <si>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</si>
  <si>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</si>
  <si>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</si>
  <si>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</si>
  <si>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</si>
  <si>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</si>
  <si>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</si>
  <si>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</si>
  <si>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</si>
  <si>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</si>
  <si>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</si>
  <si>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</si>
  <si>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</si>
  <si>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</si>
  <si>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</si>
  <si>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</si>
  <si>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</si>
  <si>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</si>
  <si>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</si>
  <si>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</si>
  <si>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</si>
  <si>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</si>
  <si>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</si>
  <si>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</si>
  <si>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</si>
  <si>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</si>
  <si>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</si>
  <si>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</si>
  <si>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</si>
  <si>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</si>
  <si>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</si>
  <si>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</si>
  <si>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</si>
  <si>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</si>
  <si>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</si>
  <si>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</si>
  <si>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</si>
  <si>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</si>
  <si>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</si>
  <si>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</si>
  <si>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</si>
  <si>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</si>
  <si>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</si>
  <si>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</si>
  <si>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</si>
  <si>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</si>
  <si>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</si>
  <si>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</si>
  <si>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</si>
  <si>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</si>
  <si>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</si>
  <si>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</si>
  <si>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</si>
  <si>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</si>
  <si>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</si>
  <si>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</si>
  <si>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</si>
  <si>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</si>
  <si>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</si>
  <si>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</si>
  <si>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</si>
  <si>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</si>
  <si>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</si>
  <si>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</si>
  <si>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</si>
  <si>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</si>
  <si>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</si>
  <si>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</si>
  <si>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</si>
  <si>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</si>
  <si>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</si>
  <si>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</si>
  <si>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</si>
  <si>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</si>
  <si>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</si>
  <si>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</si>
  <si>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</si>
  <si>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</si>
  <si>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</si>
  <si>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</si>
  <si>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</si>
  <si>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</si>
  <si>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</si>
  <si>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</si>
  <si>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</si>
  <si>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</si>
  <si>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</si>
  <si>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</si>
  <si>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</si>
  <si>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</si>
  <si>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</si>
  <si>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</si>
  <si>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</si>
  <si>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</si>
  <si>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</si>
  <si>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</si>
  <si>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</si>
  <si>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</si>
  <si>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</si>
  <si>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</si>
  <si>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</si>
  <si>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</si>
  <si>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</si>
  <si>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</si>
  <si>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</si>
  <si>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</si>
  <si>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</si>
  <si>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</si>
  <si>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</si>
  <si>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</si>
  <si>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</si>
  <si>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</si>
  <si>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</si>
  <si>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</si>
  <si>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</si>
  <si>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</si>
  <si>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</si>
  <si>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</si>
  <si>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</si>
  <si>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</si>
  <si>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</si>
  <si>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</si>
  <si>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</si>
  <si>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</si>
  <si>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</si>
  <si>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</si>
  <si>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</si>
  <si>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</si>
  <si>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</si>
  <si>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</si>
  <si>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</si>
  <si>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</si>
  <si>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</si>
  <si>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</si>
  <si>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</si>
  <si>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</si>
  <si>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</si>
  <si>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</si>
  <si>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</si>
  <si>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</si>
  <si>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</si>
  <si>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</si>
  <si>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</si>
  <si>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>к контракту № GR-VT-01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</si>
  <si>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</si>
  <si>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</si>
  <si>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</si>
  <si>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</si>
  <si>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</si>
  <si>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</si>
  <si>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</si>
  <si>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</si>
  <si>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</si>
  <si>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VG-N-53 от </t>
  </si>
  <si>
    <t xml:space="preserve"> 30.08.2025г.</t>
  </si>
  <si>
    <t xml:space="preserve">СПЕЦИФИКАЦИЯ № VG-N-53 от </t>
  </si>
  <si>
    <t>10Z391PA/107306AA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</si>
</sst>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448235</xdr:colOff>
      <xdr:row>36</xdr:row>
      <xdr:rowOff>145676</xdr:rowOff>
    </xdr:from>
    <xdr:to>
      <xdr:col>9</xdr:col>
      <xdr:colOff>634813</xdr:colOff>
      <xdr:row>48</xdr:row>
      <xdr:rowOff>72929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F2FC92E-0823-4DFC-9CDB-86FF17136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2794" y="19173264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140</v>
      </c>
      <c r="B5" s="154"/>
      <c r="C5" s="154"/>
      <c r="D5" s="154"/>
      <c r="E5" s="154"/>
      <c r="F5" s="6"/>
      <c r="G5" s="147" t="s">
        <v>150</v>
      </c>
      <c r="H5" s="147"/>
      <c r="I5" s="147"/>
      <c r="J5" s="147"/>
      <c r="K5" s="147"/>
      <c r="L5" s="147"/>
      <c r="M5" s="147"/>
    </row>
    <row r="6" spans="1:15" ht="13.8" x14ac:dyDescent="0.25">
      <c r="A6" s="142" t="s">
        <v>141</v>
      </c>
      <c r="B6" s="141"/>
      <c r="C6" s="141"/>
      <c r="D6" s="141"/>
      <c r="E6" s="141"/>
      <c r="F6" s="7"/>
      <c r="G6" s="140" t="s">
        <v>151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148</v>
      </c>
      <c r="B7" s="141"/>
      <c r="C7" s="141"/>
      <c r="D7" s="141"/>
      <c r="E7" s="141"/>
      <c r="F7" s="63"/>
      <c r="G7" s="140" t="s">
        <v>152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142</v>
      </c>
      <c r="B8" s="8"/>
      <c r="C8" s="8"/>
      <c r="D8" s="8"/>
      <c r="E8" s="8"/>
      <c r="F8" s="63"/>
      <c r="G8" s="7" t="s">
        <v>153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143</v>
      </c>
      <c r="B9" s="8"/>
      <c r="C9" s="8"/>
      <c r="D9" s="8"/>
      <c r="E9" s="8"/>
      <c r="F9" s="7"/>
      <c r="G9" s="7" t="s">
        <v>154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144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145</v>
      </c>
      <c r="B11" s="8"/>
      <c r="C11" s="8"/>
      <c r="D11" s="8"/>
      <c r="E11" s="8"/>
      <c r="F11" s="7"/>
      <c r="G11" s="7" t="s">
        <v>155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156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140</v>
      </c>
      <c r="B14" s="154"/>
      <c r="C14" s="154"/>
      <c r="D14" s="154"/>
      <c r="E14" s="154"/>
      <c r="F14" s="6"/>
      <c r="G14" s="147" t="s">
        <v>150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141</v>
      </c>
      <c r="B15" s="141"/>
      <c r="C15" s="141"/>
      <c r="D15" s="141"/>
      <c r="E15" s="141"/>
      <c r="F15" s="7"/>
      <c r="G15" s="140" t="s">
        <v>151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148</v>
      </c>
      <c r="B16" s="141"/>
      <c r="C16" s="141"/>
      <c r="D16" s="141"/>
      <c r="E16" s="141"/>
      <c r="F16" s="63"/>
      <c r="G16" s="140" t="s">
        <v>152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142</v>
      </c>
      <c r="B17" s="8"/>
      <c r="C17" s="8"/>
      <c r="D17" s="8"/>
      <c r="E17" s="8"/>
      <c r="F17" s="63"/>
      <c r="G17" s="7" t="s">
        <v>153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143</v>
      </c>
      <c r="B18" s="8"/>
      <c r="C18" s="8"/>
      <c r="D18" s="8"/>
      <c r="E18" s="8"/>
      <c r="F18" s="7"/>
      <c r="G18" s="7" t="s">
        <v>154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144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145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156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117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162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970</v>
      </c>
      <c r="F30" s="115" t="s">
        <v>27</v>
      </c>
      <c r="G30" s="106">
        <v>22450</v>
      </c>
      <c r="H30" s="106">
        <v>20704</v>
      </c>
      <c r="I30" s="108">
        <v>0.25</v>
      </c>
      <c r="J30" s="13">
        <f t="shared" ref="J30" si="0">H30*I30</f>
        <v>5176</v>
      </c>
      <c r="K30" s="12">
        <v>0</v>
      </c>
      <c r="L30" s="12">
        <v>0</v>
      </c>
      <c r="M30" s="13">
        <f t="shared" ref="M30" si="1">J30</f>
        <v>5176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22450</v>
      </c>
      <c r="H31" s="64">
        <f>SUM(H30:H30)</f>
        <v>20704</v>
      </c>
      <c r="I31" s="102"/>
      <c r="J31" s="17">
        <f>SUM(J30:J30)</f>
        <v>5176</v>
      </c>
      <c r="K31" s="16"/>
      <c r="L31" s="16"/>
      <c r="M31" s="17">
        <f>SUM(M30:M30)</f>
        <v>5176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сто семьдесят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146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VG-N-53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970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22450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10Z391PA/107306AA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10Z391PA/107306AA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VG-N-53 от  30.08.2025г.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970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22450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970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30.08.2025г.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GR-VT-01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«VISTOTRADE»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«VISTOTRADE»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10Z391PA/107306AA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6.4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970</v>
      </c>
      <c r="F30" s="115" t="str">
        <f>+Инвойс!F30</f>
        <v>кг</v>
      </c>
      <c r="G30" s="106">
        <f>+Инвойс!G30</f>
        <v>22450</v>
      </c>
      <c r="H30" s="106">
        <f>+Инвойс!H30</f>
        <v>20704</v>
      </c>
      <c r="I30" s="108">
        <f>+Инвойс!I30</f>
        <v>0.25</v>
      </c>
      <c r="J30" s="13">
        <f>+Инвойс!J30</f>
        <v>5176</v>
      </c>
      <c r="K30" s="12">
        <v>0</v>
      </c>
      <c r="L30" s="12">
        <v>0</v>
      </c>
      <c r="M30" s="13">
        <f>+Инвойс!M30</f>
        <v>5176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970</v>
      </c>
      <c r="F31" s="15"/>
      <c r="G31" s="64">
        <f>SUM(G30:G30)</f>
        <v>22450</v>
      </c>
      <c r="H31" s="64">
        <f>SUM(H30:H30)</f>
        <v>20704</v>
      </c>
      <c r="I31" s="102"/>
      <c r="J31" s="17">
        <f>SUM(J30:J30)</f>
        <v>5176</v>
      </c>
      <c r="K31" s="16"/>
      <c r="L31" s="16"/>
      <c r="M31" s="17">
        <f>SUM(M30:M30)</f>
        <v>5176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сто семьдесят шесть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147</v>
      </c>
      <c r="B36" s="130"/>
      <c r="D36" s="18" t="str">
        <f>+Инвойс!D36</f>
        <v>Авазов К.Ф</v>
      </c>
      <c r="E36" s="131"/>
      <c r="G36" s="128" t="s">
        <v>130</v>
      </c>
      <c r="H36" s="18" t="str">
        <f>Инвойс!G5</f>
        <v>ООО «ГРИН ВОРЛД»</v>
      </c>
      <c r="K36" s="132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158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5176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сто семьдесят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сто семьдесят шесть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сто семьдесят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сто семьдесят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семьдесят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5176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517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5176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2025-08-30T16:44:02Z</cp:lastPrinted>
  <dcterms:created xsi:type="dcterms:W3CDTF">1996-10-14T23:33:28Z</dcterms:created>
  <dcterms:modified xsi:type="dcterms:W3CDTF">2025-08-30T16:44:14Z</dcterms:modified>
</cp:coreProperties>
</file>