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E43A37B-CFC2-4744-B7D8-00957CCE08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H31" i="7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<sst xmlns="http://schemas.openxmlformats.org/spreadsheetml/2006/main" count="212" uniqueCount="164">
  <si>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</si>
  <si>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</si>
  <si>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</si>
  <si>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</si>
  <si>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</si>
  <si>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</si>
  <si>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</si>
  <si>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</si>
  <si>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</si>
  <si>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</si>
  <si>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</si>
  <si>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</si>
  <si>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</si>
  <si>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</si>
  <si>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</si>
  <si>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</si>
  <si>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</si>
  <si>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</si>
  <si>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</si>
  <si>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</si>
  <si>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</si>
  <si>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</si>
  <si>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</si>
  <si>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</si>
  <si>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</si>
  <si>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</si>
  <si>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</si>
  <si>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</si>
  <si>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</si>
  <si>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</si>
  <si>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</si>
  <si>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</si>
  <si>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</si>
  <si>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</si>
  <si>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</si>
  <si>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</si>
  <si>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</si>
  <si>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</si>
  <si>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</si>
  <si>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</si>
  <si>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</si>
  <si>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</si>
  <si>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</si>
  <si>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</si>
  <si>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</si>
  <si>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</si>
  <si>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</si>
  <si>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</si>
  <si>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</si>
  <si>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</si>
  <si>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</si>
  <si>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</si>
  <si>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</si>
  <si>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</si>
  <si>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</si>
  <si>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</si>
  <si>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</si>
  <si>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</si>
  <si>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</si>
  <si>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</si>
  <si>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</si>
  <si>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</si>
  <si>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</si>
  <si>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</si>
  <si>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</si>
  <si>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</si>
  <si>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</si>
  <si>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</si>
  <si>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</si>
  <si>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</si>
  <si>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</si>
  <si>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</si>
  <si>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</si>
  <si>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</si>
  <si>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</si>
  <si>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</si>
  <si>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</si>
  <si>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</si>
  <si>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</si>
  <si>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</si>
  <si>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</si>
  <si>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</si>
  <si>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</si>
  <si>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</si>
  <si>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</si>
  <si>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</si>
  <si>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</si>
  <si>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</si>
  <si>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</si>
  <si>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</si>
  <si>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</si>
  <si>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</si>
  <si>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</si>
  <si>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</si>
  <si>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</si>
  <si>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</si>
  <si>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</si>
  <si>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</si>
  <si>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</si>
  <si>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</si>
  <si>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</si>
  <si>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</si>
  <si>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</si>
  <si>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</si>
  <si>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</si>
  <si>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</si>
  <si>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</si>
  <si>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</si>
  <si>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</si>
  <si>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</si>
  <si>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</si>
  <si>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</si>
  <si>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</si>
  <si>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</si>
  <si>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</si>
  <si>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</si>
  <si>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</si>
  <si>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</si>
  <si>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</si>
  <si>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</si>
  <si>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</si>
  <si>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</si>
  <si>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</si>
  <si>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Арбузы свежие</t>
  </si>
  <si>
    <t>0807110001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</si>
  <si>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</si>
  <si>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</si>
  <si>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</si>
  <si>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</si>
  <si>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</si>
  <si>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</si>
  <si>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</si>
  <si>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</si>
  <si>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</si>
  <si>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</si>
  <si>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</si>
  <si>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</si>
  <si>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 xml:space="preserve"> 25.08.2025г.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</si>
  <si>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</si>
  <si>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</si>
  <si>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</si>
  <si>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</si>
  <si>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</si>
  <si>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</si>
  <si>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</si>
  <si>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</si>
  <si>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</si>
  <si>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</si>
  <si>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</si>
  <si>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</si>
  <si>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</si>
  <si>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</si>
  <si>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</si>
  <si>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</si>
  <si>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</si>
  <si>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</si>
  <si>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</si>
  <si>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</si>
  <si>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EXG-F-4 от </t>
  </si>
  <si>
    <t>40452LCA/400807BA</t>
  </si>
  <si>
    <t>навалом</t>
  </si>
  <si>
    <t>-</t>
  </si>
  <si>
    <t>/г. Владивосток/ г.Кемерово / г. Пенза / г. Краснодар / г.Пятигорск / г.Воронеж / /г.Нижневартовск/г.Нижний Новгород/г.Киров</t>
  </si>
  <si>
    <t xml:space="preserve">СПЕЦИФИКАЦИЯ № EXG-F-4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</si>
</sst>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36</xdr:row>
      <xdr:rowOff>44824</xdr:rowOff>
    </xdr:from>
    <xdr:to>
      <xdr:col>9</xdr:col>
      <xdr:colOff>578784</xdr:colOff>
      <xdr:row>47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158</v>
      </c>
      <c r="D1" s="135"/>
      <c r="E1" s="135"/>
      <c r="F1" s="134" t="s">
        <v>137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146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147</v>
      </c>
      <c r="B5" s="136"/>
      <c r="C5" s="136"/>
      <c r="D5" s="136"/>
      <c r="E5" s="136"/>
      <c r="F5" s="6"/>
      <c r="G5" s="138" t="s">
        <v>138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139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149</v>
      </c>
      <c r="B7" s="143"/>
      <c r="C7" s="143"/>
      <c r="D7" s="143"/>
      <c r="E7" s="143"/>
      <c r="F7" s="63"/>
      <c r="G7" s="140" t="s">
        <v>140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150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151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152</v>
      </c>
      <c r="B10" s="125"/>
      <c r="C10" s="125"/>
      <c r="D10" s="125"/>
      <c r="E10" s="125"/>
      <c r="F10" s="7"/>
      <c r="G10" s="7" t="s">
        <v>136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153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154</v>
      </c>
      <c r="B12" s="8"/>
      <c r="C12" s="8"/>
      <c r="D12" s="8"/>
      <c r="E12" s="8"/>
      <c r="F12" s="7"/>
      <c r="G12" s="139" t="s">
        <v>144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147</v>
      </c>
      <c r="B14" s="136"/>
      <c r="C14" s="136"/>
      <c r="D14" s="136"/>
      <c r="E14" s="136"/>
      <c r="F14" s="6"/>
      <c r="G14" s="138" t="s">
        <v>138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139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149</v>
      </c>
      <c r="B16" s="143"/>
      <c r="C16" s="143"/>
      <c r="D16" s="143"/>
      <c r="E16" s="143"/>
      <c r="F16" s="63"/>
      <c r="G16" s="140" t="s">
        <v>140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150</v>
      </c>
      <c r="B17" s="8"/>
      <c r="C17" s="8"/>
      <c r="D17" s="8"/>
      <c r="E17" s="8"/>
      <c r="F17" s="63"/>
      <c r="G17" s="7" t="s">
        <v>141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151</v>
      </c>
      <c r="B18" s="8"/>
      <c r="C18" s="8"/>
      <c r="D18" s="8"/>
      <c r="E18" s="8"/>
      <c r="F18" s="7"/>
      <c r="G18" s="7" t="s">
        <v>142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152</v>
      </c>
      <c r="B19" s="125"/>
      <c r="C19" s="125"/>
      <c r="D19" s="125"/>
      <c r="E19" s="125"/>
      <c r="F19" s="7"/>
      <c r="G19" s="7" t="s">
        <v>136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153</v>
      </c>
      <c r="B20" s="8"/>
      <c r="C20" s="8"/>
      <c r="D20" s="8"/>
      <c r="E20" s="8"/>
      <c r="F20" s="7"/>
      <c r="G20" s="7" t="s">
        <v>143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154</v>
      </c>
      <c r="B21" s="8"/>
      <c r="C21" s="8"/>
      <c r="D21" s="8"/>
      <c r="E21" s="8"/>
      <c r="G21" s="139" t="s">
        <v>144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114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135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159</v>
      </c>
      <c r="F26" s="155"/>
      <c r="G26" s="155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v>1</v>
      </c>
      <c r="B30" s="101" t="s">
        <v>123</v>
      </c>
      <c r="C30" s="107" t="s">
        <v>124</v>
      </c>
      <c r="D30" s="109" t="s">
        <v>160</v>
      </c>
      <c r="E30" s="101" t="s">
        <v>161</v>
      </c>
      <c r="F30" s="110" t="s">
        <v>27</v>
      </c>
      <c r="G30" s="106">
        <v>20860</v>
      </c>
      <c r="H30" s="106">
        <v>20860</v>
      </c>
      <c r="I30" s="108">
        <v>0.25</v>
      </c>
      <c r="J30" s="13">
        <f t="shared" ref="J30" si="0">H30*I30</f>
        <v>5215</v>
      </c>
      <c r="K30" s="12">
        <v>0</v>
      </c>
      <c r="L30" s="12">
        <v>0</v>
      </c>
      <c r="M30" s="13">
        <f t="shared" ref="M30" si="1">J30</f>
        <v>5215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/>
      <c r="F31" s="15"/>
      <c r="G31" s="64">
        <f>SUM(G30:G30)</f>
        <v>20860</v>
      </c>
      <c r="H31" s="64">
        <f>SUM(H30:H30)</f>
        <v>20860</v>
      </c>
      <c r="I31" s="102"/>
      <c r="J31" s="17">
        <f>SUM(J30:J30)</f>
        <v>5215</v>
      </c>
      <c r="K31" s="16"/>
      <c r="L31" s="16"/>
      <c r="M31" s="17">
        <f>SUM(M30:M30)</f>
        <v>5215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пятнадцать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9" sqref="F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109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EXG-F-4 от  25.08.2025г.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 t="str">
        <f>+Инвойс!E30</f>
        <v>-</v>
      </c>
      <c r="D30" s="103" t="str">
        <f>+Инвойс!D30</f>
        <v>навалом</v>
      </c>
      <c r="E30" s="103"/>
      <c r="F30" s="103" t="str">
        <f>+Инвойс!B30</f>
        <v>Арбузы свежие</v>
      </c>
      <c r="G30" s="104" t="str">
        <f>+Инвойс!C30</f>
        <v>0807110001</v>
      </c>
      <c r="H30" s="103"/>
      <c r="I30" s="105">
        <f>+Инвойс!G30</f>
        <v>20860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111</v>
      </c>
      <c r="D49" s="160" t="str">
        <f>+C22</f>
        <v xml:space="preserve"> 25.08.2025г.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40452LCA/400807BA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H45" sqref="H4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40452LCA/400807BA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EXG-F-4 от  25.08.2025г.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 t="str">
        <f>+Инвойс!E30</f>
        <v>-</v>
      </c>
      <c r="G18" s="167" t="str">
        <f>+CMR!F30</f>
        <v>Арбузы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навалом</v>
      </c>
      <c r="G19" s="161" t="str">
        <f>+Инвойс!C30</f>
        <v>0807110001</v>
      </c>
      <c r="H19" s="162"/>
      <c r="I19" s="122" t="s">
        <v>103</v>
      </c>
      <c r="J19" s="120">
        <f>+Инвойс!G30</f>
        <v>20860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 t="s">
        <v>160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E32" sqref="E32:M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25.08.2025г.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112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40452LCA/400807BA</v>
      </c>
      <c r="F26" s="156"/>
      <c r="G26" s="156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13.8" x14ac:dyDescent="0.25">
      <c r="A30" s="127">
        <f>+Инвойс!A30</f>
        <v>1</v>
      </c>
      <c r="B30" s="101" t="str">
        <f>+Инвойс!B30</f>
        <v>Арбузы свежие</v>
      </c>
      <c r="C30" s="107" t="str">
        <f>+Инвойс!C30</f>
        <v>0807110001</v>
      </c>
      <c r="D30" s="115" t="str">
        <f>+Инвойс!D30</f>
        <v>навалом</v>
      </c>
      <c r="E30" s="101" t="str">
        <f>+Инвойс!E30</f>
        <v>-</v>
      </c>
      <c r="F30" s="116" t="str">
        <f>+Инвойс!F30</f>
        <v>кг</v>
      </c>
      <c r="G30" s="106">
        <f>+Инвойс!G30</f>
        <v>20860</v>
      </c>
      <c r="H30" s="106">
        <f>+Инвойс!H30</f>
        <v>20860</v>
      </c>
      <c r="I30" s="108">
        <f>+Инвойс!I30</f>
        <v>0.25</v>
      </c>
      <c r="J30" s="13">
        <f>+Инвойс!J30</f>
        <v>5215</v>
      </c>
      <c r="K30" s="12">
        <v>0</v>
      </c>
      <c r="L30" s="12">
        <v>0</v>
      </c>
      <c r="M30" s="13">
        <f>+Инвойс!M30</f>
        <v>5215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/>
      <c r="F31" s="15"/>
      <c r="G31" s="64">
        <f>SUM(G30:G30)</f>
        <v>20860</v>
      </c>
      <c r="H31" s="64">
        <f>SUM(H30:H30)</f>
        <v>20860</v>
      </c>
      <c r="I31" s="102"/>
      <c r="J31" s="17">
        <f>SUM(J30:J30)</f>
        <v>5215</v>
      </c>
      <c r="K31" s="16"/>
      <c r="L31" s="16"/>
      <c r="M31" s="17">
        <f>SUM(M30:M30)</f>
        <v>5215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двести пятнадцать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156</v>
      </c>
      <c r="B36" s="131"/>
      <c r="D36" s="18" t="str">
        <f>+Инвойс!D36</f>
        <v>АБДИЛАКИМОВ А.А</v>
      </c>
      <c r="E36" s="132"/>
      <c r="G36" s="129" t="s">
        <v>127</v>
      </c>
      <c r="H36" s="18" t="str">
        <f>Инвойс!G5</f>
        <v>ООО «ГРИН ВОРЛД»</v>
      </c>
      <c r="K36" s="133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113</v>
      </c>
    </row>
    <row r="3" spans="1:10" ht="52.8" x14ac:dyDescent="0.25">
      <c r="A3" s="130" t="s">
        <v>125</v>
      </c>
    </row>
    <row r="5" spans="1:10" ht="39.6" x14ac:dyDescent="0.25">
      <c r="A5" s="126" t="s">
        <v>114</v>
      </c>
    </row>
    <row r="6" spans="1:10" x14ac:dyDescent="0.25">
      <c r="E6" s="18" t="s">
        <v>126</v>
      </c>
      <c r="J6" s="25" t="s">
        <v>129</v>
      </c>
    </row>
    <row r="7" spans="1:10" ht="52.8" x14ac:dyDescent="0.25">
      <c r="A7" s="126" t="s">
        <v>115</v>
      </c>
    </row>
    <row r="8" spans="1:10" x14ac:dyDescent="0.25">
      <c r="E8" s="18" t="s">
        <v>135</v>
      </c>
      <c r="J8" s="25" t="s">
        <v>130</v>
      </c>
    </row>
    <row r="9" spans="1:10" ht="52.8" x14ac:dyDescent="0.25">
      <c r="A9" s="126" t="s">
        <v>116</v>
      </c>
    </row>
    <row r="10" spans="1:10" x14ac:dyDescent="0.25">
      <c r="A10" s="126"/>
      <c r="E10" s="18" t="s">
        <v>131</v>
      </c>
      <c r="J10" s="25" t="s">
        <v>132</v>
      </c>
    </row>
    <row r="11" spans="1:10" ht="52.8" x14ac:dyDescent="0.25">
      <c r="A11" s="126" t="s">
        <v>157</v>
      </c>
    </row>
    <row r="12" spans="1:10" x14ac:dyDescent="0.25">
      <c r="E12" s="18" t="s">
        <v>133</v>
      </c>
      <c r="J12" s="25" t="s">
        <v>134</v>
      </c>
    </row>
    <row r="13" spans="1:10" ht="52.8" x14ac:dyDescent="0.25">
      <c r="A13" s="126" t="s">
        <v>117</v>
      </c>
    </row>
    <row r="15" spans="1:10" ht="39.6" x14ac:dyDescent="0.25">
      <c r="A15" s="126" t="s">
        <v>118</v>
      </c>
    </row>
    <row r="17" spans="1:1" ht="39.6" x14ac:dyDescent="0.25">
      <c r="A17" s="126" t="s">
        <v>119</v>
      </c>
    </row>
    <row r="19" spans="1:1" ht="39.6" x14ac:dyDescent="0.25">
      <c r="A19" s="128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5215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пятнадцать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45894</v>
      </c>
      <c r="O3" s="178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пятнадцать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25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пятнадцать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пятнадцать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пятнадцать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5215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5215</v>
      </c>
      <c r="B29" s="47">
        <f>TRUNC(RIGHT(A29))</f>
        <v>5</v>
      </c>
      <c r="C29" s="51">
        <f>IF(B28=1,B29+10,IF(B29=0,0,B29))</f>
        <v>15</v>
      </c>
      <c r="D29" s="43" t="str">
        <f>IF(AND(C29&gt;9,C29&lt;16),IF(C29=10,D34,IF(C29=11,D35,IF(C29=12,D36,IF(C29=13,D37,IF(C29=14,D38,IF(C29=15,D39,)))))),"")</f>
        <v xml:space="preserve">пятнадцать </v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215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2025-08-25T13:53:29Z</cp:lastPrinted>
  <dcterms:created xsi:type="dcterms:W3CDTF">1996-10-14T23:33:28Z</dcterms:created>
  <dcterms:modified xsi:type="dcterms:W3CDTF">2025-08-25T13:53:58Z</dcterms:modified>
</cp:coreProperties>
</file>