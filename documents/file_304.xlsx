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D30D8920-6550-42D8-BA49-6754BF382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<sst xmlns="http://schemas.openxmlformats.org/spreadsheetml/2006/main" count="211" uniqueCount="164">
  <si>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</si>
  <si>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</si>
  <si>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</si>
  <si>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</si>
  <si>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</si>
  <si>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</si>
  <si>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</si>
  <si>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</si>
  <si>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</si>
  <si>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</si>
  <si>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</si>
  <si>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</si>
  <si>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</si>
  <si>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</si>
  <si>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</si>
  <si>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</si>
  <si>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</si>
  <si>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</si>
  <si>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</si>
  <si>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</si>
  <si>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</si>
  <si>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</si>
  <si>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</si>
  <si>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</si>
  <si>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</si>
  <si>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</si>
  <si>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</si>
  <si>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</si>
  <si>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</si>
  <si>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</si>
  <si>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</si>
  <si>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</si>
  <si>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</si>
  <si>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</si>
  <si>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</si>
  <si>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</si>
  <si>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</si>
  <si>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</si>
  <si>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</si>
  <si>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</si>
  <si>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</si>
  <si>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</si>
  <si>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</si>
  <si>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</si>
  <si>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</si>
  <si>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</si>
  <si>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</si>
  <si>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</si>
  <si>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</si>
  <si>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</si>
  <si>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</si>
  <si>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</si>
  <si>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</si>
  <si>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</si>
  <si>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</si>
  <si>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</si>
  <si>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</si>
  <si>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</si>
  <si>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</si>
  <si>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</si>
  <si>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</si>
  <si>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</si>
  <si>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</si>
  <si>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</si>
  <si>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</si>
  <si>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</si>
  <si>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</si>
  <si>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</si>
  <si>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</si>
  <si>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</si>
  <si>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</si>
  <si>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</si>
  <si>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</si>
  <si>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</si>
  <si>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</si>
  <si>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</si>
  <si>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</si>
  <si>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</si>
  <si>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</si>
  <si>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</si>
  <si>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</si>
  <si>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</si>
  <si>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</si>
  <si>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</si>
  <si>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</si>
  <si>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</si>
  <si>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</si>
  <si>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</si>
  <si>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</si>
  <si>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</si>
  <si>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</si>
  <si>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</si>
  <si>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</si>
  <si>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</si>
  <si>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</si>
  <si>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</si>
  <si>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</si>
  <si>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</si>
  <si>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</si>
  <si>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</si>
  <si>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</si>
  <si>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</si>
  <si>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</si>
  <si>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</si>
  <si>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</si>
  <si>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</si>
  <si>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</si>
  <si>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</si>
  <si>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</si>
  <si>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</si>
  <si>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</si>
  <si>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</si>
  <si>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</si>
  <si>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</si>
  <si>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</si>
  <si>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</si>
  <si>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</si>
  <si>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</si>
  <si>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</si>
  <si>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</si>
  <si>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</si>
  <si>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</si>
  <si>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</si>
  <si>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</si>
  <si>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</si>
  <si>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</si>
  <si>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</si>
  <si>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</si>
  <si>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</si>
  <si>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</si>
  <si>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</si>
  <si>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</si>
  <si>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</si>
  <si>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</si>
  <si>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</si>
  <si>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</si>
  <si>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</si>
  <si>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</si>
  <si>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</si>
  <si>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</si>
  <si>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</si>
  <si>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</si>
  <si>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</si>
  <si>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</si>
  <si>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</si>
  <si>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</si>
  <si>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</si>
  <si>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</si>
  <si>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</si>
  <si>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</si>
  <si>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</si>
  <si>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</si>
  <si>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</si>
  <si>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</si>
  <si>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</si>
  <si>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</si>
  <si>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</si>
  <si>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</si>
  <si>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</si>
  <si>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</si>
  <si>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EXG-F-26 от </t>
  </si>
  <si>
    <t>10H557TA/108473AA</t>
  </si>
  <si>
    <t xml:space="preserve">СПЕЦИФИКАЦИЯ № EXG-F-26 от </t>
  </si>
  <si>
    <t xml:space="preserve"> 31.08.2025г.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</si>
</sst>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7" fillId="0" borderId="0"/>
    <xf numFmtId="0" fontId="24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/>
    <xf numFmtId="0" fontId="18" fillId="0" borderId="1" xfId="0" applyFont="1" applyBorder="1" applyAlignment="1">
      <alignment horizontal="center" vertical="center" textRotation="90"/>
    </xf>
    <xf numFmtId="0" fontId="19" fillId="0" borderId="0" xfId="0" applyFont="1" applyAlignment="1">
      <alignment horizontal="center"/>
    </xf>
    <xf numFmtId="0" fontId="16" fillId="0" borderId="3" xfId="0" applyFont="1" applyBorder="1" applyAlignment="1">
      <alignment horizontal="center" vertical="center"/>
    </xf>
    <xf numFmtId="4" fontId="15" fillId="0" borderId="3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22" fillId="0" borderId="0" xfId="0" applyFont="1"/>
    <xf numFmtId="0" fontId="11" fillId="0" borderId="0" xfId="0" applyFont="1"/>
    <xf numFmtId="0" fontId="10" fillId="0" borderId="0" xfId="0" applyFont="1"/>
    <xf numFmtId="0" fontId="26" fillId="0" borderId="0" xfId="0" applyFont="1"/>
    <xf numFmtId="0" fontId="23" fillId="0" borderId="0" xfId="0" applyFont="1" applyAlignment="1">
      <alignment horizontal="left"/>
    </xf>
    <xf numFmtId="0" fontId="16" fillId="0" borderId="0" xfId="0" applyFont="1" applyAlignment="1">
      <alignment wrapText="1"/>
    </xf>
    <xf numFmtId="0" fontId="51" fillId="0" borderId="0" xfId="0" applyFont="1"/>
    <xf numFmtId="0" fontId="24" fillId="0" borderId="0" xfId="0" applyFont="1"/>
    <xf numFmtId="0" fontId="25" fillId="0" borderId="0" xfId="0" applyFont="1" applyAlignment="1">
      <alignment vertical="center" wrapText="1"/>
    </xf>
    <xf numFmtId="4" fontId="29" fillId="2" borderId="0" xfId="0" applyNumberFormat="1" applyFont="1" applyFill="1" applyAlignment="1">
      <alignment horizontal="right"/>
    </xf>
    <xf numFmtId="2" fontId="30" fillId="2" borderId="0" xfId="0" applyNumberFormat="1" applyFont="1" applyFill="1"/>
    <xf numFmtId="0" fontId="31" fillId="0" borderId="0" xfId="0" applyFont="1"/>
    <xf numFmtId="0" fontId="30" fillId="0" borderId="0" xfId="0" applyFont="1"/>
    <xf numFmtId="4" fontId="29" fillId="0" borderId="0" xfId="0" applyNumberFormat="1" applyFont="1" applyAlignment="1">
      <alignment horizontal="right"/>
    </xf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2" fillId="0" borderId="0" xfId="0" applyFont="1" applyProtection="1">
      <protection hidden="1"/>
    </xf>
    <xf numFmtId="0" fontId="34" fillId="0" borderId="0" xfId="0" applyFont="1"/>
    <xf numFmtId="165" fontId="35" fillId="0" borderId="0" xfId="0" applyNumberFormat="1" applyFont="1" applyAlignment="1">
      <alignment horizontal="left"/>
    </xf>
    <xf numFmtId="0" fontId="36" fillId="0" borderId="0" xfId="0" applyFont="1"/>
    <xf numFmtId="0" fontId="34" fillId="0" borderId="0" xfId="0" applyFont="1" applyAlignment="1">
      <alignment horizontal="right"/>
    </xf>
    <xf numFmtId="0" fontId="38" fillId="0" borderId="0" xfId="0" applyFont="1"/>
    <xf numFmtId="0" fontId="34" fillId="0" borderId="0" xfId="0" applyFont="1" applyAlignment="1">
      <alignment horizontal="center"/>
    </xf>
    <xf numFmtId="0" fontId="39" fillId="0" borderId="0" xfId="0" applyFont="1"/>
    <xf numFmtId="0" fontId="40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40" fillId="0" borderId="0" xfId="0" applyFont="1" applyAlignment="1">
      <alignment horizontal="right"/>
    </xf>
    <xf numFmtId="0" fontId="41" fillId="0" borderId="0" xfId="0" applyFont="1" applyAlignment="1">
      <alignment shrinkToFit="1"/>
    </xf>
    <xf numFmtId="0" fontId="40" fillId="0" borderId="0" xfId="0" applyFont="1" applyAlignment="1">
      <alignment horizontal="left"/>
    </xf>
    <xf numFmtId="14" fontId="40" fillId="0" borderId="0" xfId="0" applyNumberFormat="1" applyFont="1"/>
    <xf numFmtId="0" fontId="35" fillId="0" borderId="0" xfId="0" applyFont="1"/>
    <xf numFmtId="4" fontId="35" fillId="0" borderId="0" xfId="0" applyNumberFormat="1" applyFont="1" applyAlignment="1">
      <alignment horizontal="right"/>
    </xf>
    <xf numFmtId="22" fontId="40" fillId="0" borderId="0" xfId="0" applyNumberFormat="1" applyFont="1"/>
    <xf numFmtId="4" fontId="40" fillId="0" borderId="0" xfId="0" applyNumberFormat="1" applyFont="1" applyAlignment="1">
      <alignment horizontal="left"/>
    </xf>
    <xf numFmtId="0" fontId="42" fillId="0" borderId="0" xfId="0" applyFont="1"/>
    <xf numFmtId="0" fontId="42" fillId="0" borderId="0" xfId="0" applyFont="1" applyAlignment="1">
      <alignment shrinkToFit="1"/>
    </xf>
    <xf numFmtId="0" fontId="43" fillId="0" borderId="0" xfId="0" applyFont="1" applyAlignment="1">
      <alignment shrinkToFit="1"/>
    </xf>
    <xf numFmtId="3" fontId="40" fillId="0" borderId="0" xfId="0" applyNumberFormat="1" applyFont="1"/>
    <xf numFmtId="0" fontId="35" fillId="0" borderId="0" xfId="0" applyFont="1" applyAlignment="1">
      <alignment horizontal="right"/>
    </xf>
    <xf numFmtId="1" fontId="40" fillId="0" borderId="0" xfId="0" applyNumberFormat="1" applyFont="1" applyAlignment="1">
      <alignment horizontal="right"/>
    </xf>
    <xf numFmtId="0" fontId="44" fillId="0" borderId="0" xfId="0" applyFont="1"/>
    <xf numFmtId="0" fontId="14" fillId="0" borderId="0" xfId="1" applyNumberFormat="1" applyAlignment="1" applyProtection="1"/>
    <xf numFmtId="0" fontId="49" fillId="0" borderId="0" xfId="0" applyFont="1"/>
    <xf numFmtId="1" fontId="15" fillId="0" borderId="1" xfId="0" applyNumberFormat="1" applyFont="1" applyBorder="1" applyAlignment="1">
      <alignment horizontal="center" vertical="center" wrapText="1"/>
    </xf>
    <xf numFmtId="0" fontId="52" fillId="0" borderId="0" xfId="0" applyFont="1"/>
    <xf numFmtId="1" fontId="0" fillId="0" borderId="0" xfId="0" applyNumberFormat="1"/>
    <xf numFmtId="0" fontId="10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0" fontId="53" fillId="0" borderId="0" xfId="0" applyFont="1"/>
    <xf numFmtId="0" fontId="53" fillId="0" borderId="0" xfId="0" applyFont="1" applyAlignment="1">
      <alignment wrapText="1"/>
    </xf>
    <xf numFmtId="0" fontId="53" fillId="0" borderId="0" xfId="0" applyFont="1" applyAlignment="1">
      <alignment horizontal="left" wrapText="1"/>
    </xf>
    <xf numFmtId="0" fontId="53" fillId="0" borderId="0" xfId="0" applyFont="1" applyAlignment="1">
      <alignment vertical="top" wrapText="1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wrapText="1"/>
    </xf>
    <xf numFmtId="0" fontId="54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" fontId="53" fillId="0" borderId="0" xfId="0" applyNumberFormat="1" applyFont="1" applyAlignment="1">
      <alignment horizontal="center" vertical="center"/>
    </xf>
    <xf numFmtId="0" fontId="57" fillId="0" borderId="0" xfId="0" applyFont="1"/>
    <xf numFmtId="11" fontId="56" fillId="0" borderId="0" xfId="0" applyNumberFormat="1" applyFont="1" applyAlignment="1">
      <alignment horizontal="left"/>
    </xf>
    <xf numFmtId="0" fontId="58" fillId="0" borderId="0" xfId="0" applyFont="1"/>
    <xf numFmtId="0" fontId="6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61" fillId="0" borderId="0" xfId="0" applyFont="1"/>
    <xf numFmtId="0" fontId="6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3" fillId="0" borderId="0" xfId="0" applyFont="1" applyAlignment="1">
      <alignment horizontal="left"/>
    </xf>
    <xf numFmtId="0" fontId="60" fillId="0" borderId="0" xfId="0" applyFont="1"/>
    <xf numFmtId="0" fontId="64" fillId="0" borderId="0" xfId="0" applyFont="1"/>
    <xf numFmtId="0" fontId="56" fillId="0" borderId="0" xfId="0" applyFont="1" applyAlignment="1">
      <alignment vertical="center"/>
    </xf>
    <xf numFmtId="0" fontId="57" fillId="0" borderId="0" xfId="0" applyFont="1" applyAlignment="1">
      <alignment horizontal="right"/>
    </xf>
    <xf numFmtId="49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0" fontId="65" fillId="0" borderId="0" xfId="0" applyFont="1"/>
    <xf numFmtId="0" fontId="56" fillId="0" borderId="0" xfId="0" applyFont="1" applyAlignment="1">
      <alignment horizontal="center" vertical="top"/>
    </xf>
    <xf numFmtId="1" fontId="66" fillId="0" borderId="0" xfId="0" applyNumberFormat="1" applyFont="1" applyAlignment="1">
      <alignment horizontal="left" vertical="top"/>
    </xf>
    <xf numFmtId="0" fontId="57" fillId="0" borderId="0" xfId="0" applyFont="1" applyAlignment="1">
      <alignment vertical="center"/>
    </xf>
    <xf numFmtId="0" fontId="16" fillId="0" borderId="0" xfId="0" applyFont="1" applyAlignment="1">
      <alignment horizontal="left" vertical="top"/>
    </xf>
    <xf numFmtId="167" fontId="0" fillId="0" borderId="0" xfId="0" applyNumberFormat="1"/>
    <xf numFmtId="0" fontId="16" fillId="0" borderId="1" xfId="2" applyFont="1" applyBorder="1" applyAlignment="1">
      <alignment horizontal="center" vertical="center" wrapText="1"/>
    </xf>
    <xf numFmtId="164" fontId="67" fillId="0" borderId="1" xfId="0" applyNumberFormat="1" applyFont="1" applyBorder="1" applyAlignment="1">
      <alignment horizontal="center" vertical="center" wrapText="1"/>
    </xf>
    <xf numFmtId="0" fontId="68" fillId="0" borderId="0" xfId="0" applyFont="1" applyAlignment="1">
      <alignment horizontal="center" vertical="center"/>
    </xf>
    <xf numFmtId="49" fontId="68" fillId="0" borderId="0" xfId="0" applyNumberFormat="1" applyFont="1" applyAlignment="1">
      <alignment horizontal="center" vertical="center"/>
    </xf>
    <xf numFmtId="1" fontId="68" fillId="0" borderId="0" xfId="0" applyNumberFormat="1" applyFont="1" applyAlignment="1">
      <alignment horizontal="center" vertical="center"/>
    </xf>
    <xf numFmtId="1" fontId="16" fillId="0" borderId="3" xfId="2" applyNumberFormat="1" applyFont="1" applyBorder="1" applyAlignment="1">
      <alignment horizontal="center" vertical="center" wrapText="1"/>
    </xf>
    <xf numFmtId="49" fontId="16" fillId="0" borderId="3" xfId="2" applyNumberFormat="1" applyFont="1" applyBorder="1" applyAlignment="1">
      <alignment horizontal="center" vertical="center" wrapText="1"/>
    </xf>
    <xf numFmtId="164" fontId="16" fillId="0" borderId="3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53" fillId="0" borderId="0" xfId="0" applyFont="1" applyAlignment="1">
      <alignment vertical="top"/>
    </xf>
    <xf numFmtId="0" fontId="72" fillId="0" borderId="0" xfId="0" applyFont="1"/>
    <xf numFmtId="0" fontId="69" fillId="0" borderId="1" xfId="5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73" fillId="0" borderId="0" xfId="0" applyFont="1"/>
    <xf numFmtId="1" fontId="74" fillId="0" borderId="0" xfId="0" applyNumberFormat="1" applyFont="1" applyAlignment="1">
      <alignment horizontal="center"/>
    </xf>
    <xf numFmtId="0" fontId="74" fillId="0" borderId="0" xfId="0" applyFont="1" applyAlignment="1">
      <alignment horizontal="center"/>
    </xf>
    <xf numFmtId="1" fontId="74" fillId="0" borderId="0" xfId="0" applyNumberFormat="1" applyFont="1" applyAlignment="1">
      <alignment horizontal="left"/>
    </xf>
    <xf numFmtId="0" fontId="74" fillId="0" borderId="0" xfId="0" applyFont="1" applyAlignment="1">
      <alignment horizontal="right"/>
    </xf>
    <xf numFmtId="0" fontId="74" fillId="0" borderId="0" xfId="0" applyFont="1" applyAlignment="1">
      <alignment horizontal="left"/>
    </xf>
    <xf numFmtId="0" fontId="75" fillId="0" borderId="0" xfId="0" applyFont="1"/>
    <xf numFmtId="2" fontId="57" fillId="0" borderId="0" xfId="0" applyNumberFormat="1" applyFont="1" applyAlignment="1">
      <alignment horizontal="left"/>
    </xf>
    <xf numFmtId="0" fontId="49" fillId="0" borderId="0" xfId="0" applyFont="1" applyAlignment="1">
      <alignment horizontal="left"/>
    </xf>
    <xf numFmtId="0" fontId="0" fillId="0" borderId="0" xfId="0" applyAlignment="1">
      <alignment wrapText="1"/>
    </xf>
    <xf numFmtId="0" fontId="18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4" fillId="0" borderId="0" xfId="0" applyFont="1" applyAlignment="1">
      <alignment wrapText="1"/>
    </xf>
    <xf numFmtId="0" fontId="15" fillId="0" borderId="0" xfId="0" applyFont="1"/>
    <xf numFmtId="0" fontId="78" fillId="0" borderId="0" xfId="0" applyFont="1"/>
    <xf numFmtId="0" fontId="79" fillId="0" borderId="0" xfId="0" applyFont="1"/>
    <xf numFmtId="0" fontId="16" fillId="0" borderId="3" xfId="4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4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vertical="top" wrapText="1"/>
    </xf>
    <xf numFmtId="11" fontId="23" fillId="0" borderId="0" xfId="0" applyNumberFormat="1" applyFont="1" applyAlignment="1">
      <alignment horizontal="left"/>
    </xf>
    <xf numFmtId="0" fontId="25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4" fontId="13" fillId="0" borderId="5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6" borderId="0" xfId="0" applyFont="1" applyFill="1" applyAlignment="1">
      <alignment horizontal="left"/>
    </xf>
    <xf numFmtId="0" fontId="50" fillId="6" borderId="0" xfId="0" applyFont="1" applyFill="1" applyAlignment="1">
      <alignment horizontal="right"/>
    </xf>
    <xf numFmtId="0" fontId="15" fillId="0" borderId="0" xfId="0" applyFont="1" applyAlignment="1">
      <alignment horizontal="left" wrapText="1"/>
    </xf>
    <xf numFmtId="0" fontId="76" fillId="0" borderId="0" xfId="0" applyFont="1" applyAlignment="1">
      <alignment horizontal="left"/>
    </xf>
    <xf numFmtId="0" fontId="53" fillId="0" borderId="0" xfId="0" applyFont="1" applyAlignment="1">
      <alignment horizontal="center" vertical="top" wrapText="1"/>
    </xf>
    <xf numFmtId="0" fontId="71" fillId="0" borderId="0" xfId="0" applyFont="1" applyAlignment="1">
      <alignment horizontal="left"/>
    </xf>
    <xf numFmtId="0" fontId="55" fillId="0" borderId="0" xfId="0" applyFont="1" applyAlignment="1">
      <alignment horizontal="left" vertical="center" wrapText="1"/>
    </xf>
    <xf numFmtId="0" fontId="53" fillId="0" borderId="0" xfId="0" applyFont="1" applyAlignment="1">
      <alignment horizontal="center"/>
    </xf>
    <xf numFmtId="49" fontId="74" fillId="0" borderId="0" xfId="0" applyNumberFormat="1" applyFont="1" applyAlignment="1">
      <alignment horizontal="center"/>
    </xf>
    <xf numFmtId="0" fontId="74" fillId="0" borderId="0" xfId="0" applyFont="1" applyAlignment="1">
      <alignment horizontal="center"/>
    </xf>
    <xf numFmtId="0" fontId="74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1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59" fillId="0" borderId="0" xfId="0" applyFont="1" applyAlignment="1">
      <alignment horizontal="left" vertical="center"/>
    </xf>
    <xf numFmtId="11" fontId="60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right"/>
    </xf>
    <xf numFmtId="0" fontId="63" fillId="0" borderId="0" xfId="0" applyFont="1" applyAlignment="1">
      <alignment horizontal="right" vertical="top"/>
    </xf>
    <xf numFmtId="0" fontId="11" fillId="6" borderId="0" xfId="0" applyFont="1" applyFill="1" applyAlignment="1">
      <alignment horizontal="right"/>
    </xf>
    <xf numFmtId="0" fontId="23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72" fillId="0" borderId="0" xfId="0" applyFont="1" applyAlignment="1">
      <alignment horizontal="left" vertical="top" wrapText="1"/>
    </xf>
    <xf numFmtId="0" fontId="40" fillId="0" borderId="0" xfId="0" applyFont="1" applyAlignment="1">
      <alignment horizontal="right"/>
    </xf>
    <xf numFmtId="0" fontId="14" fillId="0" borderId="0" xfId="1" applyNumberFormat="1" applyAlignment="1" applyProtection="1"/>
    <xf numFmtId="0" fontId="28" fillId="3" borderId="0" xfId="0" applyFont="1" applyFill="1" applyAlignment="1">
      <alignment horizontal="center" vertical="center" wrapText="1"/>
    </xf>
    <xf numFmtId="14" fontId="33" fillId="4" borderId="0" xfId="0" applyNumberFormat="1" applyFont="1" applyFill="1" applyAlignment="1">
      <alignment horizontal="center"/>
    </xf>
    <xf numFmtId="165" fontId="35" fillId="0" borderId="0" xfId="0" applyNumberFormat="1" applyFont="1" applyAlignment="1">
      <alignment horizontal="left"/>
    </xf>
    <xf numFmtId="0" fontId="37" fillId="5" borderId="0" xfId="0" applyFont="1" applyFill="1" applyAlignment="1">
      <alignment horizontal="center" vertical="center" wrapText="1"/>
    </xf>
    <xf numFmtId="0" fontId="45" fillId="2" borderId="0" xfId="0" applyFont="1" applyFill="1" applyAlignment="1">
      <alignment horizontal="right" vertical="center" wrapText="1"/>
    </xf>
  </cellXfs>
  <cellStyles count="21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2 2" xfId="16" xr:uid="{680B6A70-6E49-4F70-B21C-F78AD9BD7B76}"/>
    <cellStyle name="Обычный 4 2 3" xfId="10" xr:uid="{00000000-0005-0000-0000-000008000000}"/>
    <cellStyle name="Обычный 4 2 3 2" xfId="18" xr:uid="{7EA78D30-A0CB-4E63-AF6B-C2B14A0F929C}"/>
    <cellStyle name="Обычный 4 2 4" xfId="12" xr:uid="{00000000-0005-0000-0000-000009000000}"/>
    <cellStyle name="Обычный 4 2 4 2" xfId="20" xr:uid="{99837C90-2C33-49CB-8A3E-CEEC7C122AD6}"/>
    <cellStyle name="Обычный 4 2 5" xfId="14" xr:uid="{A89F4D54-9A9F-474B-8B9F-91CF1BDE4640}"/>
    <cellStyle name="Обычный 4 3" xfId="7" xr:uid="{00000000-0005-0000-0000-00000A000000}"/>
    <cellStyle name="Обычный 4 3 2" xfId="15" xr:uid="{253F8AF4-1F6F-4450-9A01-8D2675163D2D}"/>
    <cellStyle name="Обычный 4 4" xfId="9" xr:uid="{00000000-0005-0000-0000-00000B000000}"/>
    <cellStyle name="Обычный 4 4 2" xfId="17" xr:uid="{3B94389A-AC89-4594-9EE0-5CE741FC8200}"/>
    <cellStyle name="Обычный 4 5" xfId="11" xr:uid="{00000000-0005-0000-0000-00000C000000}"/>
    <cellStyle name="Обычный 4 5 2" xfId="19" xr:uid="{7E994BC1-8E7B-4D46-B701-387656410712}"/>
    <cellStyle name="Обычный 4 6" xfId="13" xr:uid="{1A0461EF-EC01-4CCD-855A-7A3022DDBA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160</v>
      </c>
      <c r="D1" s="152"/>
      <c r="E1" s="152"/>
      <c r="F1" s="151" t="s">
        <v>163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148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149</v>
      </c>
      <c r="B5" s="153"/>
      <c r="C5" s="153"/>
      <c r="D5" s="153"/>
      <c r="E5" s="153"/>
      <c r="F5" s="6"/>
      <c r="G5" s="146" t="s">
        <v>140</v>
      </c>
      <c r="H5" s="146"/>
      <c r="I5" s="146"/>
      <c r="J5" s="146"/>
      <c r="K5" s="146"/>
      <c r="L5" s="146"/>
      <c r="M5" s="146"/>
    </row>
    <row r="6" spans="1:15" ht="15" customHeight="1" x14ac:dyDescent="0.25">
      <c r="A6" s="140" t="s">
        <v>150</v>
      </c>
      <c r="B6" s="139"/>
      <c r="C6" s="139"/>
      <c r="D6" s="139"/>
      <c r="E6" s="139"/>
      <c r="F6" s="7"/>
      <c r="G6" s="138" t="s">
        <v>141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39" t="s">
        <v>151</v>
      </c>
      <c r="B7" s="139"/>
      <c r="C7" s="139"/>
      <c r="D7" s="139"/>
      <c r="E7" s="139"/>
      <c r="F7" s="63"/>
      <c r="G7" s="138" t="s">
        <v>142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154</v>
      </c>
      <c r="B10" s="123"/>
      <c r="C10" s="123"/>
      <c r="D10" s="123"/>
      <c r="E10" s="123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1" t="s">
        <v>146</v>
      </c>
      <c r="H12" s="141"/>
      <c r="I12" s="141"/>
      <c r="J12" s="141"/>
      <c r="K12" s="141"/>
      <c r="L12" s="141"/>
      <c r="M12" s="141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149</v>
      </c>
      <c r="B14" s="153"/>
      <c r="C14" s="153"/>
      <c r="D14" s="153"/>
      <c r="E14" s="153"/>
      <c r="F14" s="6"/>
      <c r="G14" s="146" t="s">
        <v>140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40" t="s">
        <v>150</v>
      </c>
      <c r="B15" s="139"/>
      <c r="C15" s="139"/>
      <c r="D15" s="139"/>
      <c r="E15" s="139"/>
      <c r="F15" s="7"/>
      <c r="G15" s="138" t="s">
        <v>141</v>
      </c>
      <c r="H15" s="138"/>
      <c r="I15" s="138"/>
      <c r="J15" s="138"/>
      <c r="K15" s="138"/>
      <c r="L15" s="138"/>
      <c r="M15" s="138"/>
    </row>
    <row r="16" spans="1:15" ht="13.8" x14ac:dyDescent="0.25">
      <c r="A16" s="139" t="s">
        <v>151</v>
      </c>
      <c r="B16" s="139"/>
      <c r="C16" s="139"/>
      <c r="D16" s="139"/>
      <c r="E16" s="139"/>
      <c r="F16" s="63"/>
      <c r="G16" s="138" t="s">
        <v>142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3" t="s">
        <v>154</v>
      </c>
      <c r="B19" s="123"/>
      <c r="C19" s="123"/>
      <c r="D19" s="123"/>
      <c r="E19" s="123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1" t="s">
        <v>146</v>
      </c>
      <c r="H21" s="141"/>
      <c r="I21" s="141"/>
      <c r="J21" s="141"/>
      <c r="K21" s="141"/>
      <c r="L21" s="141"/>
      <c r="M21" s="141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128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2" t="s">
        <v>161</v>
      </c>
      <c r="F26" s="142"/>
      <c r="G26" s="142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09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09" t="s">
        <v>12</v>
      </c>
      <c r="H29" s="109" t="s">
        <v>13</v>
      </c>
      <c r="I29" s="134"/>
      <c r="J29" s="110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5">
        <v>1</v>
      </c>
      <c r="B30" s="101" t="s">
        <v>126</v>
      </c>
      <c r="C30" s="107" t="s">
        <v>127</v>
      </c>
      <c r="D30" s="132" t="s">
        <v>112</v>
      </c>
      <c r="E30" s="101">
        <v>900</v>
      </c>
      <c r="F30" s="114" t="s">
        <v>27</v>
      </c>
      <c r="G30" s="106">
        <v>22050</v>
      </c>
      <c r="H30" s="106">
        <v>20430</v>
      </c>
      <c r="I30" s="108">
        <v>0.25</v>
      </c>
      <c r="J30" s="13">
        <f t="shared" ref="J30" si="0">H30*I30</f>
        <v>5107.5</v>
      </c>
      <c r="K30" s="12">
        <v>0</v>
      </c>
      <c r="L30" s="12">
        <v>0</v>
      </c>
      <c r="M30" s="13">
        <f t="shared" ref="M30" si="1">J30</f>
        <v>5107.5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22050</v>
      </c>
      <c r="H31" s="64">
        <f>SUM(H30:H30)</f>
        <v>20430</v>
      </c>
      <c r="I31" s="102"/>
      <c r="J31" s="17">
        <f>SUM(J30:J30)</f>
        <v>5107.5</v>
      </c>
      <c r="K31" s="16"/>
      <c r="L31" s="16"/>
      <c r="M31" s="17">
        <f>SUM(M30:M30)</f>
        <v>5107.5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сто семь долларов США, 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G7:M7"/>
    <mergeCell ref="A7:E7"/>
    <mergeCell ref="A15:E15"/>
    <mergeCell ref="A16:E16"/>
    <mergeCell ref="G21:M21"/>
    <mergeCell ref="E26:G26"/>
  </mergeCells>
  <phoneticPr fontId="9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" zoomScale="85" zoomScaleNormal="8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1" t="s">
        <v>111</v>
      </c>
      <c r="C13" s="111"/>
      <c r="D13" s="111"/>
      <c r="E13" s="111"/>
      <c r="F13" s="111"/>
      <c r="G13" s="111"/>
      <c r="H13" s="111"/>
      <c r="I13" s="111"/>
      <c r="J13" s="111"/>
      <c r="K13" s="111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EXG-F-26 от  31.08.2025г.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8" t="str">
        <f>+C22</f>
        <v xml:space="preserve"> 31.08.2025г.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10H557TA/108473AA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="70" zoomScaleNormal="7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10H557TA/108473AA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EXG-F-26 от  31.08.2025г.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900</v>
      </c>
      <c r="G18" s="161" t="str">
        <f>+CMR!F30</f>
        <v>Дыни свежие</v>
      </c>
      <c r="H18" s="161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Карт.Коробок</v>
      </c>
      <c r="G19" s="159" t="str">
        <f>+Инвойс!C30</f>
        <v>0807190001</v>
      </c>
      <c r="H19" s="160"/>
      <c r="I19" s="120" t="s">
        <v>103</v>
      </c>
      <c r="J19" s="118">
        <f>+Инвойс!G30</f>
        <v>22050</v>
      </c>
    </row>
    <row r="20" spans="2:10" ht="13.5" customHeight="1" x14ac:dyDescent="0.3">
      <c r="B20" s="83"/>
      <c r="E20" s="121"/>
      <c r="F20" s="116"/>
      <c r="G20" s="161"/>
      <c r="H20" s="161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9"/>
      <c r="H21" s="160"/>
      <c r="I21" s="120"/>
      <c r="J21" s="118"/>
    </row>
    <row r="22" spans="2:10" ht="12.75" customHeight="1" x14ac:dyDescent="0.3">
      <c r="B22" s="83"/>
      <c r="E22" s="121"/>
      <c r="F22" s="116"/>
      <c r="G22" s="161"/>
      <c r="H22" s="161"/>
      <c r="I22" s="117"/>
      <c r="J22" s="118"/>
    </row>
    <row r="23" spans="2:10" ht="14.25" customHeight="1" x14ac:dyDescent="0.3">
      <c r="B23" s="83"/>
      <c r="E23" s="121"/>
      <c r="F23" s="119"/>
      <c r="G23" s="159"/>
      <c r="H23" s="160"/>
      <c r="I23" s="120"/>
      <c r="J23" s="118"/>
    </row>
    <row r="24" spans="2:10" ht="12.75" customHeight="1" x14ac:dyDescent="0.3">
      <c r="B24" s="87"/>
      <c r="E24" s="121"/>
      <c r="F24" s="116"/>
      <c r="G24" s="161"/>
      <c r="H24" s="161"/>
      <c r="I24" s="117"/>
      <c r="J24" s="118"/>
    </row>
    <row r="25" spans="2:10" ht="12.75" customHeight="1" x14ac:dyDescent="0.3">
      <c r="B25" s="87"/>
      <c r="E25" s="121"/>
      <c r="F25" s="119"/>
      <c r="G25" s="159"/>
      <c r="H25" s="160"/>
      <c r="I25" s="120"/>
      <c r="J25" s="118"/>
    </row>
    <row r="26" spans="2:10" ht="12" customHeight="1" x14ac:dyDescent="0.3">
      <c r="B26" s="87"/>
      <c r="E26" s="121"/>
      <c r="F26" s="116"/>
      <c r="G26" s="161"/>
      <c r="H26" s="161"/>
      <c r="I26" s="117"/>
      <c r="J26" s="118"/>
    </row>
    <row r="27" spans="2:10" ht="14.25" customHeight="1" x14ac:dyDescent="0.3">
      <c r="B27" s="87"/>
      <c r="E27" s="121"/>
      <c r="F27" s="119"/>
      <c r="G27" s="159"/>
      <c r="H27" s="160"/>
      <c r="I27" s="120"/>
      <c r="J27" s="118"/>
    </row>
    <row r="28" spans="2:10" ht="12.75" customHeight="1" x14ac:dyDescent="0.3">
      <c r="B28" s="87"/>
      <c r="E28" s="121"/>
      <c r="F28" s="116"/>
      <c r="G28" s="161"/>
      <c r="H28" s="161"/>
      <c r="I28" s="117"/>
      <c r="J28" s="118"/>
    </row>
    <row r="29" spans="2:10" ht="12.75" customHeight="1" x14ac:dyDescent="0.3">
      <c r="B29" s="87"/>
      <c r="E29" s="121"/>
      <c r="F29" s="119"/>
      <c r="G29" s="159"/>
      <c r="H29" s="160"/>
      <c r="I29" s="120"/>
      <c r="J29" s="118"/>
    </row>
    <row r="30" spans="2:10" ht="12.75" customHeight="1" x14ac:dyDescent="0.3">
      <c r="B30" s="87"/>
      <c r="E30" s="121"/>
      <c r="F30" s="116"/>
      <c r="G30" s="161"/>
      <c r="H30" s="161"/>
      <c r="I30" s="117"/>
      <c r="J30" s="118"/>
    </row>
    <row r="31" spans="2:10" ht="13.5" customHeight="1" x14ac:dyDescent="0.3">
      <c r="B31" s="87"/>
      <c r="E31" s="121"/>
      <c r="F31" s="119"/>
      <c r="G31" s="159"/>
      <c r="H31" s="160"/>
      <c r="I31" s="120"/>
      <c r="J31" s="118"/>
    </row>
    <row r="32" spans="2:10" ht="13.5" customHeight="1" x14ac:dyDescent="0.3">
      <c r="B32" s="87"/>
      <c r="E32" s="121"/>
      <c r="F32" s="116"/>
      <c r="G32" s="161"/>
      <c r="H32" s="161"/>
      <c r="I32" s="117"/>
      <c r="J32" s="118"/>
    </row>
    <row r="33" spans="2:10" ht="13.5" customHeight="1" x14ac:dyDescent="0.3">
      <c r="B33" s="87"/>
      <c r="E33" s="121"/>
      <c r="F33" s="119"/>
      <c r="G33" s="159"/>
      <c r="H33" s="160"/>
      <c r="I33" s="120"/>
      <c r="J33" s="118"/>
    </row>
    <row r="34" spans="2:10" ht="13.5" customHeight="1" x14ac:dyDescent="0.3">
      <c r="B34" s="87"/>
      <c r="E34" s="121"/>
      <c r="F34" s="116"/>
      <c r="G34" s="161"/>
      <c r="H34" s="161"/>
      <c r="I34" s="117"/>
      <c r="J34" s="118"/>
    </row>
    <row r="35" spans="2:10" ht="12.75" customHeight="1" x14ac:dyDescent="0.3">
      <c r="B35" s="87"/>
      <c r="E35" s="121"/>
      <c r="F35" s="119"/>
      <c r="G35" s="159"/>
      <c r="H35" s="160"/>
      <c r="I35" s="120"/>
      <c r="J35" s="118"/>
    </row>
    <row r="36" spans="2:10" x14ac:dyDescent="0.3">
      <c r="B36" s="87"/>
      <c r="E36" s="121"/>
      <c r="F36" s="116"/>
      <c r="G36" s="161"/>
      <c r="H36" s="161"/>
      <c r="I36" s="117"/>
      <c r="J36" s="118"/>
    </row>
    <row r="37" spans="2:10" ht="13.5" customHeight="1" x14ac:dyDescent="0.3">
      <c r="B37" s="87"/>
      <c r="E37" s="121"/>
      <c r="F37" s="119"/>
      <c r="G37" s="159"/>
      <c r="H37" s="160"/>
      <c r="I37" s="120"/>
      <c r="J37" s="118"/>
    </row>
    <row r="38" spans="2:10" x14ac:dyDescent="0.3">
      <c r="B38" s="87"/>
      <c r="E38" s="121"/>
      <c r="F38" s="116"/>
      <c r="G38" s="161"/>
      <c r="H38" s="161"/>
      <c r="I38" s="117"/>
      <c r="J38" s="118"/>
    </row>
    <row r="39" spans="2:10" ht="13.5" customHeight="1" x14ac:dyDescent="0.3">
      <c r="B39" s="87"/>
      <c r="E39" s="121"/>
      <c r="F39" s="119"/>
      <c r="G39" s="159"/>
      <c r="H39" s="160"/>
      <c r="I39" s="120"/>
      <c r="J39" s="118"/>
    </row>
    <row r="40" spans="2:10" ht="14.25" hidden="1" customHeight="1" x14ac:dyDescent="0.3">
      <c r="B40" s="87"/>
      <c r="E40" s="121"/>
      <c r="F40" s="116"/>
      <c r="G40" s="161"/>
      <c r="H40" s="161"/>
      <c r="I40" s="117"/>
      <c r="J40" s="118"/>
    </row>
    <row r="41" spans="2:10" ht="14.25" hidden="1" customHeight="1" x14ac:dyDescent="0.3">
      <c r="B41" s="87"/>
      <c r="E41" s="121"/>
      <c r="F41" s="119"/>
      <c r="G41" s="159"/>
      <c r="H41" s="160"/>
      <c r="I41" s="120"/>
      <c r="J41" s="118"/>
    </row>
    <row r="42" spans="2:10" hidden="1" x14ac:dyDescent="0.3">
      <c r="B42" s="87"/>
      <c r="E42" s="121"/>
      <c r="F42" s="116"/>
      <c r="G42" s="161"/>
      <c r="H42" s="161"/>
      <c r="I42" s="117"/>
      <c r="J42" s="118"/>
    </row>
    <row r="43" spans="2:10" x14ac:dyDescent="0.3">
      <c r="B43" s="87"/>
      <c r="E43" s="121"/>
      <c r="F43" s="119"/>
      <c r="G43" s="159"/>
      <c r="H43" s="160"/>
      <c r="I43" s="120"/>
      <c r="J43" s="118"/>
    </row>
    <row r="44" spans="2:10" ht="9" customHeight="1" x14ac:dyDescent="0.3">
      <c r="B44" s="87"/>
      <c r="E44" s="95"/>
      <c r="F44" s="92"/>
      <c r="G44" s="163"/>
      <c r="H44" s="163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900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6" zoomScale="70" zoomScaleNormal="70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162</v>
      </c>
      <c r="C1" s="170"/>
      <c r="D1" s="170"/>
      <c r="E1" s="170"/>
      <c r="F1" s="151" t="str">
        <f>+Инвойс!F1</f>
        <v xml:space="preserve"> 31.08.2025г.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GR-EX-01 от 22.08.2025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>OOO “EXACT GROUP”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40" t="str">
        <f>+Инвойс!A6</f>
        <v>РЕСПУБЛИКА УЗБЕКИСТАН. СУРХАНДАРЬИНСКАЯ ОБЛАСТЬ,</v>
      </c>
      <c r="B6" s="140"/>
      <c r="C6" s="140"/>
      <c r="D6" s="140"/>
      <c r="E6" s="140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0" t="str">
        <f>+Инвойс!A7</f>
        <v>ШЕРАБАДСКИЙ РАЙОН, МФЙ «БАХОР», УЛИЦА ШЕРЖАН, ДОМ 19Б</v>
      </c>
      <c r="B7" s="140"/>
      <c r="C7" s="140"/>
      <c r="D7" s="140"/>
      <c r="E7" s="140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0" t="str">
        <f>+Инвойс!A8</f>
        <v>в АКБ“KAPITAL BANK”  МФО: 01158  Swift: KACHUZ22</v>
      </c>
      <c r="B8" s="140"/>
      <c r="C8" s="140"/>
      <c r="D8" s="140"/>
      <c r="E8" s="140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0" t="str">
        <f>+Инвойс!A9</f>
        <v>Доллар США: 20208840607280925001</v>
      </c>
      <c r="B9" s="140"/>
      <c r="C9" s="140"/>
      <c r="D9" s="140"/>
      <c r="E9" s="140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0" t="str">
        <f>+Инвойс!A10</f>
        <v>Корреспондирующий банк (RUB): АКБ "Азия Инвест Банк" (АО) :</v>
      </c>
      <c r="B10" s="140"/>
      <c r="C10" s="140"/>
      <c r="D10" s="140"/>
      <c r="E10" s="140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0" t="str">
        <f>+Инвойс!A11</f>
        <v>SWIFT:ASIJRUMM / БИК 044525234,</v>
      </c>
      <c r="B11" s="140"/>
      <c r="C11" s="140"/>
      <c r="D11" s="140"/>
      <c r="E11" s="140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1"/>
      <c r="B12" s="141"/>
      <c r="C12" s="141"/>
      <c r="D12" s="141"/>
      <c r="E12" s="141"/>
      <c r="F12" s="7"/>
      <c r="G12" s="141"/>
      <c r="H12" s="141"/>
      <c r="I12" s="141"/>
      <c r="J12" s="141"/>
      <c r="K12" s="141"/>
      <c r="L12" s="141"/>
      <c r="M12" s="141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>OOO “EXACT GROUP”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40" t="str">
        <f>+Инвойс!A15</f>
        <v>РЕСПУБЛИКА УЗБЕКИСТАН. СУРХАНДАРЬИНСКАЯ ОБЛАСТЬ,</v>
      </c>
      <c r="B15" s="140"/>
      <c r="C15" s="140"/>
      <c r="D15" s="140"/>
      <c r="E15" s="140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0" t="str">
        <f>+Инвойс!A16</f>
        <v>ШЕРАБАДСКИЙ РАЙОН, МФЙ «БАХОР», УЛИЦА ШЕРЖАН, ДОМ 19Б</v>
      </c>
      <c r="B16" s="140"/>
      <c r="C16" s="140"/>
      <c r="D16" s="140"/>
      <c r="E16" s="140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0" t="str">
        <f>+Инвойс!A17</f>
        <v>в АКБ“KAPITAL BANK”  МФО: 01158  Swift: KACHUZ22</v>
      </c>
      <c r="B17" s="140"/>
      <c r="C17" s="140"/>
      <c r="D17" s="140"/>
      <c r="E17" s="140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0" t="str">
        <f>+Инвойс!A18</f>
        <v>Доллар США: 20208840607280925001</v>
      </c>
      <c r="B18" s="140"/>
      <c r="C18" s="140"/>
      <c r="D18" s="140"/>
      <c r="E18" s="140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0" t="str">
        <f>+Инвойс!A19</f>
        <v>Корреспондирующий банк (RUB): АКБ "Азия Инвест Банк" (АО) :</v>
      </c>
      <c r="B19" s="140"/>
      <c r="C19" s="140"/>
      <c r="D19" s="140"/>
      <c r="E19" s="140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0" t="str">
        <f>+Инвойс!A20</f>
        <v>SWIFT:ASIJRUMM / БИК 044525234,</v>
      </c>
      <c r="B20" s="140"/>
      <c r="C20" s="140"/>
      <c r="D20" s="140"/>
      <c r="E20" s="140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0"/>
      <c r="B21" s="140"/>
      <c r="C21" s="140"/>
      <c r="D21" s="140"/>
      <c r="E21" s="140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2" t="str">
        <f>+Инвойс!E26</f>
        <v>10H557TA/108473AA</v>
      </c>
      <c r="F26" s="171"/>
      <c r="G26" s="171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09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09" t="s">
        <v>12</v>
      </c>
      <c r="H29" s="109" t="s">
        <v>13</v>
      </c>
      <c r="I29" s="134"/>
      <c r="J29" s="110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5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3" t="str">
        <f>+Инвойс!D30</f>
        <v>Карт.Коробок</v>
      </c>
      <c r="E30" s="101">
        <f>+Инвойс!E30</f>
        <v>900</v>
      </c>
      <c r="F30" s="114" t="str">
        <f>+Инвойс!F30</f>
        <v>кг</v>
      </c>
      <c r="G30" s="106">
        <f>+Инвойс!G30</f>
        <v>22050</v>
      </c>
      <c r="H30" s="106">
        <f>+Инвойс!H30</f>
        <v>20430</v>
      </c>
      <c r="I30" s="108">
        <f>+Инвойс!I30</f>
        <v>0.25</v>
      </c>
      <c r="J30" s="13">
        <f>+Инвойс!J30</f>
        <v>5107.5</v>
      </c>
      <c r="K30" s="12">
        <v>0</v>
      </c>
      <c r="L30" s="12">
        <v>0</v>
      </c>
      <c r="M30" s="13">
        <f>+Инвойс!M30</f>
        <v>5107.5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22050</v>
      </c>
      <c r="H31" s="64">
        <f>SUM(H30:H30)</f>
        <v>20430</v>
      </c>
      <c r="I31" s="102"/>
      <c r="J31" s="17">
        <f>SUM(J30:J30)</f>
        <v>5107.5</v>
      </c>
      <c r="K31" s="16"/>
      <c r="L31" s="16"/>
      <c r="M31" s="17">
        <f>SUM(M30:M30)</f>
        <v>5107.5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сто семь долларов США, 50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29" t="s">
        <v>158</v>
      </c>
      <c r="B36" s="129"/>
      <c r="D36" s="18" t="str">
        <f>+Инвойс!D36</f>
        <v>АБДИЛАКИМОВ А.А</v>
      </c>
      <c r="E36" s="130"/>
      <c r="G36" s="127" t="s">
        <v>130</v>
      </c>
      <c r="H36" s="18" t="str">
        <f>Инвойс!G5</f>
        <v>ООО «ГРИН ВОРЛД»</v>
      </c>
      <c r="K36" s="131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9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sqref="A1:XFD1048576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4" t="s">
        <v>116</v>
      </c>
    </row>
    <row r="3" spans="1:10" ht="52.8" x14ac:dyDescent="0.25">
      <c r="A3" s="128" t="s">
        <v>128</v>
      </c>
    </row>
    <row r="5" spans="1:10" ht="39.6" x14ac:dyDescent="0.25">
      <c r="A5" s="124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4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4" t="s">
        <v>119</v>
      </c>
    </row>
    <row r="10" spans="1:10" x14ac:dyDescent="0.25">
      <c r="A10" s="124"/>
      <c r="E10" s="18" t="s">
        <v>134</v>
      </c>
      <c r="J10" s="25" t="s">
        <v>135</v>
      </c>
    </row>
    <row r="11" spans="1:10" ht="52.8" x14ac:dyDescent="0.25">
      <c r="A11" s="124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4" t="s">
        <v>120</v>
      </c>
    </row>
    <row r="15" spans="1:10" ht="39.6" x14ac:dyDescent="0.25">
      <c r="A15" s="124" t="s">
        <v>121</v>
      </c>
    </row>
    <row r="17" spans="1:1" ht="39.6" x14ac:dyDescent="0.25">
      <c r="A17" s="124" t="s">
        <v>122</v>
      </c>
    </row>
    <row r="19" spans="1:1" ht="39.6" x14ac:dyDescent="0.25">
      <c r="A19" s="126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5107.5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45900</v>
      </c>
      <c r="O3" s="177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31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5107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5107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107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2025-08-31T02:42:39Z</cp:lastPrinted>
  <dcterms:created xsi:type="dcterms:W3CDTF">1996-10-14T23:33:28Z</dcterms:created>
  <dcterms:modified xsi:type="dcterms:W3CDTF">2025-08-31T02:42:43Z</dcterms:modified>
</cp:coreProperties>
</file>