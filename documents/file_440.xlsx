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011AD927-789B-4073-8E1A-158EF80FE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<sst xmlns="http://schemas.openxmlformats.org/spreadsheetml/2006/main" count="202" uniqueCount="164">
  <si>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</si>
  <si>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</si>
  <si>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</si>
  <si>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</si>
  <si>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</si>
  <si>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</si>
  <si>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</si>
  <si>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</si>
  <si>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</si>
  <si>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</si>
  <si>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</si>
  <si>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</si>
  <si>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</si>
  <si>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</si>
  <si>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</si>
  <si>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</si>
  <si>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</si>
  <si>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</si>
  <si>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</si>
  <si>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</si>
  <si>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</si>
  <si>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</si>
  <si>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</si>
  <si>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</si>
  <si>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</si>
  <si>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</si>
  <si>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</si>
  <si>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</si>
  <si>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</si>
  <si>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</si>
  <si>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</si>
  <si>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</si>
  <si>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</si>
  <si>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</si>
  <si>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</si>
  <si>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</si>
  <si>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</si>
  <si>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</si>
  <si>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</si>
  <si>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</si>
  <si>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</si>
  <si>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</si>
  <si>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</si>
  <si>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</si>
  <si>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</si>
  <si>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</si>
  <si>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</si>
  <si>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</si>
  <si>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</si>
  <si>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</si>
  <si>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</si>
  <si>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</si>
  <si>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</si>
  <si>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</si>
  <si>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</si>
  <si>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</si>
  <si>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</si>
  <si>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</si>
  <si>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</si>
  <si>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</si>
  <si>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</si>
  <si>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</si>
  <si>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</si>
  <si>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</si>
  <si>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</si>
  <si>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</si>
  <si>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</si>
  <si>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</si>
  <si>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</si>
  <si>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</si>
  <si>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</si>
  <si>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</si>
  <si>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</si>
  <si>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</si>
  <si>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</si>
  <si>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</si>
  <si>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</si>
  <si>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</si>
  <si>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</si>
  <si>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</si>
  <si>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</si>
  <si>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</si>
  <si>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</si>
  <si>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</si>
  <si>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</si>
  <si>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</si>
  <si>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</si>
  <si>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</si>
  <si>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</si>
  <si>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</si>
  <si>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</si>
  <si>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</si>
  <si>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</si>
  <si>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</si>
  <si>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</si>
  <si>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</si>
  <si>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</si>
  <si>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</si>
  <si>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</si>
  <si>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</si>
  <si>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</si>
  <si>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</si>
  <si>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</si>
  <si>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</si>
  <si>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</si>
  <si>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</si>
  <si>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</si>
  <si>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</si>
  <si>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</si>
  <si>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</si>
  <si>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</si>
  <si>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</si>
  <si>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</si>
  <si>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</si>
  <si>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</si>
  <si>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</si>
  <si>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</si>
  <si>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</si>
  <si>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</si>
  <si>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</si>
  <si>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</si>
  <si>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</si>
  <si>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</si>
  <si>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</si>
  <si>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</si>
  <si>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</si>
  <si>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</si>
  <si>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</si>
  <si>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</si>
  <si>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</si>
  <si>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</si>
  <si>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</si>
  <si>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</si>
  <si>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</si>
  <si>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</si>
  <si>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</si>
  <si>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</si>
  <si>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</si>
  <si>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</si>
  <si>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</si>
  <si>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</si>
  <si>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</si>
  <si>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</si>
  <si>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</si>
  <si>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</si>
  <si>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</si>
  <si>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</si>
  <si>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</si>
  <si>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</si>
  <si>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</si>
  <si>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</si>
  <si>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</si>
  <si>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</si>
  <si>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</si>
  <si>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</si>
  <si>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</si>
  <si>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</si>
  <si>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</si>
  <si>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</si>
  <si>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</si>
  <si>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</si>
  <si>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EXZ-N-2 от </t>
  </si>
  <si>
    <t xml:space="preserve">СПЕЦИФИКАЦИЯ № EXZ-N-2 от </t>
  </si>
  <si>
    <t>75X070BA/756001AA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</si>
</sst>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161</v>
      </c>
      <c r="D1" s="154"/>
      <c r="E1" s="154"/>
      <c r="F1" s="153" t="s">
        <v>141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130</v>
      </c>
      <c r="B5" s="155"/>
      <c r="C5" s="155"/>
      <c r="D5" s="155"/>
      <c r="E5" s="155"/>
      <c r="F5" s="6"/>
      <c r="G5" s="148" t="s">
        <v>143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131</v>
      </c>
      <c r="B6" s="142"/>
      <c r="C6" s="142"/>
      <c r="D6" s="142"/>
      <c r="E6" s="142"/>
      <c r="F6" s="7"/>
      <c r="G6" s="141" t="s">
        <v>144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132</v>
      </c>
      <c r="B7" s="142"/>
      <c r="C7" s="142"/>
      <c r="D7" s="142"/>
      <c r="E7" s="142"/>
      <c r="F7" s="63"/>
      <c r="G7" s="141" t="s">
        <v>145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130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131</v>
      </c>
      <c r="B15" s="142"/>
      <c r="C15" s="142"/>
      <c r="D15" s="142"/>
      <c r="E15" s="142"/>
      <c r="F15" s="7"/>
      <c r="G15" s="141" t="s">
        <v>151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132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154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2300</v>
      </c>
      <c r="F30" s="110" t="s">
        <v>27</v>
      </c>
      <c r="G30" s="106">
        <v>22600</v>
      </c>
      <c r="H30" s="106">
        <v>20990</v>
      </c>
      <c r="I30" s="108">
        <v>1</v>
      </c>
      <c r="J30" s="13">
        <f t="shared" ref="J30" si="0">H30*I30</f>
        <v>20990</v>
      </c>
      <c r="K30" s="12">
        <v>0</v>
      </c>
      <c r="L30" s="12">
        <v>0</v>
      </c>
      <c r="M30" s="13">
        <f t="shared" ref="M30" si="1">J30</f>
        <v>20990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2300</v>
      </c>
      <c r="F31" s="15"/>
      <c r="G31" s="64">
        <f>SUM(G30:G30)</f>
        <v>22600</v>
      </c>
      <c r="H31" s="64">
        <f>SUM(H30:H30)</f>
        <v>20990</v>
      </c>
      <c r="I31" s="102"/>
      <c r="J31" s="17">
        <f>SUM(J30:J30)</f>
        <v>20990</v>
      </c>
      <c r="K31" s="16"/>
      <c r="L31" s="16"/>
      <c r="M31" s="17">
        <f>SUM(M30:M30)</f>
        <v>20990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девятьсот девяносто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157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EXZ-N-2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75X070BA/756001AA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F20" sqref="F20:J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75X070BA/756001AA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EXZ-N-2 от  05.09.2025г.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2300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2300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05.09.2025г.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75X070BA/756001AA</v>
      </c>
      <c r="F26" s="140"/>
      <c r="G26" s="140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2300</v>
      </c>
      <c r="F30" s="116" t="str">
        <f>+Инвойс!F30</f>
        <v>кг</v>
      </c>
      <c r="G30" s="106">
        <f>+Инвойс!G30</f>
        <v>22600</v>
      </c>
      <c r="H30" s="106">
        <f>+Инвойс!H30</f>
        <v>20990</v>
      </c>
      <c r="I30" s="108">
        <f>+Инвойс!I30</f>
        <v>1</v>
      </c>
      <c r="J30" s="13">
        <f>+Инвойс!J30</f>
        <v>20990</v>
      </c>
      <c r="K30" s="12">
        <v>0</v>
      </c>
      <c r="L30" s="12">
        <v>0</v>
      </c>
      <c r="M30" s="13">
        <f>+Инвойс!M30</f>
        <v>20990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2300</v>
      </c>
      <c r="F31" s="15"/>
      <c r="G31" s="64">
        <f>SUM(G30:G30)</f>
        <v>22600</v>
      </c>
      <c r="H31" s="64">
        <f>SUM(H30:H30)</f>
        <v>20990</v>
      </c>
      <c r="I31" s="102"/>
      <c r="J31" s="17">
        <f>SUM(J30:J30)</f>
        <v>20990</v>
      </c>
      <c r="K31" s="16"/>
      <c r="L31" s="16"/>
      <c r="M31" s="17">
        <f>SUM(M30:M30)</f>
        <v>20990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девятьсот девяносто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159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20990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девяносто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девяносто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девяносто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девяносто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девяносто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20990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20990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2025-09-05T12:40:16Z</cp:lastPrinted>
  <dcterms:created xsi:type="dcterms:W3CDTF">1996-10-14T23:33:28Z</dcterms:created>
  <dcterms:modified xsi:type="dcterms:W3CDTF">2025-09-05T12:40:18Z</dcterms:modified>
</cp:coreProperties>
</file>