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4D46EEF-56B2-454F-B44E-E9E82AD0EA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<sst xmlns="http://schemas.openxmlformats.org/spreadsheetml/2006/main" count="201" uniqueCount="163">
  <si>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</si>
  <si>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</si>
  <si>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</si>
  <si>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</si>
  <si>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</si>
  <si>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</si>
  <si>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</si>
  <si>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</si>
  <si>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</si>
  <si>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</si>
  <si>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</si>
  <si>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</si>
  <si>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</si>
  <si>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</si>
  <si>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</si>
  <si>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</si>
  <si>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</si>
  <si>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</si>
  <si>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</si>
  <si>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</si>
  <si>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</si>
  <si>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</si>
  <si>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</si>
  <si>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</si>
  <si>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</si>
  <si>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</si>
  <si>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</si>
  <si>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</si>
  <si>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</si>
  <si>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</si>
  <si>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</si>
  <si>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</si>
  <si>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</si>
  <si>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</si>
  <si>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</si>
  <si>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</si>
  <si>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</si>
  <si>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</si>
  <si>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</si>
  <si>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</si>
  <si>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</si>
  <si>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</si>
  <si>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</si>
  <si>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</si>
  <si>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</si>
  <si>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</si>
  <si>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</si>
  <si>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</si>
  <si>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</si>
  <si>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</si>
  <si>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</si>
  <si>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</si>
  <si>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</si>
  <si>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</si>
  <si>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</si>
  <si>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</si>
  <si>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</si>
  <si>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</si>
  <si>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</si>
  <si>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</si>
  <si>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</si>
  <si>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</si>
  <si>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</si>
  <si>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</si>
  <si>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</si>
  <si>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</si>
  <si>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</si>
  <si>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</si>
  <si>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</si>
  <si>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</si>
  <si>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</si>
  <si>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</si>
  <si>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</si>
  <si>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</si>
  <si>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</si>
  <si>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</si>
  <si>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</si>
  <si>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</si>
  <si>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</si>
  <si>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</si>
  <si>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</si>
  <si>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</si>
  <si>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</si>
  <si>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</si>
  <si>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</si>
  <si>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</si>
  <si>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</si>
  <si>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</si>
  <si>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</si>
  <si>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</si>
  <si>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</si>
  <si>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</si>
  <si>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</si>
  <si>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</si>
  <si>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</si>
  <si>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</si>
  <si>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</si>
  <si>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</si>
  <si>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</si>
  <si>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</si>
  <si>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</si>
  <si>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</si>
  <si>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</si>
  <si>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</si>
  <si>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</si>
  <si>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</si>
  <si>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</si>
  <si>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</si>
  <si>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</si>
  <si>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</si>
  <si>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</si>
  <si>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</si>
  <si>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</si>
  <si>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</si>
  <si>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</si>
  <si>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</si>
  <si>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</si>
  <si>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</si>
  <si>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</si>
  <si>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</si>
  <si>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</si>
  <si>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</si>
  <si>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</si>
  <si>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</si>
  <si>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</si>
  <si>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</si>
  <si>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</si>
  <si>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</si>
  <si>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</si>
  <si>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</si>
  <si>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</si>
  <si>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</si>
  <si>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</si>
  <si>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</si>
  <si>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</si>
  <si>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</si>
  <si>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</si>
  <si>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</si>
  <si>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</si>
  <si>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</si>
  <si>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</si>
  <si>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</si>
  <si>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</si>
  <si>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</si>
  <si>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</si>
  <si>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</si>
  <si>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</si>
  <si>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</si>
  <si>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</si>
  <si>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</si>
  <si>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</si>
  <si>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</si>
  <si>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</si>
  <si>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</si>
  <si>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</si>
  <si>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</si>
  <si>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</si>
  <si>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</si>
  <si>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13.08.2025г.</t>
  </si>
  <si>
    <t>DAP - с Амандык , Республика Казахстан</t>
  </si>
  <si>
    <t xml:space="preserve">ИНВОЙС № BEZ-A-83 от </t>
  </si>
  <si>
    <t>30737QBA/309572AA</t>
  </si>
  <si>
    <t xml:space="preserve">СПЕЦИФИКАЦИЯ № BEZ-A-83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</si>
</sst>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0" t="s">
        <v>160</v>
      </c>
      <c r="D1" s="150"/>
      <c r="E1" s="150"/>
      <c r="F1" s="149" t="s">
        <v>158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6" t="s">
        <v>123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">
        <v>161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0" t="s">
        <v>27</v>
      </c>
      <c r="G30" s="106">
        <v>22900</v>
      </c>
      <c r="H30" s="106">
        <v>21135</v>
      </c>
      <c r="I30" s="108">
        <v>0.2</v>
      </c>
      <c r="J30" s="13">
        <f t="shared" ref="J30" si="0">H30*I30</f>
        <v>4227</v>
      </c>
      <c r="K30" s="12">
        <v>0</v>
      </c>
      <c r="L30" s="12">
        <v>0</v>
      </c>
      <c r="M30" s="13">
        <f t="shared" ref="M30" si="1">J30</f>
        <v>4227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22900</v>
      </c>
      <c r="H31" s="64">
        <f>SUM(H30:H30)</f>
        <v>21135</v>
      </c>
      <c r="I31" s="102"/>
      <c r="J31" s="17">
        <f>SUM(J30:J30)</f>
        <v>4227</v>
      </c>
      <c r="K31" s="16"/>
      <c r="L31" s="16"/>
      <c r="M31" s="17">
        <f>SUM(M30:M30)</f>
        <v>4227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двести двадцать семь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2" sqref="B31:I32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BEZ-A-83 от  13.08.2025г.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13.08.2025г.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30737QBA/309572AA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6" zoomScaleNormal="100" workbookViewId="0">
      <selection activeCell="B48" sqref="B48:E49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30737QBA/309572AA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13.08.2025г.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BEZ-A-83 от  13.08.2025г.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980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22900</v>
      </c>
    </row>
    <row r="20" spans="2:10" ht="13.5" customHeight="1" x14ac:dyDescent="0.25">
      <c r="B20" s="83"/>
      <c r="E20" s="123"/>
      <c r="F20" s="118"/>
      <c r="G20" s="160"/>
      <c r="H20" s="160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0"/>
      <c r="H22" s="160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0"/>
      <c r="H24" s="160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0"/>
      <c r="H26" s="160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0"/>
      <c r="H28" s="160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0"/>
      <c r="H30" s="160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0"/>
      <c r="H32" s="160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0"/>
      <c r="H34" s="160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0"/>
      <c r="H36" s="160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0"/>
      <c r="H38" s="160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0"/>
      <c r="H42" s="160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2"/>
      <c r="H44" s="162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v>980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B2" sqref="B2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9" t="s">
        <v>162</v>
      </c>
      <c r="C1" s="169"/>
      <c r="D1" s="169"/>
      <c r="E1" s="169"/>
      <c r="F1" s="149" t="str">
        <f>+Инвойс!F1</f>
        <v xml:space="preserve"> 13.08.2025г.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5" x14ac:dyDescent="0.25">
      <c r="A6" s="172" t="str">
        <f>+Инвойс!A6</f>
        <v>Республика Узбекистан, Джизакская область,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2" t="str">
        <f>+Инвойс!A7</f>
        <v>Шароф Рашидовский район, Токчилик МФЙ, ул Мустакиллик дом 92а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Р/с N 20208840905433267001   (USD)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2" t="str">
        <f>+Инвойс!A9</f>
        <v xml:space="preserve">в “Узсаноаткурилиш” Банк операционный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2" t="str">
        <f>+Инвойс!A10</f>
        <v>МФО 00440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2" t="str">
        <f>+Инвойс!A11</f>
        <v>ИНН: 308822933</v>
      </c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2" t="str">
        <f>+Инвойс!A15</f>
        <v>Республика Узбекистан, Джизакская область,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2" t="str">
        <f>+Инвойс!A16</f>
        <v>Шароф Рашидовский район, Токчилик МФЙ, ул Мустакиллик дом 92а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Р/с N 20208840905433267001   (USD)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2" t="str">
        <f>+Инвойс!A18</f>
        <v xml:space="preserve">в “Узсаноаткурилиш” Банк операционный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2" t="str">
        <f>+Инвойс!A19</f>
        <v>МФО 00440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2" t="str">
        <f>+Инвойс!A20</f>
        <v>ИНН: 308822933</v>
      </c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30737QBA/309572AA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22900</v>
      </c>
      <c r="H30" s="106">
        <f>+Инвойс!H30</f>
        <v>21135</v>
      </c>
      <c r="I30" s="108">
        <f>+Инвойс!I30</f>
        <v>0.2</v>
      </c>
      <c r="J30" s="13">
        <f>+Инвойс!J30</f>
        <v>4227</v>
      </c>
      <c r="K30" s="12">
        <v>0</v>
      </c>
      <c r="L30" s="12">
        <v>0</v>
      </c>
      <c r="M30" s="13">
        <f>+Инвойс!M30</f>
        <v>4227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22900</v>
      </c>
      <c r="H31" s="64">
        <f>SUM(H30:H30)</f>
        <v>21135</v>
      </c>
      <c r="I31" s="102"/>
      <c r="J31" s="17">
        <f>SUM(J30:J30)</f>
        <v>4227</v>
      </c>
      <c r="K31" s="16"/>
      <c r="L31" s="16"/>
      <c r="M31" s="17">
        <f>SUM(M30:M30)</f>
        <v>4227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двести двадцать семь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topLeftCell="A10" zoomScale="85" zoomScaleNormal="85" workbookViewId="0">
      <selection activeCell="A15" sqref="A15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75" x14ac:dyDescent="0.25">
      <c r="E2" s="27">
        <f>Инвойс!M31</f>
        <v>4227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двадцать 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45882</v>
      </c>
      <c r="O3" s="176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двадцать 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13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двадцать семь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двадцать семь долларов США, 00 центов. (в т.ч. НДС - 357,79)</v>
      </c>
      <c r="C6"/>
      <c r="D6"/>
      <c r="E6"/>
      <c r="H6" s="39"/>
    </row>
    <row r="7" spans="1:19" x14ac:dyDescent="0.2">
      <c r="D7" s="33"/>
      <c r="H7" s="178" t="s">
        <v>38</v>
      </c>
      <c r="I7" s="178"/>
      <c r="J7" s="178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двадцать семь долларов США, </v>
      </c>
      <c r="D11" s="47"/>
      <c r="E11" s="48"/>
      <c r="H11" s="178"/>
      <c r="I11" s="178"/>
      <c r="J11" s="178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45882</v>
      </c>
    </row>
    <row r="13" spans="1:19" s="43" customFormat="1" x14ac:dyDescent="0.2">
      <c r="A13" s="49"/>
      <c r="D13" s="51"/>
      <c r="E13" s="52">
        <f>TRUNC(E2)</f>
        <v>4227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4227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227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4" t="s">
        <v>85</v>
      </c>
      <c r="B100" s="174"/>
      <c r="C100" s="174"/>
      <c r="D100" s="174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2025-08-13T05:23:09Z</cp:lastPrinted>
  <dcterms:created xsi:type="dcterms:W3CDTF">1996-10-14T23:33:28Z</dcterms:created>
  <dcterms:modified xsi:type="dcterms:W3CDTF">2025-08-13T05:23:10Z</dcterms:modified>
</cp:coreProperties>
</file>