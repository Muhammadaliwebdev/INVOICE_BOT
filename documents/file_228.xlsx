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5DA7503B-586B-47DC-BBDF-EE63D3D95C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<sst xmlns="http://schemas.openxmlformats.org/spreadsheetml/2006/main" count="209" uniqueCount="164">
  <si>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</si>
  <si>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</si>
  <si>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</si>
  <si>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</si>
  <si>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</si>
  <si>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</si>
  <si>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</si>
  <si>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</si>
  <si>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</si>
  <si>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</si>
  <si>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</si>
  <si>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</si>
  <si>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</si>
  <si>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</si>
  <si>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</si>
  <si>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</si>
  <si>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</si>
  <si>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</si>
  <si>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</si>
  <si>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</si>
  <si>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</si>
  <si>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</si>
  <si>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</si>
  <si>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</si>
  <si>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</si>
  <si>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</si>
  <si>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</si>
  <si>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</si>
  <si>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</si>
  <si>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</si>
  <si>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</si>
  <si>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</si>
  <si>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</si>
  <si>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</si>
  <si>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</si>
  <si>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</si>
  <si>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</si>
  <si>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</si>
  <si>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</si>
  <si>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</si>
  <si>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</si>
  <si>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</si>
  <si>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</si>
  <si>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</si>
  <si>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</si>
  <si>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</si>
  <si>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</si>
  <si>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</si>
  <si>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</si>
  <si>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</si>
  <si>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</si>
  <si>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</si>
  <si>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</si>
  <si>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</si>
  <si>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</si>
  <si>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</si>
  <si>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</si>
  <si>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</si>
  <si>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</si>
  <si>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</si>
  <si>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</si>
  <si>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</si>
  <si>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</si>
  <si>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</si>
  <si>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</si>
  <si>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</si>
  <si>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</si>
  <si>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</si>
  <si>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</si>
  <si>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</si>
  <si>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</si>
  <si>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</si>
  <si>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</si>
  <si>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</si>
  <si>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</si>
  <si>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</si>
  <si>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</si>
  <si>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</si>
  <si>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</si>
  <si>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</si>
  <si>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</si>
  <si>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</si>
  <si>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</si>
  <si>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</si>
  <si>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</si>
  <si>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</si>
  <si>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</si>
  <si>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</si>
  <si>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</si>
  <si>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</si>
  <si>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</si>
  <si>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</si>
  <si>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</si>
  <si>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</si>
  <si>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</si>
  <si>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</si>
  <si>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</si>
  <si>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</si>
  <si>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</si>
  <si>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</si>
  <si>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</si>
  <si>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</si>
  <si>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</si>
  <si>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</si>
  <si>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</si>
  <si>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</si>
  <si>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</si>
  <si>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</si>
  <si>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</si>
  <si>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</si>
  <si>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</si>
  <si>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</si>
  <si>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</si>
  <si>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</si>
  <si>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</si>
  <si>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</si>
  <si>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</si>
  <si>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</si>
  <si>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</si>
  <si>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</si>
  <si>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</si>
  <si>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</si>
  <si>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</si>
  <si>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</si>
  <si>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</si>
  <si>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</si>
  <si>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</si>
  <si>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</si>
  <si>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</si>
  <si>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</si>
  <si>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</si>
  <si>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</si>
  <si>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</si>
  <si>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</si>
  <si>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</si>
  <si>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</si>
  <si>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</si>
  <si>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</si>
  <si>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</si>
  <si>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</si>
  <si>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</si>
  <si>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</si>
  <si>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</si>
  <si>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</si>
  <si>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</si>
  <si>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</si>
  <si>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</si>
  <si>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</si>
  <si>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</si>
  <si>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>к контракту № GR-VT-01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</si>
  <si>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</si>
  <si>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</si>
  <si>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</si>
  <si>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</si>
  <si>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</si>
  <si>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</si>
  <si>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</si>
  <si>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</si>
  <si>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</si>
  <si>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 xml:space="preserve"> 27.08.2025г.</t>
  </si>
  <si>
    <t xml:space="preserve">ИНВОЙС № VG-N-26 от </t>
  </si>
  <si>
    <t xml:space="preserve">СПЕЦИФИКАЦИЯ № VG-N-26 от </t>
  </si>
  <si>
    <t>40O873MB/401888BA</t>
  </si>
  <si>
    <t>DAP - с Амандык , Республика Казахстан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</si>
</sst>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36</xdr:row>
      <xdr:rowOff>89647</xdr:rowOff>
    </xdr:from>
    <xdr:to>
      <xdr:col>4</xdr:col>
      <xdr:colOff>166394</xdr:colOff>
      <xdr:row>39</xdr:row>
      <xdr:rowOff>171674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36</xdr:row>
      <xdr:rowOff>100852</xdr:rowOff>
    </xdr:from>
    <xdr:to>
      <xdr:col>3</xdr:col>
      <xdr:colOff>47624</xdr:colOff>
      <xdr:row>48</xdr:row>
      <xdr:rowOff>147917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504267</xdr:colOff>
      <xdr:row>36</xdr:row>
      <xdr:rowOff>145677</xdr:rowOff>
    </xdr:from>
    <xdr:to>
      <xdr:col>3</xdr:col>
      <xdr:colOff>569805</xdr:colOff>
      <xdr:row>40</xdr:row>
      <xdr:rowOff>44825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36</xdr:row>
      <xdr:rowOff>156882</xdr:rowOff>
    </xdr:from>
    <xdr:to>
      <xdr:col>2</xdr:col>
      <xdr:colOff>462242</xdr:colOff>
      <xdr:row>49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448235</xdr:colOff>
      <xdr:row>36</xdr:row>
      <xdr:rowOff>145676</xdr:rowOff>
    </xdr:from>
    <xdr:to>
      <xdr:col>9</xdr:col>
      <xdr:colOff>634813</xdr:colOff>
      <xdr:row>48</xdr:row>
      <xdr:rowOff>72929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2FC92E-0823-4DFC-9CDB-86FF171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9173264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4" t="s">
        <v>160</v>
      </c>
      <c r="D1" s="134"/>
      <c r="E1" s="134"/>
      <c r="F1" s="133" t="s">
        <v>159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">
        <v>149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">
        <v>140</v>
      </c>
      <c r="B5" s="135"/>
      <c r="C5" s="135"/>
      <c r="D5" s="135"/>
      <c r="E5" s="135"/>
      <c r="F5" s="6"/>
      <c r="G5" s="137" t="s">
        <v>150</v>
      </c>
      <c r="H5" s="137"/>
      <c r="I5" s="137"/>
      <c r="J5" s="137"/>
      <c r="K5" s="137"/>
      <c r="L5" s="137"/>
      <c r="M5" s="137"/>
    </row>
    <row r="6" spans="1:15" ht="13.8" x14ac:dyDescent="0.25">
      <c r="A6" s="141" t="s">
        <v>141</v>
      </c>
      <c r="B6" s="142"/>
      <c r="C6" s="142"/>
      <c r="D6" s="142"/>
      <c r="E6" s="142"/>
      <c r="F6" s="7"/>
      <c r="G6" s="139" t="s">
        <v>151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42" t="s">
        <v>148</v>
      </c>
      <c r="B7" s="142"/>
      <c r="C7" s="142"/>
      <c r="D7" s="142"/>
      <c r="E7" s="142"/>
      <c r="F7" s="63"/>
      <c r="G7" s="139" t="s">
        <v>152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142</v>
      </c>
      <c r="B8" s="8"/>
      <c r="C8" s="8"/>
      <c r="D8" s="8"/>
      <c r="E8" s="8"/>
      <c r="F8" s="63"/>
      <c r="G8" s="7" t="s">
        <v>153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143</v>
      </c>
      <c r="B9" s="8"/>
      <c r="C9" s="8"/>
      <c r="D9" s="8"/>
      <c r="E9" s="8"/>
      <c r="F9" s="7"/>
      <c r="G9" s="7" t="s">
        <v>154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144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145</v>
      </c>
      <c r="B11" s="8"/>
      <c r="C11" s="8"/>
      <c r="D11" s="8"/>
      <c r="E11" s="8"/>
      <c r="F11" s="7"/>
      <c r="G11" s="7" t="s">
        <v>155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8" t="s">
        <v>156</v>
      </c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">
        <v>140</v>
      </c>
      <c r="B14" s="135"/>
      <c r="C14" s="135"/>
      <c r="D14" s="135"/>
      <c r="E14" s="135"/>
      <c r="F14" s="6"/>
      <c r="G14" s="137" t="s">
        <v>150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41" t="s">
        <v>141</v>
      </c>
      <c r="B15" s="142"/>
      <c r="C15" s="142"/>
      <c r="D15" s="142"/>
      <c r="E15" s="142"/>
      <c r="F15" s="7"/>
      <c r="G15" s="139" t="s">
        <v>151</v>
      </c>
      <c r="H15" s="139"/>
      <c r="I15" s="139"/>
      <c r="J15" s="139"/>
      <c r="K15" s="139"/>
      <c r="L15" s="139"/>
      <c r="M15" s="139"/>
    </row>
    <row r="16" spans="1:15" ht="13.8" x14ac:dyDescent="0.25">
      <c r="A16" s="142" t="s">
        <v>148</v>
      </c>
      <c r="B16" s="142"/>
      <c r="C16" s="142"/>
      <c r="D16" s="142"/>
      <c r="E16" s="142"/>
      <c r="F16" s="63"/>
      <c r="G16" s="139" t="s">
        <v>152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142</v>
      </c>
      <c r="B17" s="8"/>
      <c r="C17" s="8"/>
      <c r="D17" s="8"/>
      <c r="E17" s="8"/>
      <c r="F17" s="63"/>
      <c r="G17" s="7" t="s">
        <v>153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143</v>
      </c>
      <c r="B18" s="8"/>
      <c r="C18" s="8"/>
      <c r="D18" s="8"/>
      <c r="E18" s="8"/>
      <c r="F18" s="7"/>
      <c r="G18" s="7" t="s">
        <v>154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144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145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38" t="s">
        <v>156</v>
      </c>
      <c r="H21" s="138"/>
      <c r="I21" s="138"/>
      <c r="J21" s="138"/>
      <c r="K21" s="138"/>
      <c r="L21" s="138"/>
      <c r="M21" s="138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3" t="s">
        <v>158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">
        <v>163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162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900</v>
      </c>
      <c r="F30" s="115" t="s">
        <v>27</v>
      </c>
      <c r="G30" s="106">
        <v>23000</v>
      </c>
      <c r="H30" s="106">
        <v>21380</v>
      </c>
      <c r="I30" s="108">
        <v>0.25</v>
      </c>
      <c r="J30" s="13">
        <f t="shared" ref="J30" si="0">H30*I30</f>
        <v>5345</v>
      </c>
      <c r="K30" s="12">
        <v>0</v>
      </c>
      <c r="L30" s="12">
        <v>0</v>
      </c>
      <c r="M30" s="13">
        <f t="shared" ref="M30" si="1">J30</f>
        <v>5345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900</v>
      </c>
      <c r="F31" s="15"/>
      <c r="G31" s="64">
        <f>SUM(G30:G30)</f>
        <v>23000</v>
      </c>
      <c r="H31" s="64">
        <f>SUM(H30:H30)</f>
        <v>21380</v>
      </c>
      <c r="I31" s="102"/>
      <c r="J31" s="17">
        <f>SUM(J30:J30)</f>
        <v>5345</v>
      </c>
      <c r="K31" s="16"/>
      <c r="L31" s="16"/>
      <c r="M31" s="17">
        <f>SUM(M30:M30)</f>
        <v>5345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триста сорок пять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146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B31" sqref="B31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27.08.2025г.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VG-N-26 от  27.08.2025г.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г.Челябинский таможенный пост г.Челябинск ул. Ениссйская, 87А код поста 10504080   ООО "ГРИН ВОРЛД" 
RU/0237/2 от 27.12.2024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27.08.2025г.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40O873MB/401888BA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F20" sqref="F20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40O873MB/401888BA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27.08.2025г.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VG-N-26 от  27.08.2025г.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900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23000</v>
      </c>
    </row>
    <row r="20" spans="2:10" ht="13.5" customHeight="1" x14ac:dyDescent="0.3">
      <c r="B20" s="83"/>
      <c r="E20" s="122"/>
      <c r="F20" s="117"/>
      <c r="G20" s="166"/>
      <c r="H20" s="166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6"/>
      <c r="H22" s="166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6"/>
      <c r="H24" s="166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6"/>
      <c r="H26" s="166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6"/>
      <c r="H28" s="166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6"/>
      <c r="H30" s="166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6"/>
      <c r="H32" s="166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6"/>
      <c r="H34" s="166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6"/>
      <c r="H36" s="166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6"/>
      <c r="H38" s="166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6"/>
      <c r="H42" s="166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8"/>
      <c r="H44" s="168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900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A31" sqref="A31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161</v>
      </c>
      <c r="C1" s="173"/>
      <c r="D1" s="173"/>
      <c r="E1" s="173"/>
      <c r="F1" s="133" t="str">
        <f>+Инвойс!F1</f>
        <v xml:space="preserve"> 27.08.2025г.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tr">
        <f>+Инвойс!C2</f>
        <v>к контракту № GR-VT-01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tr">
        <f>+Инвойс!A5</f>
        <v>ООО «VISTOTRADE»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3.8" x14ac:dyDescent="0.25">
      <c r="A6" s="141" t="str">
        <f>+Инвойс!A6</f>
        <v xml:space="preserve">Республика Узбекистан. Кашкадарьинская область, </v>
      </c>
      <c r="B6" s="141"/>
      <c r="C6" s="141"/>
      <c r="D6" s="141"/>
      <c r="E6" s="141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41" t="str">
        <f>+Инвойс!A7</f>
        <v>Г. Гулам, МФУ, улица Гузара, дом 14</v>
      </c>
      <c r="B7" s="141"/>
      <c r="C7" s="141"/>
      <c r="D7" s="141"/>
      <c r="E7" s="141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АКБ «KAPITAL BANK» МФО: 01158</v>
      </c>
      <c r="B8" s="141"/>
      <c r="C8" s="141"/>
      <c r="D8" s="141"/>
      <c r="E8" s="141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41" t="str">
        <f>+Инвойс!A9</f>
        <v>р/с: 20208840407263267001 (доллар США)</v>
      </c>
      <c r="B9" s="141"/>
      <c r="C9" s="141"/>
      <c r="D9" s="141"/>
      <c r="E9" s="141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41" t="str">
        <f>+Инвойс!A10</f>
        <v>SWIFT: KACHUZ22</v>
      </c>
      <c r="B10" s="141"/>
      <c r="C10" s="141"/>
      <c r="D10" s="141"/>
      <c r="E10" s="141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41" t="str">
        <f>+Инвойс!A11</f>
        <v>ИНН: 312236782</v>
      </c>
      <c r="B11" s="141"/>
      <c r="C11" s="141"/>
      <c r="D11" s="141"/>
      <c r="E11" s="141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tr">
        <f>+Инвойс!A14</f>
        <v>ООО «VISTOTRADE»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41" t="str">
        <f>+Инвойс!A15</f>
        <v xml:space="preserve">Республика Узбекистан. Кашкадарьинская область, </v>
      </c>
      <c r="B15" s="141"/>
      <c r="C15" s="141"/>
      <c r="D15" s="141"/>
      <c r="E15" s="141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41" t="str">
        <f>+Инвойс!A16</f>
        <v>Г. Гулам, МФУ, улица Гузара, дом 14</v>
      </c>
      <c r="B16" s="141"/>
      <c r="C16" s="141"/>
      <c r="D16" s="141"/>
      <c r="E16" s="141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41" t="str">
        <f>+Инвойс!A17</f>
        <v>в АКБ «KAPITAL BANK» МФО: 01158</v>
      </c>
      <c r="B17" s="141"/>
      <c r="C17" s="141"/>
      <c r="D17" s="141"/>
      <c r="E17" s="141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41" t="str">
        <f>+Инвойс!A18</f>
        <v>р/с: 20208840407263267001 (доллар США)</v>
      </c>
      <c r="B18" s="141"/>
      <c r="C18" s="141"/>
      <c r="D18" s="141"/>
      <c r="E18" s="141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41" t="str">
        <f>+Инвойс!A19</f>
        <v>SWIFT: KACHUZ22</v>
      </c>
      <c r="B19" s="141"/>
      <c r="C19" s="141"/>
      <c r="D19" s="141"/>
      <c r="E19" s="141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41" t="str">
        <f>+Инвойс!A20</f>
        <v>ИНН: 312236782</v>
      </c>
      <c r="B20" s="141"/>
      <c r="C20" s="141"/>
      <c r="D20" s="141"/>
      <c r="E20" s="141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40O873MB/401888BA</v>
      </c>
      <c r="F26" s="155"/>
      <c r="G26" s="155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6.4" customHeight="1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900</v>
      </c>
      <c r="F30" s="115" t="str">
        <f>+Инвойс!F30</f>
        <v>кг</v>
      </c>
      <c r="G30" s="106">
        <f>+Инвойс!G30</f>
        <v>23000</v>
      </c>
      <c r="H30" s="106">
        <f>+Инвойс!H30</f>
        <v>21380</v>
      </c>
      <c r="I30" s="108">
        <f>+Инвойс!I30</f>
        <v>0.25</v>
      </c>
      <c r="J30" s="13">
        <f>+Инвойс!J30</f>
        <v>5345</v>
      </c>
      <c r="K30" s="12">
        <v>0</v>
      </c>
      <c r="L30" s="12">
        <v>0</v>
      </c>
      <c r="M30" s="13">
        <f>+Инвойс!M30</f>
        <v>5345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900</v>
      </c>
      <c r="F31" s="15"/>
      <c r="G31" s="64">
        <f>SUM(G30:G30)</f>
        <v>23000</v>
      </c>
      <c r="H31" s="64">
        <f>SUM(H30:H30)</f>
        <v>21380</v>
      </c>
      <c r="I31" s="102"/>
      <c r="J31" s="17">
        <f>SUM(J30:J30)</f>
        <v>5345</v>
      </c>
      <c r="K31" s="16"/>
      <c r="L31" s="16"/>
      <c r="M31" s="17">
        <f>SUM(M30:M30)</f>
        <v>5345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триста сорок пять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0" t="s">
        <v>147</v>
      </c>
      <c r="B36" s="130"/>
      <c r="D36" s="18" t="str">
        <f>+Инвойс!D36</f>
        <v>Авазов К.Ф</v>
      </c>
      <c r="E36" s="131"/>
      <c r="G36" s="128" t="s">
        <v>130</v>
      </c>
      <c r="H36" s="18" t="str">
        <f>Инвойс!G5</f>
        <v>ООО «ГРИН ВОРЛД»</v>
      </c>
      <c r="K36" s="132" t="s">
        <v>157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3" zoomScale="85" zoomScaleNormal="85" workbookViewId="0">
      <selection activeCell="A11" sqref="A11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116</v>
      </c>
    </row>
    <row r="3" spans="1:10" ht="52.8" x14ac:dyDescent="0.25">
      <c r="A3" s="129" t="s">
        <v>128</v>
      </c>
    </row>
    <row r="5" spans="1:10" ht="39.6" x14ac:dyDescent="0.25">
      <c r="A5" s="125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5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5" t="s">
        <v>119</v>
      </c>
    </row>
    <row r="10" spans="1:10" x14ac:dyDescent="0.25">
      <c r="A10" s="125"/>
      <c r="E10" s="18" t="s">
        <v>134</v>
      </c>
      <c r="J10" s="25" t="s">
        <v>135</v>
      </c>
    </row>
    <row r="11" spans="1:10" ht="52.8" x14ac:dyDescent="0.25">
      <c r="A11" s="125" t="s">
        <v>158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5" t="s">
        <v>120</v>
      </c>
    </row>
    <row r="15" spans="1:10" ht="39.6" x14ac:dyDescent="0.25">
      <c r="A15" s="125" t="s">
        <v>121</v>
      </c>
    </row>
    <row r="17" spans="1:1" ht="39.6" x14ac:dyDescent="0.25">
      <c r="A17" s="125" t="s">
        <v>122</v>
      </c>
    </row>
    <row r="19" spans="1:1" ht="39.6" x14ac:dyDescent="0.25">
      <c r="A19" s="127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5345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сорок пять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45896</v>
      </c>
      <c r="O3" s="177"/>
      <c r="P3">
        <f ca="1">DAY(N3)</f>
        <v>27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триста сорок пять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27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сорок пять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сорок пять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сорок пять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45896</v>
      </c>
    </row>
    <row r="13" spans="1:19" s="43" customFormat="1" x14ac:dyDescent="0.25">
      <c r="A13" s="49"/>
      <c r="D13" s="51"/>
      <c r="E13" s="52">
        <f>TRUNC(E2)</f>
        <v>5345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5345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345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2025-08-27T13:02:35Z</cp:lastPrinted>
  <dcterms:created xsi:type="dcterms:W3CDTF">1996-10-14T23:33:28Z</dcterms:created>
  <dcterms:modified xsi:type="dcterms:W3CDTF">2025-08-27T13:02:37Z</dcterms:modified>
</cp:coreProperties>
</file>