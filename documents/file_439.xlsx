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E620C612-ABAD-485E-B33C-91236496DD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C10" i="4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<sst xmlns="http://schemas.openxmlformats.org/spreadsheetml/2006/main" count="202" uniqueCount="164">
  <si>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</si>
  <si>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</si>
  <si>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</si>
  <si>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</si>
  <si>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</si>
  <si>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</si>
  <si>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</si>
  <si>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</si>
  <si>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</si>
  <si>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</si>
  <si>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</si>
  <si>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</si>
  <si>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</si>
  <si>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</si>
  <si>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</si>
  <si>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</si>
  <si>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</si>
  <si>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</si>
  <si>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</si>
  <si>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</si>
  <si>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</si>
  <si>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</si>
  <si>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</si>
  <si>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</si>
  <si>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</si>
  <si>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</si>
  <si>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</si>
  <si>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</si>
  <si>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</si>
  <si>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</si>
  <si>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</si>
  <si>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</si>
  <si>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</si>
  <si>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</si>
  <si>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</si>
  <si>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</si>
  <si>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</si>
  <si>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</si>
  <si>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</si>
  <si>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</si>
  <si>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</si>
  <si>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</si>
  <si>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</si>
  <si>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</si>
  <si>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</si>
  <si>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</si>
  <si>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</si>
  <si>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</si>
  <si>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</si>
  <si>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</si>
  <si>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</si>
  <si>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</si>
  <si>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</si>
  <si>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</si>
  <si>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</si>
  <si>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</si>
  <si>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</si>
  <si>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</si>
  <si>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</si>
  <si>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</si>
  <si>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</si>
  <si>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</si>
  <si>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</si>
  <si>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</si>
  <si>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</si>
  <si>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</si>
  <si>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</si>
  <si>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</si>
  <si>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</si>
  <si>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</si>
  <si>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</si>
  <si>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</si>
  <si>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</si>
  <si>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</si>
  <si>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</si>
  <si>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</si>
  <si>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</si>
  <si>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</si>
  <si>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</si>
  <si>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</si>
  <si>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</si>
  <si>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</si>
  <si>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</si>
  <si>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</si>
  <si>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</si>
  <si>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</si>
  <si>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</si>
  <si>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</si>
  <si>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</si>
  <si>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</si>
  <si>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</si>
  <si>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</si>
  <si>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</si>
  <si>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</si>
  <si>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</si>
  <si>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</si>
  <si>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</si>
  <si>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</si>
  <si>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</si>
  <si>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</si>
  <si>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</si>
  <si>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</si>
  <si>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</si>
  <si>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</si>
  <si>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</si>
  <si>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</si>
  <si>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</si>
  <si>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</si>
  <si>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</si>
  <si>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</si>
  <si>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</si>
  <si>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</si>
  <si>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</si>
  <si>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</si>
  <si>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</si>
  <si>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</si>
  <si>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</si>
  <si>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</si>
  <si>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</si>
  <si>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</si>
  <si>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</si>
  <si>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</si>
  <si>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</si>
  <si>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</si>
  <si>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</si>
  <si>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</si>
  <si>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</si>
  <si>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</si>
  <si>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</si>
  <si>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</si>
  <si>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</si>
  <si>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</si>
  <si>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</si>
  <si>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</si>
  <si>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</si>
  <si>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</si>
  <si>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</si>
  <si>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</si>
  <si>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</si>
  <si>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</si>
  <si>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</si>
  <si>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 05.09.2025г.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</si>
  <si>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</si>
  <si>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</si>
  <si>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</si>
  <si>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</si>
  <si>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</si>
  <si>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</si>
  <si>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</si>
  <si>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</si>
  <si>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</si>
  <si>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</si>
  <si>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</si>
  <si>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</si>
  <si>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</si>
  <si>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</si>
  <si>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</si>
  <si>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</si>
  <si>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</si>
  <si>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</si>
  <si>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</si>
  <si>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ИНВОЙС № EXZ-N-1 от </t>
  </si>
  <si>
    <t xml:space="preserve">СПЕЦИФИКАЦИЯ № EXZ-N-1 от </t>
  </si>
  <si>
    <t>30097OBA/307807AA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</si>
</sst>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22409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4" t="s">
        <v>161</v>
      </c>
      <c r="D1" s="134"/>
      <c r="E1" s="134"/>
      <c r="F1" s="133" t="s">
        <v>141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">
        <v>142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">
        <v>130</v>
      </c>
      <c r="B5" s="135"/>
      <c r="C5" s="135"/>
      <c r="D5" s="135"/>
      <c r="E5" s="135"/>
      <c r="F5" s="6"/>
      <c r="G5" s="137" t="s">
        <v>143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131</v>
      </c>
      <c r="B6" s="142"/>
      <c r="C6" s="142"/>
      <c r="D6" s="142"/>
      <c r="E6" s="142"/>
      <c r="F6" s="7"/>
      <c r="G6" s="139" t="s">
        <v>144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2" t="s">
        <v>132</v>
      </c>
      <c r="B7" s="142"/>
      <c r="C7" s="142"/>
      <c r="D7" s="142"/>
      <c r="E7" s="142"/>
      <c r="F7" s="63"/>
      <c r="G7" s="139" t="s">
        <v>145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146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134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135</v>
      </c>
      <c r="B10" s="124"/>
      <c r="C10" s="124"/>
      <c r="D10" s="124"/>
      <c r="E10" s="124"/>
      <c r="F10" s="7"/>
      <c r="G10" s="7" t="s">
        <v>148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136</v>
      </c>
      <c r="B11" s="8"/>
      <c r="C11" s="8"/>
      <c r="D11" s="8"/>
      <c r="E11" s="8"/>
      <c r="F11" s="7"/>
      <c r="G11" s="7" t="s">
        <v>149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137</v>
      </c>
      <c r="B12" s="8"/>
      <c r="C12" s="8"/>
      <c r="D12" s="8"/>
      <c r="E12" s="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">
        <v>130</v>
      </c>
      <c r="B14" s="135"/>
      <c r="C14" s="135"/>
      <c r="D14" s="135"/>
      <c r="E14" s="135"/>
      <c r="F14" s="6"/>
      <c r="G14" s="137" t="s">
        <v>150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">
        <v>131</v>
      </c>
      <c r="B15" s="142"/>
      <c r="C15" s="142"/>
      <c r="D15" s="142"/>
      <c r="E15" s="142"/>
      <c r="F15" s="7"/>
      <c r="G15" s="139" t="s">
        <v>151</v>
      </c>
      <c r="H15" s="142"/>
      <c r="I15" s="142"/>
      <c r="J15" s="142"/>
      <c r="K15" s="142"/>
      <c r="L15" s="142"/>
      <c r="M15" s="142"/>
    </row>
    <row r="16" spans="1:15" ht="13.8" x14ac:dyDescent="0.25">
      <c r="A16" s="142" t="s">
        <v>132</v>
      </c>
      <c r="B16" s="142"/>
      <c r="C16" s="142"/>
      <c r="D16" s="142"/>
      <c r="E16" s="142"/>
      <c r="F16" s="63"/>
      <c r="G16" s="139" t="s">
        <v>152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134</v>
      </c>
      <c r="B18" s="8"/>
      <c r="C18" s="8"/>
      <c r="D18" s="8"/>
      <c r="E18" s="8"/>
      <c r="F18" s="7"/>
      <c r="G18" s="8" t="s">
        <v>154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135</v>
      </c>
      <c r="B19" s="124"/>
      <c r="C19" s="124"/>
      <c r="D19" s="124"/>
      <c r="E19" s="124"/>
      <c r="F19" s="7"/>
      <c r="G19" s="7" t="s">
        <v>155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136</v>
      </c>
      <c r="B20" s="8"/>
      <c r="C20" s="8"/>
      <c r="D20" s="8"/>
      <c r="E20" s="8"/>
      <c r="F20" s="7"/>
      <c r="G20" s="7" t="s">
        <v>156</v>
      </c>
      <c r="H20" s="23"/>
      <c r="I20" s="23"/>
      <c r="J20" s="23"/>
    </row>
    <row r="21" spans="1:17" ht="13.8" x14ac:dyDescent="0.25">
      <c r="A21" s="99" t="s">
        <v>137</v>
      </c>
      <c r="B21" s="8"/>
      <c r="C21" s="8"/>
      <c r="D21" s="8"/>
      <c r="E21" s="8"/>
      <c r="G21" s="138"/>
      <c r="H21" s="138"/>
      <c r="I21" s="138"/>
      <c r="J21" s="138"/>
      <c r="K21" s="138"/>
      <c r="L21" s="138"/>
      <c r="M21" s="138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127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160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163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v>1</v>
      </c>
      <c r="B30" s="101" t="s">
        <v>125</v>
      </c>
      <c r="C30" s="107" t="s">
        <v>126</v>
      </c>
      <c r="D30" s="109" t="s">
        <v>112</v>
      </c>
      <c r="E30" s="101">
        <v>900</v>
      </c>
      <c r="F30" s="115" t="s">
        <v>27</v>
      </c>
      <c r="G30" s="106">
        <v>22800</v>
      </c>
      <c r="H30" s="106">
        <v>21180</v>
      </c>
      <c r="I30" s="108">
        <v>0.2</v>
      </c>
      <c r="J30" s="13">
        <f t="shared" ref="J30" si="0">H30*I30</f>
        <v>4236</v>
      </c>
      <c r="K30" s="12">
        <v>0</v>
      </c>
      <c r="L30" s="12">
        <v>0</v>
      </c>
      <c r="M30" s="13">
        <f t="shared" ref="M30" si="1">J30</f>
        <v>4236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900</v>
      </c>
      <c r="F31" s="15"/>
      <c r="G31" s="64">
        <f>SUM(G30:G30)</f>
        <v>22800</v>
      </c>
      <c r="H31" s="64">
        <f>SUM(H30:H30)</f>
        <v>21180</v>
      </c>
      <c r="I31" s="102"/>
      <c r="J31" s="17">
        <f>SUM(J30:J30)</f>
        <v>4236</v>
      </c>
      <c r="K31" s="16"/>
      <c r="L31" s="16"/>
      <c r="M31" s="17">
        <f>SUM(M30:M30)</f>
        <v>4236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двести тридцать шесть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138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31" sqref="B31:I40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157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05.09.2025г.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EXZ-N-1 от  05.09.2025г.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22800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05.09.2025г.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30097OBA/307807AA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1" zoomScaleNormal="100" workbookViewId="0">
      <selection activeCell="F20" sqref="F20:J3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30097OBA/307807AA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05.09.2025г.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EXZ-N-1 от  05.09.2025г.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900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22800</v>
      </c>
    </row>
    <row r="20" spans="2:10" ht="13.5" customHeight="1" x14ac:dyDescent="0.3">
      <c r="B20" s="83"/>
      <c r="E20" s="122"/>
      <c r="F20" s="117"/>
      <c r="G20" s="166"/>
      <c r="H20" s="166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6"/>
      <c r="H22" s="166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6"/>
      <c r="H24" s="166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6"/>
      <c r="H26" s="166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6"/>
      <c r="H28" s="166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6"/>
      <c r="H30" s="166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6"/>
      <c r="H32" s="166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6"/>
      <c r="H34" s="166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6"/>
      <c r="H36" s="166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6"/>
      <c r="H38" s="166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6"/>
      <c r="H42" s="166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8"/>
      <c r="H44" s="168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900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55" zoomScaleNormal="55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3" t="s">
        <v>162</v>
      </c>
      <c r="C1" s="173"/>
      <c r="D1" s="173"/>
      <c r="E1" s="173"/>
      <c r="F1" s="133" t="str">
        <f>+Инвойс!F1</f>
        <v xml:space="preserve"> 05.09.2025г.</v>
      </c>
      <c r="G1" s="133"/>
      <c r="H1" s="13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0" t="str">
        <f>+Инвойс!C2</f>
        <v>к контракту № EG-AZ-01 от 05.09.2025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tr">
        <f>+Инвойс!A5</f>
        <v>OOO “EXACT GROUP”</v>
      </c>
      <c r="B5" s="135"/>
      <c r="C5" s="135"/>
      <c r="D5" s="135"/>
      <c r="E5" s="135"/>
      <c r="F5" s="6"/>
      <c r="G5" s="137" t="str">
        <f>+Инвойс!G5</f>
        <v>ООО «Аспект»</v>
      </c>
      <c r="H5" s="137"/>
      <c r="I5" s="137"/>
      <c r="J5" s="137"/>
      <c r="K5" s="137"/>
      <c r="L5" s="137"/>
      <c r="M5" s="137"/>
    </row>
    <row r="6" spans="1:15" ht="13.8" x14ac:dyDescent="0.25">
      <c r="A6" s="141" t="str">
        <f>+Инвойс!A6</f>
        <v>РЕСПУБЛИКА УЗБЕКИСТАН. СУРХАНДАРЬИНСКАЯ ОБЛАСТЬ,</v>
      </c>
      <c r="B6" s="141"/>
      <c r="C6" s="141"/>
      <c r="D6" s="141"/>
      <c r="E6" s="141"/>
      <c r="F6" s="7"/>
      <c r="G6" s="171" t="str">
        <f>+Инвойс!G6</f>
        <v xml:space="preserve">107497, Россия, г. Москва, вн.тер.г. муниципальный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41" t="str">
        <f>+Инвойс!A7</f>
        <v>ШЕРАБАДСКИЙ РАЙОН, МФЙ «БАХОР», УЛИЦА ШЕРЖАН, ДОМ 19Б</v>
      </c>
      <c r="B7" s="141"/>
      <c r="C7" s="141"/>
      <c r="D7" s="141"/>
      <c r="E7" s="141"/>
      <c r="F7" s="63"/>
      <c r="G7" s="171" t="str">
        <f>+Инвойс!G7</f>
        <v xml:space="preserve">округ Гольяново, 2-й Иртышский пр-в, д. 4Б, стр. 3 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АКБ“KAPITAL BANK”  МФО: 01158  Swift: KACHUZ22</v>
      </c>
      <c r="B8" s="141"/>
      <c r="C8" s="141"/>
      <c r="D8" s="141"/>
      <c r="E8" s="141"/>
      <c r="F8" s="63"/>
      <c r="G8" s="171" t="str">
        <f>+Инвойс!G8</f>
        <v>ИНН/ КПП 9718239835  / 771801001</v>
      </c>
      <c r="H8" s="171"/>
      <c r="I8" s="171"/>
      <c r="J8" s="171"/>
      <c r="K8" s="171"/>
      <c r="L8" s="171"/>
      <c r="M8" s="171"/>
    </row>
    <row r="9" spans="1:15" ht="13.8" x14ac:dyDescent="0.25">
      <c r="A9" s="141" t="str">
        <f>+Инвойс!A9</f>
        <v>Доллар США: 20208840607280925001</v>
      </c>
      <c r="B9" s="141"/>
      <c r="C9" s="141"/>
      <c r="D9" s="141"/>
      <c r="E9" s="141"/>
      <c r="F9" s="7"/>
      <c r="G9" s="171" t="str">
        <f>+Инвойс!G9</f>
        <v xml:space="preserve">Валютный счет доллары  40702840100000005715 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41" t="str">
        <f>+Инвойс!A10</f>
        <v>Корреспондирующий банк (RUB): АКБ "Азия Инвест Банк" (АО) :</v>
      </c>
      <c r="B10" s="141"/>
      <c r="C10" s="141"/>
      <c r="D10" s="141"/>
      <c r="E10" s="141"/>
      <c r="F10" s="7"/>
      <c r="G10" s="171" t="str">
        <f>+Инвойс!G10</f>
        <v>КБ "Максима"(ООО), г. Москва РФ</v>
      </c>
      <c r="H10" s="171"/>
      <c r="I10" s="171"/>
      <c r="J10" s="171"/>
      <c r="K10" s="171"/>
      <c r="L10" s="171"/>
      <c r="M10" s="171"/>
    </row>
    <row r="11" spans="1:15" ht="13.8" x14ac:dyDescent="0.25">
      <c r="A11" s="141" t="str">
        <f>+Инвойс!A11</f>
        <v>SWIFT:ASIJRUMM / БИК 044525234,</v>
      </c>
      <c r="B11" s="141"/>
      <c r="C11" s="141"/>
      <c r="D11" s="141"/>
      <c r="E11" s="141"/>
      <c r="F11" s="7"/>
      <c r="G11" s="171" t="str">
        <f>+Инвойс!G11</f>
        <v>(SWIFT code: MAXMRUM1XXX)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5" t="str">
        <f>+Инвойс!A14</f>
        <v>OOO “EXACT GROUP”</v>
      </c>
      <c r="B14" s="135"/>
      <c r="C14" s="135"/>
      <c r="D14" s="135"/>
      <c r="E14" s="135"/>
      <c r="F14" s="6"/>
      <c r="G14" s="137" t="str">
        <f>+Инвойс!G14</f>
        <v>OOO «Западные ворота»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41" t="str">
        <f>+Инвойс!A15</f>
        <v>РЕСПУБЛИКА УЗБЕКИСТАН. СУРХАНДАРЬИНСКАЯ ОБЛАСТЬ,</v>
      </c>
      <c r="B15" s="141"/>
      <c r="C15" s="141"/>
      <c r="D15" s="141"/>
      <c r="E15" s="141"/>
      <c r="F15" s="7"/>
      <c r="G15" s="171" t="str">
        <f>+Инвойс!G15</f>
        <v>108811, г. Москва, вн.тер.г. муниципальный округ</v>
      </c>
      <c r="H15" s="171"/>
      <c r="I15" s="171"/>
      <c r="J15" s="171"/>
      <c r="K15" s="171"/>
      <c r="L15" s="171"/>
      <c r="M15" s="171"/>
    </row>
    <row r="16" spans="1:15" ht="13.8" x14ac:dyDescent="0.25">
      <c r="A16" s="141" t="str">
        <f>+Инвойс!A16</f>
        <v>ШЕРАБАДСКИЙ РАЙОН, МФЙ «БАХОР», УЛИЦА ШЕРЖАН, ДОМ 19Б</v>
      </c>
      <c r="B16" s="141"/>
      <c r="C16" s="141"/>
      <c r="D16" s="141"/>
      <c r="E16" s="141"/>
      <c r="F16" s="63"/>
      <c r="G16" s="171" t="str">
        <f>+Инвойс!G16</f>
        <v>Солнцево, Киевское шоссе, 23-й км, д.8, стр.1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АКБ“KAPITAL BANK”  МФО: 01158  Swift: KACHUZ22</v>
      </c>
      <c r="B17" s="141"/>
      <c r="C17" s="141"/>
      <c r="D17" s="141"/>
      <c r="E17" s="141"/>
      <c r="F17" s="63"/>
      <c r="G17" s="171" t="str">
        <f>+Инвойс!G17</f>
        <v xml:space="preserve">р/с USD 40702810501400013450 </v>
      </c>
      <c r="H17" s="171"/>
      <c r="I17" s="171"/>
      <c r="J17" s="171"/>
      <c r="K17" s="171"/>
      <c r="L17" s="171"/>
      <c r="M17" s="171"/>
    </row>
    <row r="18" spans="1:17" ht="13.8" x14ac:dyDescent="0.25">
      <c r="A18" s="141" t="str">
        <f>+Инвойс!A18</f>
        <v>Доллар США: 20208840607280925001</v>
      </c>
      <c r="B18" s="141"/>
      <c r="C18" s="141"/>
      <c r="D18" s="141"/>
      <c r="E18" s="141"/>
      <c r="F18" s="7"/>
      <c r="G18" s="171" t="str">
        <f>+Инвойс!G18</f>
        <v>Банк: Филиал АО «АЛЬФА-БАНК»</v>
      </c>
      <c r="H18" s="171"/>
      <c r="I18" s="171"/>
      <c r="J18" s="171"/>
      <c r="K18" s="171"/>
      <c r="L18" s="171"/>
      <c r="M18" s="171"/>
    </row>
    <row r="19" spans="1:17" ht="13.8" x14ac:dyDescent="0.25">
      <c r="A19" s="141" t="str">
        <f>+Инвойс!A19</f>
        <v>Корреспондирующий банк (RUB): АКБ "Азия Инвест Банк" (АО) :</v>
      </c>
      <c r="B19" s="141"/>
      <c r="C19" s="141"/>
      <c r="D19" s="141"/>
      <c r="E19" s="141"/>
      <c r="F19" s="7"/>
      <c r="G19" s="171" t="str">
        <f>+Инвойс!G19</f>
        <v>к/с:  30101810200000000593</v>
      </c>
      <c r="H19" s="171"/>
      <c r="I19" s="171"/>
      <c r="J19" s="171"/>
      <c r="K19" s="171"/>
      <c r="L19" s="171"/>
      <c r="M19" s="171"/>
    </row>
    <row r="20" spans="1:17" ht="13.8" x14ac:dyDescent="0.25">
      <c r="A20" s="141" t="str">
        <f>+Инвойс!A20</f>
        <v>SWIFT:ASIJRUMM / БИК 044525234,</v>
      </c>
      <c r="B20" s="141"/>
      <c r="C20" s="141"/>
      <c r="D20" s="141"/>
      <c r="E20" s="141"/>
      <c r="F20" s="7"/>
      <c r="G20" s="171" t="str">
        <f>+Инвойс!G20</f>
        <v>ИНН/КПП 5004025693/775101001 ОГРН 1135004001802</v>
      </c>
      <c r="H20" s="171"/>
      <c r="I20" s="171"/>
      <c r="J20" s="171"/>
      <c r="K20" s="171"/>
      <c r="L20" s="171"/>
      <c r="M20" s="171"/>
    </row>
    <row r="21" spans="1:17" ht="13.8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FCA - г.Ташкент , Республика Узбекистан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30097OBA/307807AA</v>
      </c>
      <c r="F26" s="155"/>
      <c r="G26" s="155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900</v>
      </c>
      <c r="F30" s="115" t="str">
        <f>+Инвойс!F30</f>
        <v>кг</v>
      </c>
      <c r="G30" s="106">
        <f>+Инвойс!G30</f>
        <v>22800</v>
      </c>
      <c r="H30" s="106">
        <f>+Инвойс!H30</f>
        <v>21180</v>
      </c>
      <c r="I30" s="108">
        <f>+Инвойс!I30</f>
        <v>0.2</v>
      </c>
      <c r="J30" s="13">
        <f>+Инвойс!J30</f>
        <v>4236</v>
      </c>
      <c r="K30" s="12">
        <v>0</v>
      </c>
      <c r="L30" s="12">
        <v>0</v>
      </c>
      <c r="M30" s="13">
        <f>+Инвойс!M30</f>
        <v>4236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900</v>
      </c>
      <c r="F31" s="15"/>
      <c r="G31" s="64">
        <f>SUM(G30:G30)</f>
        <v>22800</v>
      </c>
      <c r="H31" s="64">
        <f>SUM(H30:H30)</f>
        <v>21180</v>
      </c>
      <c r="I31" s="102"/>
      <c r="J31" s="17">
        <f>SUM(J30:J30)</f>
        <v>4236</v>
      </c>
      <c r="K31" s="16"/>
      <c r="L31" s="16"/>
      <c r="M31" s="17">
        <f>SUM(M30:M30)</f>
        <v>4236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двести тридцать шесть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0" t="s">
        <v>139</v>
      </c>
      <c r="B36" s="130"/>
      <c r="D36" s="18" t="str">
        <f>+Инвойс!D36</f>
        <v>АБДИЛАКИМОВ А.А</v>
      </c>
      <c r="E36" s="131"/>
      <c r="G36" s="128" t="s">
        <v>128</v>
      </c>
      <c r="H36" s="18" t="str">
        <f>Инвойс!G5</f>
        <v>ООО «Аспект»</v>
      </c>
      <c r="K36" s="132" t="s">
        <v>158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/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127</v>
      </c>
    </row>
    <row r="5" spans="1:10" ht="92.4" x14ac:dyDescent="0.25">
      <c r="A5" s="125" t="s">
        <v>140</v>
      </c>
    </row>
    <row r="6" spans="1:10" x14ac:dyDescent="0.25">
      <c r="E6" s="18"/>
      <c r="J6" s="25"/>
    </row>
    <row r="7" spans="1:10" ht="52.8" x14ac:dyDescent="0.25">
      <c r="A7" s="125" t="s">
        <v>117</v>
      </c>
    </row>
    <row r="8" spans="1:10" x14ac:dyDescent="0.25">
      <c r="E8" s="18"/>
      <c r="J8" s="25"/>
    </row>
    <row r="9" spans="1:10" ht="52.8" x14ac:dyDescent="0.25">
      <c r="A9" s="125" t="s">
        <v>118</v>
      </c>
    </row>
    <row r="10" spans="1:10" x14ac:dyDescent="0.25">
      <c r="A10" s="125"/>
      <c r="E10" s="18"/>
      <c r="J10" s="25"/>
    </row>
    <row r="11" spans="1:10" ht="52.8" x14ac:dyDescent="0.25">
      <c r="A11" s="125" t="s">
        <v>159</v>
      </c>
    </row>
    <row r="12" spans="1:10" x14ac:dyDescent="0.25">
      <c r="E12" s="18"/>
      <c r="J12" s="25"/>
    </row>
    <row r="13" spans="1:10" ht="52.8" x14ac:dyDescent="0.25">
      <c r="A13" s="125" t="s">
        <v>119</v>
      </c>
    </row>
    <row r="15" spans="1:10" ht="39.6" x14ac:dyDescent="0.25">
      <c r="A15" s="125" t="s">
        <v>120</v>
      </c>
    </row>
    <row r="17" spans="1:1" ht="39.6" x14ac:dyDescent="0.25">
      <c r="A17" s="125" t="s">
        <v>121</v>
      </c>
    </row>
    <row r="19" spans="1:1" ht="39.6" x14ac:dyDescent="0.25">
      <c r="A19" s="127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4236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тридцать шесть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45905</v>
      </c>
      <c r="O3" s="177"/>
      <c r="P3">
        <f ca="1">DAY(N3)</f>
        <v>5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Четыре тысячи двести тридцать шесть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5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тридцать шесть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тридцать шесть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тридцать шесть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45905</v>
      </c>
    </row>
    <row r="13" spans="1:19" s="43" customFormat="1" x14ac:dyDescent="0.25">
      <c r="A13" s="49"/>
      <c r="D13" s="51"/>
      <c r="E13" s="52">
        <f>TRUNC(E2)</f>
        <v>4236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4236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236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2025-09-05T12:36:36Z</cp:lastPrinted>
  <dcterms:created xsi:type="dcterms:W3CDTF">1996-10-14T23:33:28Z</dcterms:created>
  <dcterms:modified xsi:type="dcterms:W3CDTF">2025-09-05T14:44:04Z</dcterms:modified>
</cp:coreProperties>
</file>