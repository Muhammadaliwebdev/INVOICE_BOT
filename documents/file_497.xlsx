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398CED3-8F87-4DC3-92FE-80E0D818CC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<sst xmlns="http://schemas.openxmlformats.org/spreadsheetml/2006/main" count="202" uniqueCount="164">
  <si>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</si>
  <si>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</si>
  <si>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</si>
  <si>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</si>
  <si>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</si>
  <si>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</si>
  <si>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</si>
  <si>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</si>
  <si>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</si>
  <si>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</si>
  <si>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</si>
  <si>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</si>
  <si>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</si>
  <si>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</si>
  <si>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</si>
  <si>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</si>
  <si>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</si>
  <si>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</si>
  <si>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</si>
  <si>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</si>
  <si>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</si>
  <si>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</si>
  <si>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</si>
  <si>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</si>
  <si>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</si>
  <si>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</si>
  <si>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</si>
  <si>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</si>
  <si>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</si>
  <si>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</si>
  <si>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</si>
  <si>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</si>
  <si>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</si>
  <si>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</si>
  <si>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</si>
  <si>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</si>
  <si>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</si>
  <si>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</si>
  <si>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</si>
  <si>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</si>
  <si>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</si>
  <si>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</si>
  <si>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</si>
  <si>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</si>
  <si>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</si>
  <si>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</si>
  <si>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</si>
  <si>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</si>
  <si>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</si>
  <si>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</si>
  <si>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</si>
  <si>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</si>
  <si>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</si>
  <si>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</si>
  <si>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</si>
  <si>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</si>
  <si>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</si>
  <si>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</si>
  <si>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</si>
  <si>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</si>
  <si>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</si>
  <si>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</si>
  <si>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</si>
  <si>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</si>
  <si>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</si>
  <si>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</si>
  <si>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</si>
  <si>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</si>
  <si>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</si>
  <si>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</si>
  <si>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</si>
  <si>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</si>
  <si>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</si>
  <si>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</si>
  <si>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</si>
  <si>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</si>
  <si>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</si>
  <si>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</si>
  <si>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</si>
  <si>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</si>
  <si>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</si>
  <si>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</si>
  <si>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</si>
  <si>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</si>
  <si>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</si>
  <si>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</si>
  <si>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</si>
  <si>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</si>
  <si>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</si>
  <si>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</si>
  <si>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</si>
  <si>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</si>
  <si>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</si>
  <si>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</si>
  <si>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</si>
  <si>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</si>
  <si>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</si>
  <si>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</si>
  <si>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</si>
  <si>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</si>
  <si>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</si>
  <si>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</si>
  <si>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</si>
  <si>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</si>
  <si>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</si>
  <si>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</si>
  <si>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</si>
  <si>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</si>
  <si>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</si>
  <si>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</si>
  <si>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</si>
  <si>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</si>
  <si>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</si>
  <si>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</si>
  <si>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</si>
  <si>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</si>
  <si>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</si>
  <si>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</si>
  <si>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</si>
  <si>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</si>
  <si>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</si>
  <si>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</si>
  <si>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</si>
  <si>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</si>
  <si>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</si>
  <si>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</si>
  <si>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</si>
  <si>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</si>
  <si>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</si>
  <si>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</si>
  <si>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</si>
  <si>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</si>
  <si>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</si>
  <si>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</si>
  <si>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</si>
  <si>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</si>
  <si>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</si>
  <si>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</si>
  <si>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</si>
  <si>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</si>
  <si>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</si>
  <si>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</si>
  <si>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</si>
  <si>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</si>
  <si>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</si>
  <si>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</si>
  <si>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</si>
  <si>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</si>
  <si>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</si>
  <si>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</si>
  <si>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</si>
  <si>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</si>
  <si>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</si>
  <si>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</si>
  <si>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</si>
  <si>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</si>
  <si>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</si>
  <si>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</si>
  <si>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</si>
  <si>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</si>
  <si>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EXZ-M-3 от </t>
  </si>
  <si>
    <t xml:space="preserve"> 09.09.2025г.</t>
  </si>
  <si>
    <t>01V893ZA/017695AA</t>
  </si>
  <si>
    <t xml:space="preserve">СПЕЦИФИКАЦИЯ № EXZ-M-3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</si>
</sst>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160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141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130</v>
      </c>
      <c r="B5" s="155"/>
      <c r="C5" s="155"/>
      <c r="D5" s="155"/>
      <c r="E5" s="155"/>
      <c r="F5" s="6"/>
      <c r="G5" s="148" t="s">
        <v>142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131</v>
      </c>
      <c r="B6" s="142"/>
      <c r="C6" s="142"/>
      <c r="D6" s="142"/>
      <c r="E6" s="142"/>
      <c r="F6" s="7"/>
      <c r="G6" s="141" t="s">
        <v>143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132</v>
      </c>
      <c r="B7" s="142"/>
      <c r="C7" s="142"/>
      <c r="D7" s="142"/>
      <c r="E7" s="142"/>
      <c r="F7" s="63"/>
      <c r="G7" s="141" t="s">
        <v>144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130</v>
      </c>
      <c r="B14" s="155"/>
      <c r="C14" s="155"/>
      <c r="D14" s="155"/>
      <c r="E14" s="155"/>
      <c r="F14" s="6"/>
      <c r="G14" s="148" t="s">
        <v>149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131</v>
      </c>
      <c r="B15" s="142"/>
      <c r="C15" s="142"/>
      <c r="D15" s="142"/>
      <c r="E15" s="142"/>
      <c r="F15" s="7"/>
      <c r="G15" s="141" t="s">
        <v>150</v>
      </c>
      <c r="H15" s="142"/>
      <c r="I15" s="142"/>
      <c r="J15" s="142"/>
      <c r="K15" s="142"/>
      <c r="L15" s="142"/>
      <c r="M15" s="142"/>
    </row>
    <row r="16" spans="1:15" ht="13.8" x14ac:dyDescent="0.25">
      <c r="A16" s="142" t="s">
        <v>132</v>
      </c>
      <c r="B16" s="142"/>
      <c r="C16" s="142"/>
      <c r="D16" s="142"/>
      <c r="E16" s="142"/>
      <c r="F16" s="63"/>
      <c r="G16" s="141" t="s">
        <v>151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127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990</v>
      </c>
      <c r="F30" s="110" t="s">
        <v>27</v>
      </c>
      <c r="G30" s="106">
        <v>23265</v>
      </c>
      <c r="H30" s="106">
        <v>21483</v>
      </c>
      <c r="I30" s="108">
        <v>0.2</v>
      </c>
      <c r="J30" s="13">
        <f t="shared" ref="J30" si="0">H30*I30</f>
        <v>4296.6000000000004</v>
      </c>
      <c r="K30" s="12">
        <v>0</v>
      </c>
      <c r="L30" s="12">
        <v>0</v>
      </c>
      <c r="M30" s="13">
        <f t="shared" ref="M30" si="1">J30</f>
        <v>4296.6000000000004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990</v>
      </c>
      <c r="F31" s="15"/>
      <c r="G31" s="64">
        <f>SUM(G30:G30)</f>
        <v>23265</v>
      </c>
      <c r="H31" s="64">
        <f>SUM(H30:H30)</f>
        <v>21483</v>
      </c>
      <c r="I31" s="102"/>
      <c r="J31" s="17">
        <f>SUM(J30:J30)</f>
        <v>4296.6000000000004</v>
      </c>
      <c r="K31" s="16"/>
      <c r="L31" s="16"/>
      <c r="M31" s="17">
        <f>SUM(M30:M30)</f>
        <v>4296.6000000000004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Четыре тысячи двести девяносто шесть долларов США, 60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6" zoomScale="115" zoomScaleNormal="115" workbookViewId="0">
      <selection activeCell="I37" sqref="I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EXZ-M-3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990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23265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01V893ZA/017695AA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J25" sqref="J2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01V893ZA/017695AA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09.09.2025г.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EXZ-M-3 от  09.09.2025г.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990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23265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990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163</v>
      </c>
      <c r="C1" s="172"/>
      <c r="D1" s="172"/>
      <c r="E1" s="172"/>
      <c r="F1" s="153" t="str">
        <f>+Инвойс!F1</f>
        <v xml:space="preserve"> 09.09.2025г.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01V893ZA/017695AA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990</v>
      </c>
      <c r="F30" s="116" t="str">
        <f>+Инвойс!F30</f>
        <v>кг</v>
      </c>
      <c r="G30" s="106">
        <f>+Инвойс!G30</f>
        <v>23265</v>
      </c>
      <c r="H30" s="106">
        <f>+Инвойс!H30</f>
        <v>21483</v>
      </c>
      <c r="I30" s="108">
        <f>+Инвойс!I30</f>
        <v>0.2</v>
      </c>
      <c r="J30" s="13">
        <f>+Инвойс!J30</f>
        <v>4296.6000000000004</v>
      </c>
      <c r="K30" s="12">
        <v>0</v>
      </c>
      <c r="L30" s="12">
        <v>0</v>
      </c>
      <c r="M30" s="13">
        <f>+Инвойс!M30</f>
        <v>4296.6000000000004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990</v>
      </c>
      <c r="F31" s="15"/>
      <c r="G31" s="64">
        <f>SUM(G30:G30)</f>
        <v>23265</v>
      </c>
      <c r="H31" s="64">
        <f>SUM(H30:H30)</f>
        <v>21483</v>
      </c>
      <c r="I31" s="102"/>
      <c r="J31" s="17">
        <f>SUM(J30:J30)</f>
        <v>4296.6000000000004</v>
      </c>
      <c r="K31" s="16"/>
      <c r="L31" s="16"/>
      <c r="M31" s="17">
        <f>SUM(M30:M30)</f>
        <v>4296.6000000000004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Четыре тысячи двести девяносто шесть долларов США, 60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140</v>
      </c>
    </row>
    <row r="6" spans="1:10" x14ac:dyDescent="0.25">
      <c r="E6" s="18"/>
      <c r="J6" s="25"/>
    </row>
    <row r="7" spans="1:10" ht="52.8" x14ac:dyDescent="0.25">
      <c r="A7" s="126" t="s">
        <v>117</v>
      </c>
    </row>
    <row r="8" spans="1:10" x14ac:dyDescent="0.25">
      <c r="E8" s="18"/>
      <c r="J8" s="25"/>
    </row>
    <row r="9" spans="1:10" ht="52.8" x14ac:dyDescent="0.25">
      <c r="A9" s="126" t="s">
        <v>118</v>
      </c>
    </row>
    <row r="10" spans="1:10" x14ac:dyDescent="0.25">
      <c r="A10" s="126"/>
      <c r="E10" s="18"/>
      <c r="J10" s="25"/>
    </row>
    <row r="11" spans="1:10" ht="52.8" x14ac:dyDescent="0.25">
      <c r="A11" s="126" t="s">
        <v>158</v>
      </c>
    </row>
    <row r="12" spans="1:10" x14ac:dyDescent="0.25">
      <c r="E12" s="18"/>
      <c r="J12" s="25"/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4296.6000000000004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девяносто шесть долларов США, 60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45909</v>
      </c>
      <c r="O3" s="177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двести девяносто шесть долларов США, 60 центов. (в т.ч. НДС - 357,79)</v>
      </c>
      <c r="H4" s="32"/>
      <c r="I4" s="32"/>
      <c r="J4" s="32"/>
      <c r="K4" s="178" t="str">
        <f ca="1">CONCATENATE(" «  ",P3,"  »  ",Q3,"  ",R3," г.")</f>
        <v xml:space="preserve"> «  9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девяносто шесть долларов США, 60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девяносто шесть долларов США, 60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60 центов.</v>
      </c>
      <c r="D12" s="47"/>
      <c r="E12" s="48"/>
      <c r="M12" s="50">
        <f ca="1">TODAY()</f>
        <v>45909</v>
      </c>
    </row>
    <row r="13" spans="1:19" s="43" customFormat="1" x14ac:dyDescent="0.25">
      <c r="A13" s="49"/>
      <c r="D13" s="51"/>
      <c r="E13" s="52">
        <f>TRUNC(E2)</f>
        <v>4296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4296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60</v>
      </c>
      <c r="C31" s="59">
        <f>TRUNC(A31/10)</f>
        <v>6</v>
      </c>
      <c r="E31" s="56" t="str">
        <f>IF(OR(C31=1,C31=0),"",IF(C31=2,E35,IF(C31=3,E36,IF(C31=4,E37,IF(C31=5,E38,IF(C31=6,E39,IF(C31=7,E40,IF(C31=8,E41,E42))))))))</f>
        <v xml:space="preserve">шестьдесят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2025-09-09T05:36:30Z</cp:lastPrinted>
  <dcterms:created xsi:type="dcterms:W3CDTF">1996-10-14T23:33:28Z</dcterms:created>
  <dcterms:modified xsi:type="dcterms:W3CDTF">2025-09-09T05:36:38Z</dcterms:modified>
</cp:coreProperties>
</file>