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9F020AE-5C82-4EBC-8897-054F998FCA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<sst xmlns="http://schemas.openxmlformats.org/spreadsheetml/2006/main" count="211" uniqueCount="164">
  <si>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</si>
  <si>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</si>
  <si>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</si>
  <si>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</si>
  <si>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</si>
  <si>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</si>
  <si>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</si>
  <si>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</si>
  <si>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</si>
  <si>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</si>
  <si>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</si>
  <si>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</si>
  <si>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</si>
  <si>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</si>
  <si>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</si>
  <si>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</si>
  <si>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</si>
  <si>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</si>
  <si>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</si>
  <si>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</si>
  <si>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</si>
  <si>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</si>
  <si>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</si>
  <si>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</si>
  <si>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</si>
  <si>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</si>
  <si>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</si>
  <si>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</si>
  <si>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</si>
  <si>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</si>
  <si>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</si>
  <si>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</si>
  <si>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</si>
  <si>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</si>
  <si>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</si>
  <si>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</si>
  <si>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</si>
  <si>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</si>
  <si>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</si>
  <si>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</si>
  <si>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</si>
  <si>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</si>
  <si>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</si>
  <si>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</si>
  <si>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</si>
  <si>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</si>
  <si>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</si>
  <si>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</si>
  <si>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</si>
  <si>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</si>
  <si>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</si>
  <si>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</si>
  <si>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</si>
  <si>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</si>
  <si>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</si>
  <si>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</si>
  <si>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</si>
  <si>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</si>
  <si>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</si>
  <si>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</si>
  <si>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</si>
  <si>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</si>
  <si>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</si>
  <si>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</si>
  <si>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</si>
  <si>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</si>
  <si>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</si>
  <si>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</si>
  <si>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</si>
  <si>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</si>
  <si>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</si>
  <si>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</si>
  <si>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</si>
  <si>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</si>
  <si>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</si>
  <si>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</si>
  <si>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</si>
  <si>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</si>
  <si>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</si>
  <si>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</si>
  <si>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</si>
  <si>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</si>
  <si>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</si>
  <si>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</si>
  <si>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</si>
  <si>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</si>
  <si>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</si>
  <si>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</si>
  <si>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</si>
  <si>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</si>
  <si>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</si>
  <si>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</si>
  <si>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</si>
  <si>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</si>
  <si>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</si>
  <si>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</si>
  <si>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</si>
  <si>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</si>
  <si>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</si>
  <si>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</si>
  <si>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</si>
  <si>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</si>
  <si>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</si>
  <si>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</si>
  <si>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</si>
  <si>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</si>
  <si>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</si>
  <si>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</si>
  <si>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</si>
  <si>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</si>
  <si>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</si>
  <si>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</si>
  <si>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</si>
  <si>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</si>
  <si>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</si>
  <si>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</si>
  <si>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</si>
  <si>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</si>
  <si>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</si>
  <si>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</si>
  <si>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</si>
  <si>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</si>
  <si>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</si>
  <si>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</si>
  <si>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</si>
  <si>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</si>
  <si>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</si>
  <si>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</si>
  <si>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</si>
  <si>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</si>
  <si>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</si>
  <si>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</si>
  <si>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</si>
  <si>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</si>
  <si>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</si>
  <si>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</si>
  <si>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</si>
  <si>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</si>
  <si>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</si>
  <si>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</si>
  <si>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</si>
  <si>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</si>
  <si>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</si>
  <si>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</si>
  <si>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</si>
  <si>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</si>
  <si>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</si>
  <si>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</si>
  <si>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</si>
  <si>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</si>
  <si>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</si>
  <si>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</si>
  <si>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</si>
  <si>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</si>
  <si>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</si>
  <si>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</si>
  <si>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</si>
  <si>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</si>
  <si>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</si>
  <si>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</si>
  <si>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 27.08.2025г.</t>
  </si>
  <si>
    <t xml:space="preserve">ИНВОЙС № UFG-M-15 от </t>
  </si>
  <si>
    <t>50101JBA/508955AA</t>
  </si>
  <si>
    <t xml:space="preserve">СПЕЦИФИКАЦИЯ № UFG-M-15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</si>
</sst>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70" zoomScaleNormal="7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161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152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153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148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154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153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148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5" x14ac:dyDescent="0.25">
      <c r="A16" s="142" t="s">
        <v>154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118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910</v>
      </c>
      <c r="F30" s="110" t="s">
        <v>27</v>
      </c>
      <c r="G30" s="106">
        <v>22500</v>
      </c>
      <c r="H30" s="106">
        <v>20860</v>
      </c>
      <c r="I30" s="108">
        <v>0.25</v>
      </c>
      <c r="J30" s="13">
        <f t="shared" ref="J30" si="0">H30*I30</f>
        <v>5215</v>
      </c>
      <c r="K30" s="12">
        <v>0</v>
      </c>
      <c r="L30" s="12">
        <v>0</v>
      </c>
      <c r="M30" s="13">
        <f t="shared" ref="M30" si="1">J30</f>
        <v>5215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910</v>
      </c>
      <c r="F31" s="15"/>
      <c r="G31" s="64">
        <f>SUM(G30:G30)</f>
        <v>22500</v>
      </c>
      <c r="H31" s="64">
        <f>SUM(H30:H30)</f>
        <v>20860</v>
      </c>
      <c r="I31" s="102"/>
      <c r="J31" s="17">
        <f>SUM(J30:J30)</f>
        <v>5215</v>
      </c>
      <c r="K31" s="16"/>
      <c r="L31" s="16"/>
      <c r="M31" s="17">
        <f>SUM(M30:M30)</f>
        <v>5215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Пять тысяч двести пятнадцать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UFG-M-15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910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50101JBA/508955AA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50101JBA/508955AA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UFG-M-15 от  27.08.2025г.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910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910</v>
      </c>
      <c r="E47" s="142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B2" sqref="B2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163</v>
      </c>
      <c r="C1" s="171"/>
      <c r="D1" s="171"/>
      <c r="E1" s="171"/>
      <c r="F1" s="153" t="str">
        <f>+Инвойс!F1</f>
        <v xml:space="preserve"> 27.08.2025г.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74" t="str">
        <f>+Инвойс!A6</f>
        <v>РЕСПУБЛИКА УЗБЕКИСТАН. СУРХАНДАРЬИНСКАЯ ОБЛАСТЬ,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74" t="str">
        <f>+Инвойс!A7</f>
        <v>ТЕРМИЗСКИЙ РАЙОН,ЯНГИХАЯТ МФЙ, УЛИЦА БОГИ ШАМОЛ, 20-А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в АКБ“KAPITAL BANK”  МФО: 01158  Swift: KACHUZ22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74" t="str">
        <f>+Инвойс!A9</f>
        <v>Доллар США: 20208840207293094001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74" t="str">
        <f>+Инвойс!A10</f>
        <v>Корреспондирующий банк (RUB): АКБ "Азия Инвест Банк" (АО) :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74" t="str">
        <f>+Инвойс!A11</f>
        <v>SWIFT:ASIJRUMM / БИК 044525234,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74" t="str">
        <f>+Инвойс!A15</f>
        <v>РЕСПУБЛИКА УЗБЕКИСТАН. СУРХАНДАРЬИНСКАЯ ОБЛАСТЬ,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74" t="str">
        <f>+Инвойс!A16</f>
        <v>ТЕРМИЗСКИЙ РАЙОН,ЯНГИХАЯТ МФЙ, УЛИЦА БОГИ ШАМОЛ, 20-А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в АКБ“KAPITAL BANK”  МФО: 01158  Swift: KACHUZ22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74" t="str">
        <f>+Инвойс!A18</f>
        <v>Доллар США: 20208840207293094001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74" t="str">
        <f>+Инвойс!A19</f>
        <v>Корреспондирующий банк (RUB): АКБ "Азия Инвест Банк" (АО) :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74" t="str">
        <f>+Инвойс!A20</f>
        <v>SWIFT:ASIJRUMM / БИК 044525234,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50101JBA/508955AA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910</v>
      </c>
      <c r="F30" s="116" t="str">
        <f>+Инвойс!F30</f>
        <v>кг</v>
      </c>
      <c r="G30" s="106">
        <f>+Инвойс!G30</f>
        <v>22500</v>
      </c>
      <c r="H30" s="106">
        <f>+Инвойс!H30</f>
        <v>20860</v>
      </c>
      <c r="I30" s="108">
        <f>+Инвойс!I30</f>
        <v>0.25</v>
      </c>
      <c r="J30" s="13">
        <f>+Инвойс!J30</f>
        <v>5215</v>
      </c>
      <c r="K30" s="12">
        <v>0</v>
      </c>
      <c r="L30" s="12">
        <v>0</v>
      </c>
      <c r="M30" s="13">
        <f>+Инвойс!M30</f>
        <v>5215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910</v>
      </c>
      <c r="F31" s="15"/>
      <c r="G31" s="64">
        <f>SUM(G30:G30)</f>
        <v>22500</v>
      </c>
      <c r="H31" s="64">
        <f>SUM(H30:H30)</f>
        <v>20860</v>
      </c>
      <c r="I31" s="102"/>
      <c r="J31" s="17">
        <f>SUM(J30:J30)</f>
        <v>5215</v>
      </c>
      <c r="K31" s="16"/>
      <c r="L31" s="16"/>
      <c r="M31" s="17">
        <f>SUM(M30:M30)</f>
        <v>5215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Пять тысяч двести пятнадцать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5215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пятнадцать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двести пятнадцать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пятнадцать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пятнадцать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пятнадцать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5215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5215</v>
      </c>
      <c r="B29" s="47">
        <f>TRUNC(RIGHT(A29))</f>
        <v>5</v>
      </c>
      <c r="C29" s="51">
        <f>IF(B28=1,B29+10,IF(B29=0,0,B29))</f>
        <v>15</v>
      </c>
      <c r="D29" s="43" t="str">
        <f>IF(AND(C29&gt;9,C29&lt;16),IF(C29=10,D34,IF(C29=11,D35,IF(C29=12,D36,IF(C29=13,D37,IF(C29=14,D38,IF(C29=15,D39,)))))),"")</f>
        <v xml:space="preserve">пятнадцать </v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215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2025-08-27T04:34:30Z</cp:lastPrinted>
  <dcterms:created xsi:type="dcterms:W3CDTF">1996-10-14T23:33:28Z</dcterms:created>
  <dcterms:modified xsi:type="dcterms:W3CDTF">2025-08-27T04:34:33Z</dcterms:modified>
</cp:coreProperties>
</file>