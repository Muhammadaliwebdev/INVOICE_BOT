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/>
</workbook>
</file>

<file path=xl/calcChain.xml><?xml version="1.0" encoding="utf-8"?>
<calcChain xmlns="http://schemas.openxmlformats.org/spreadsheetml/2006/main">
  <c r="C2" i="7" l="1"/>
  <c r="F1" i="7" l="1"/>
  <c r="A36" i="7"/>
  <c r="A14" i="7"/>
  <c r="D36" i="7"/>
  <c r="G20" i="7" l="1"/>
  <c r="G19" i="7"/>
  <c r="G18" i="7"/>
  <c r="G17" i="7"/>
  <c r="G16" i="7"/>
  <c r="G15" i="7"/>
  <c r="G14" i="7"/>
  <c r="G10" i="7"/>
  <c r="G9" i="7"/>
  <c r="G8" i="7"/>
  <c r="G7" i="7"/>
  <c r="G6" i="7"/>
  <c r="G5" i="7"/>
  <c r="A15" i="7"/>
  <c r="A16" i="7"/>
  <c r="A17" i="7"/>
  <c r="A18" i="7"/>
  <c r="A19" i="7"/>
  <c r="A20" i="7"/>
  <c r="A6" i="7"/>
  <c r="A7" i="7"/>
  <c r="A8" i="7"/>
  <c r="A9" i="7"/>
  <c r="A10" i="7"/>
  <c r="A11" i="7"/>
  <c r="A5" i="7"/>
  <c r="C30" i="7"/>
  <c r="I30" i="7"/>
  <c r="H30" i="7"/>
  <c r="G30" i="7"/>
  <c r="E30" i="7"/>
  <c r="D30" i="7"/>
  <c r="B30" i="7"/>
  <c r="A30" i="7"/>
  <c r="E26" i="7"/>
  <c r="C24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<sst xmlns="http://schemas.openxmlformats.org/spreadsheetml/2006/main" count="201" uniqueCount="163">
  <si>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</si>
  <si>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</si>
  <si>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</si>
  <si>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</si>
  <si>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</si>
  <si>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</si>
  <si>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</si>
  <si>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</si>
  <si>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</si>
  <si>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</si>
  <si>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</si>
  <si>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</si>
  <si>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</si>
  <si>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</si>
  <si>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</si>
  <si>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</si>
  <si>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</si>
  <si>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</si>
  <si>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</si>
  <si>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</si>
  <si>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</si>
  <si>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</si>
  <si>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</si>
  <si>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</si>
  <si>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</si>
  <si>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</si>
  <si>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</si>
  <si>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</si>
  <si>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</si>
  <si>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</si>
  <si>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</si>
  <si>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</si>
  <si>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</si>
  <si>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</si>
  <si>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</si>
  <si>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</si>
  <si>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</si>
  <si>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</si>
  <si>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</si>
  <si>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</si>
  <si>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</si>
  <si>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</si>
  <si>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</si>
  <si>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</si>
  <si>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</si>
  <si>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</si>
  <si>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</si>
  <si>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</si>
  <si>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</si>
  <si>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</si>
  <si>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</si>
  <si>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</si>
  <si>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</si>
  <si>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</si>
  <si>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</si>
  <si>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</si>
  <si>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</si>
  <si>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</si>
  <si>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</si>
  <si>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</si>
  <si>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</si>
  <si>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</si>
  <si>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</si>
  <si>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</si>
  <si>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</si>
  <si>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</si>
  <si>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</si>
  <si>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</si>
  <si>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</si>
  <si>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</si>
  <si>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</si>
  <si>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</si>
  <si>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</si>
  <si>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</si>
  <si>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</si>
  <si>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</si>
  <si>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</si>
  <si>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</si>
  <si>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</si>
  <si>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</si>
  <si>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</si>
  <si>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</si>
  <si>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</si>
  <si>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</si>
  <si>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</si>
  <si>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</si>
  <si>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</si>
  <si>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</si>
  <si>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</si>
  <si>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</si>
  <si>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</si>
  <si>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</si>
  <si>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</si>
  <si>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</si>
  <si>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</si>
  <si>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</si>
  <si>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</si>
  <si>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</si>
  <si>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</si>
  <si>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</si>
  <si>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</si>
  <si>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</si>
  <si>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</si>
  <si>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</si>
  <si>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</si>
  <si>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</si>
  <si>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</si>
  <si>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</si>
  <si>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</si>
  <si>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</si>
  <si>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</si>
  <si>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</si>
  <si>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</si>
  <si>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</si>
  <si>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</si>
  <si>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</si>
  <si>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 xml:space="preserve">Корр.счет: 30101810445250000234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</si>
  <si>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</si>
  <si>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</si>
  <si>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</si>
  <si>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</si>
  <si>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</si>
  <si>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</si>
  <si>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</si>
  <si>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</si>
  <si>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</si>
  <si>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</si>
  <si>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>Дыни свежие</t>
  </si>
  <si>
    <t>0807190001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</si>
  <si>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</si>
  <si>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</si>
  <si>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 xml:space="preserve">Директор:  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</si>
  <si>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</si>
  <si>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</si>
  <si>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</si>
  <si>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</si>
  <si>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</si>
  <si>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>(SWIFT code: ASIJRUMM)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</si>
  <si>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</si>
  <si>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</si>
  <si>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</si>
  <si>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</si>
  <si>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</si>
  <si>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</si>
  <si>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</si>
  <si>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Директор:  ООО ТД «РЕСУРС»</t>
  </si>
  <si>
    <t>Касимов Д. Д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</si>
  <si>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</si>
  <si>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</si>
  <si>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</si>
  <si>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</si>
  <si>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</si>
  <si>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</si>
  <si>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</si>
  <si>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</si>
  <si>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</si>
  <si>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</si>
  <si>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 xml:space="preserve">ИНВОЙС № BEZ-A-56 от </t>
  </si>
  <si>
    <t xml:space="preserve"> 10.08.2025г.</t>
  </si>
  <si>
    <t>80125OBA/803769BA</t>
  </si>
  <si>
    <t>DAP - с Акжигит , Республика Казахстан</t>
  </si>
  <si>
    <t xml:space="preserve">СПЕЦИФИКАЦИЯ № BEZ-A-56 от </t>
  </si>
  <si>
    <t>/г. Владивосток/ г.Чита / г. Самара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</si>
</sst>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8"/>
      <name val="Arial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8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1098177</xdr:colOff>
      <xdr:row>36</xdr:row>
      <xdr:rowOff>156882</xdr:rowOff>
    </xdr:from>
    <xdr:to>
      <xdr:col>3</xdr:col>
      <xdr:colOff>596153</xdr:colOff>
      <xdr:row>46</xdr:row>
      <xdr:rowOff>122144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C4F73E67-611C-CEBF-4F38-38083AB38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5" y="9446558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398517</xdr:colOff>
      <xdr:row>35</xdr:row>
      <xdr:rowOff>189869</xdr:rowOff>
    </xdr:from>
    <xdr:to>
      <xdr:col>12</xdr:col>
      <xdr:colOff>636912</xdr:colOff>
      <xdr:row>51</xdr:row>
      <xdr:rowOff>124213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68C721A-DF92-6146-03CC-73B8599F6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113577">
          <a:off x="5900605" y="19430369"/>
          <a:ext cx="2625248" cy="265737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257735</xdr:colOff>
      <xdr:row>37</xdr:row>
      <xdr:rowOff>78441</xdr:rowOff>
    </xdr:from>
    <xdr:to>
      <xdr:col>7</xdr:col>
      <xdr:colOff>443417</xdr:colOff>
      <xdr:row>42</xdr:row>
      <xdr:rowOff>49830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647C1AD-8EFA-B0B7-B410-A1F34B16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19711147"/>
          <a:ext cx="1183005" cy="89027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224118</xdr:colOff>
      <xdr:row>36</xdr:row>
      <xdr:rowOff>168087</xdr:rowOff>
    </xdr:from>
    <xdr:to>
      <xdr:col>3</xdr:col>
      <xdr:colOff>119118</xdr:colOff>
      <xdr:row>48</xdr:row>
      <xdr:rowOff>112057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0D756563-8CE9-402D-99C0-25120D1E0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06" y="14959852"/>
          <a:ext cx="2707677" cy="19946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2" t="s">
        <v>157</v>
      </c>
      <c r="D1" s="132"/>
      <c r="E1" s="132"/>
      <c r="F1" s="131" t="s">
        <v>158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8" t="s">
        <v>148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">
      <c r="A5" s="133" t="s">
        <v>149</v>
      </c>
      <c r="B5" s="133"/>
      <c r="C5" s="133"/>
      <c r="D5" s="133"/>
      <c r="E5" s="133"/>
      <c r="F5" s="6"/>
      <c r="G5" s="135" t="s">
        <v>132</v>
      </c>
      <c r="H5" s="135"/>
      <c r="I5" s="135"/>
      <c r="J5" s="135"/>
      <c r="K5" s="135"/>
      <c r="L5" s="135"/>
      <c r="M5" s="135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7" t="s">
        <v>133</v>
      </c>
      <c r="H6" s="137"/>
      <c r="I6" s="137"/>
      <c r="J6" s="137"/>
      <c r="K6" s="137"/>
      <c r="L6" s="137"/>
      <c r="M6" s="137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7" t="s">
        <v>134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135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116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137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2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3" t="s">
        <v>149</v>
      </c>
      <c r="B14" s="133"/>
      <c r="C14" s="133"/>
      <c r="D14" s="133"/>
      <c r="E14" s="133"/>
      <c r="F14" s="6"/>
      <c r="G14" s="135" t="s">
        <v>138</v>
      </c>
      <c r="H14" s="135"/>
      <c r="I14" s="135"/>
      <c r="J14" s="135"/>
      <c r="K14" s="135"/>
      <c r="L14" s="135"/>
      <c r="M14" s="135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7" t="s">
        <v>139</v>
      </c>
      <c r="H15" s="140"/>
      <c r="I15" s="140"/>
      <c r="J15" s="140"/>
      <c r="K15" s="140"/>
      <c r="L15" s="140"/>
      <c r="M15" s="140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7" t="s">
        <v>140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141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142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143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0" t="s">
        <v>123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75" x14ac:dyDescent="0.25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">
        <v>159</v>
      </c>
      <c r="F26" s="152"/>
      <c r="G26" s="152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1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1" t="s">
        <v>12</v>
      </c>
      <c r="H29" s="111" t="s">
        <v>13</v>
      </c>
      <c r="I29" s="145"/>
      <c r="J29" s="112" t="s">
        <v>14</v>
      </c>
      <c r="K29" s="10" t="s">
        <v>15</v>
      </c>
      <c r="L29" s="10" t="s">
        <v>16</v>
      </c>
      <c r="M29" s="145"/>
    </row>
    <row r="30" spans="1:17" ht="30" x14ac:dyDescent="0.2">
      <c r="A30" s="127">
        <v>1</v>
      </c>
      <c r="B30" s="101" t="s">
        <v>127</v>
      </c>
      <c r="C30" s="107" t="s">
        <v>128</v>
      </c>
      <c r="D30" s="109" t="s">
        <v>113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Четыре тысячи двести сорок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6" zoomScale="115" zoomScaleNormal="115" workbookViewId="0">
      <selection activeCell="D48" sqref="D48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107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BEZ-A-56 от  10.08.2025г.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108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9" hidden="1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9" hidden="1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9" hidden="1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9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 xml:space="preserve">СВХ ООО "ГРИНЛАЙН" 10412110 - т/п Тольяттинский
445043, Самарская обл., г. Тольятти, ул. Вокзальная, д. 2
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10.08.2025г.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80125OBA/803769BA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9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9" t="s">
        <v>96</v>
      </c>
      <c r="C2" s="159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0" t="str">
        <f>+Инвойс!E26</f>
        <v>80125OBA/803769BA</v>
      </c>
      <c r="C14" s="160"/>
      <c r="D14" s="160"/>
      <c r="E14" s="160"/>
      <c r="F14" s="160"/>
      <c r="G14" s="160"/>
      <c r="H14" s="161" t="s">
        <v>109</v>
      </c>
      <c r="I14" s="161"/>
      <c r="J14" s="88" t="str">
        <f>+Инвойс!F1</f>
        <v xml:space="preserve"> 10.08.2025г.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BEZ-A-56 от  10.08.2025г.</v>
      </c>
      <c r="I15" s="162"/>
      <c r="J15" s="162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1000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7" t="str">
        <f>+Инвойс!C30</f>
        <v>0807190001</v>
      </c>
      <c r="H19" s="158"/>
      <c r="I19" s="122" t="s">
        <v>103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7"/>
      <c r="H21" s="158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57"/>
      <c r="H23" s="158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57"/>
      <c r="H25" s="158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57"/>
      <c r="H27" s="158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57"/>
      <c r="H29" s="158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57"/>
      <c r="H31" s="158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57"/>
      <c r="H33" s="158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57"/>
      <c r="H35" s="158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57"/>
      <c r="H37" s="158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57"/>
      <c r="H39" s="158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57"/>
      <c r="H41" s="158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57"/>
      <c r="H43" s="158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1000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32" t="s">
        <v>161</v>
      </c>
      <c r="C1" s="132"/>
      <c r="D1" s="132"/>
      <c r="E1" s="132"/>
      <c r="F1" s="131" t="str">
        <f>+Инвойс!F1</f>
        <v xml:space="preserve"> 10.08.2025г.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5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37" t="str">
        <f>+Инвойс!G6</f>
        <v xml:space="preserve">125362, Город Москва, вн.тер.г. муниципальный округ </v>
      </c>
      <c r="H6" s="137"/>
      <c r="I6" s="137"/>
      <c r="J6" s="137"/>
      <c r="K6" s="137"/>
      <c r="L6" s="137"/>
      <c r="M6" s="137"/>
      <c r="N6" s="4"/>
    </row>
    <row r="7" spans="1:15" ht="15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37" t="str">
        <f>+Инвойс!G7</f>
        <v xml:space="preserve">Южное Тушино, ул Свободы, д. 35, стр. 43, помещ. 92/3 </v>
      </c>
      <c r="H7" s="137"/>
      <c r="I7" s="137"/>
      <c r="J7" s="137"/>
      <c r="K7" s="137"/>
      <c r="L7" s="137"/>
      <c r="M7" s="137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37" t="str">
        <f>+Инвойс!G8</f>
        <v>Банк: Азия-Инвест Банк (АО) ИНН: 9705116064 КПП: 770501001</v>
      </c>
      <c r="H8" s="137"/>
      <c r="I8" s="137"/>
      <c r="J8" s="137"/>
      <c r="K8" s="137"/>
      <c r="L8" s="137"/>
      <c r="M8" s="137"/>
    </row>
    <row r="9" spans="1:15" ht="15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37" t="str">
        <f>+Инвойс!G9</f>
        <v xml:space="preserve">Р/Счет: 40702840100000019384 ; БИК:  044525234 </v>
      </c>
      <c r="H9" s="137"/>
      <c r="I9" s="137"/>
      <c r="J9" s="137"/>
      <c r="K9" s="137"/>
      <c r="L9" s="137"/>
      <c r="M9" s="137"/>
      <c r="O9" s="7"/>
    </row>
    <row r="10" spans="1:15" ht="15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37" t="str">
        <f>+Инвойс!G10</f>
        <v xml:space="preserve">Корр.счет: 30101810445250000234  </v>
      </c>
      <c r="H10" s="137"/>
      <c r="I10" s="137"/>
      <c r="J10" s="137"/>
      <c r="K10" s="137"/>
      <c r="L10" s="137"/>
      <c r="M10" s="137"/>
    </row>
    <row r="11" spans="1:15" ht="15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37"/>
      <c r="H11" s="137"/>
      <c r="I11" s="137"/>
      <c r="J11" s="137"/>
      <c r="K11" s="137"/>
      <c r="L11" s="137"/>
      <c r="M11" s="137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2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5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5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5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5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5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25">
      <c r="A22" s="1" t="s">
        <v>129</v>
      </c>
      <c r="C22" s="65"/>
      <c r="F22" s="1"/>
    </row>
    <row r="23" spans="1:17" ht="26.25" hidden="1" customHeight="1" x14ac:dyDescent="0.2">
      <c r="A23" s="69" t="s">
        <v>87</v>
      </c>
      <c r="B23" s="68"/>
      <c r="C23" s="169" t="s">
        <v>117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tr">
        <f>+Инвойс!E26</f>
        <v>80125OBA/803769BA</v>
      </c>
      <c r="F26" s="152"/>
      <c r="G26" s="152"/>
      <c r="J26" s="21"/>
    </row>
    <row r="27" spans="1:17" ht="34.5" customHeight="1" x14ac:dyDescent="0.25">
      <c r="A27" s="67" t="s">
        <v>130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1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1" t="s">
        <v>12</v>
      </c>
      <c r="H29" s="111" t="s">
        <v>13</v>
      </c>
      <c r="I29" s="145"/>
      <c r="J29" s="112" t="s">
        <v>14</v>
      </c>
      <c r="K29" s="10" t="s">
        <v>15</v>
      </c>
      <c r="L29" s="10" t="s">
        <v>16</v>
      </c>
      <c r="M29" s="145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">
        <v>27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Четыре тысячи двести сорок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5" spans="1:14" ht="15" x14ac:dyDescent="0.25">
      <c r="A35" s="7" t="s">
        <v>131</v>
      </c>
    </row>
    <row r="36" spans="1:14" ht="15.75" x14ac:dyDescent="0.25">
      <c r="A36" s="7" t="str">
        <f>+Инвойс!A14</f>
        <v>OOO “BMB EXIM”</v>
      </c>
      <c r="B36" s="7"/>
      <c r="D36" s="25" t="str">
        <f>+Инвойс!D36</f>
        <v>Сапаров И. Е</v>
      </c>
      <c r="E36" s="24"/>
      <c r="G36" s="129" t="s">
        <v>145</v>
      </c>
      <c r="L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10:E10"/>
    <mergeCell ref="A11:E11"/>
    <mergeCell ref="A12:E12"/>
    <mergeCell ref="G12:M12"/>
    <mergeCell ref="G9:M9"/>
    <mergeCell ref="G10:M10"/>
    <mergeCell ref="G11:M11"/>
    <mergeCell ref="G14:M14"/>
    <mergeCell ref="F1:H1"/>
    <mergeCell ref="C2:I2"/>
    <mergeCell ref="A4:E4"/>
    <mergeCell ref="G4:M4"/>
    <mergeCell ref="A5:E5"/>
    <mergeCell ref="G5:M5"/>
    <mergeCell ref="A6:E6"/>
    <mergeCell ref="A7:E7"/>
    <mergeCell ref="A8:E8"/>
    <mergeCell ref="G6:M6"/>
    <mergeCell ref="G7:M7"/>
    <mergeCell ref="G8:M8"/>
    <mergeCell ref="A9:E9"/>
    <mergeCell ref="A13:E13"/>
    <mergeCell ref="B1:E1"/>
    <mergeCell ref="G13:M13"/>
    <mergeCell ref="G15:M15"/>
    <mergeCell ref="G16:M16"/>
    <mergeCell ref="C23:M23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A14:E14"/>
    <mergeCell ref="G17:M17"/>
    <mergeCell ref="G18:M18"/>
    <mergeCell ref="E26:G26"/>
    <mergeCell ref="A28:A29"/>
    <mergeCell ref="B28:B29"/>
    <mergeCell ref="C28:C29"/>
    <mergeCell ref="D28:D29"/>
    <mergeCell ref="E28:E29"/>
    <mergeCell ref="F28:F29"/>
    <mergeCell ref="A33:M33"/>
    <mergeCell ref="A34:M34"/>
    <mergeCell ref="G28:H28"/>
    <mergeCell ref="I28:I29"/>
    <mergeCell ref="K28:L28"/>
    <mergeCell ref="M28:M29"/>
    <mergeCell ref="A31:B31"/>
    <mergeCell ref="E32:M32"/>
  </mergeCells>
  <phoneticPr fontId="76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13" sqref="A13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118</v>
      </c>
    </row>
    <row r="3" spans="1:1" ht="51" x14ac:dyDescent="0.2">
      <c r="A3" s="126" t="s">
        <v>147</v>
      </c>
    </row>
    <row r="5" spans="1:1" ht="38.25" x14ac:dyDescent="0.2">
      <c r="A5" s="126" t="s">
        <v>119</v>
      </c>
    </row>
    <row r="7" spans="1:1" ht="51" x14ac:dyDescent="0.2">
      <c r="A7" s="126" t="s">
        <v>120</v>
      </c>
    </row>
    <row r="9" spans="1:1" ht="51" x14ac:dyDescent="0.2">
      <c r="A9" s="126" t="s">
        <v>121</v>
      </c>
    </row>
    <row r="10" spans="1:1" x14ac:dyDescent="0.2">
      <c r="A10" s="126"/>
    </row>
    <row r="11" spans="1:1" ht="51" x14ac:dyDescent="0.2">
      <c r="A11" s="126" t="s">
        <v>122</v>
      </c>
    </row>
    <row r="13" spans="1:1" ht="51" x14ac:dyDescent="0.2">
      <c r="A13" s="126" t="s">
        <v>123</v>
      </c>
    </row>
    <row r="15" spans="1:1" ht="38.25" x14ac:dyDescent="0.2">
      <c r="A15" s="126" t="s">
        <v>124</v>
      </c>
    </row>
    <row r="17" spans="1:1" ht="38.25" x14ac:dyDescent="0.2">
      <c r="A17" s="126" t="s">
        <v>125</v>
      </c>
    </row>
    <row r="19" spans="1:1" ht="38.25" x14ac:dyDescent="0.2">
      <c r="A19" s="128" t="s">
        <v>126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3" t="s">
        <v>32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19" ht="15.75" x14ac:dyDescent="0.25">
      <c r="E2" s="27">
        <f>Инвойс!M31</f>
        <v>4240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4">
        <f ca="1">TODAY()</f>
        <v>45879</v>
      </c>
      <c r="O3" s="174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5" t="str">
        <f ca="1">CONCATENATE(" «  ",P3,"  »  ",Q3,"  ",R3," г.")</f>
        <v xml:space="preserve"> «  10  »  августа  2025 г.</v>
      </c>
      <c r="L4" s="175"/>
      <c r="M4" s="175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">
      <c r="D7" s="33"/>
      <c r="H7" s="176" t="s">
        <v>38</v>
      </c>
      <c r="I7" s="176"/>
      <c r="J7" s="176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6"/>
      <c r="I8" s="176"/>
      <c r="J8" s="176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6"/>
      <c r="I9" s="176"/>
      <c r="J9" s="176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6"/>
      <c r="I10" s="176"/>
      <c r="J10" s="176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6"/>
      <c r="I11" s="176"/>
      <c r="J11" s="176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45879</v>
      </c>
    </row>
    <row r="13" spans="1:19" s="43" customFormat="1" x14ac:dyDescent="0.2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7" t="s">
        <v>81</v>
      </c>
      <c r="B44" s="177"/>
      <c r="C44" s="177"/>
      <c r="D44" s="177"/>
      <c r="E44" s="177"/>
      <c r="F44" s="177"/>
      <c r="G44" s="177"/>
      <c r="H44" s="177"/>
      <c r="I44" s="177"/>
      <c r="J44" s="172" t="s">
        <v>82</v>
      </c>
      <c r="K44" s="172"/>
    </row>
    <row r="45" spans="1:11" s="43" customFormat="1" x14ac:dyDescent="0.2">
      <c r="A45" s="177"/>
      <c r="B45" s="177"/>
      <c r="C45" s="177"/>
      <c r="D45" s="177"/>
      <c r="E45" s="177"/>
      <c r="F45" s="177"/>
      <c r="G45" s="177"/>
      <c r="H45" s="177"/>
      <c r="I45" s="177"/>
      <c r="J45" s="172"/>
      <c r="K45" s="172"/>
    </row>
    <row r="46" spans="1:11" s="43" customFormat="1" x14ac:dyDescent="0.2">
      <c r="B46" s="61"/>
      <c r="C46" s="61"/>
      <c r="G46" s="171" t="s">
        <v>83</v>
      </c>
      <c r="H46" s="171"/>
      <c r="I46" s="171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2" t="s">
        <v>85</v>
      </c>
      <c r="B100" s="172"/>
      <c r="C100" s="172"/>
      <c r="D100" s="172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2025-08-10T09:49:15Z</cp:lastPrinted>
  <dcterms:created xsi:type="dcterms:W3CDTF">1996-10-14T23:33:28Z</dcterms:created>
  <dcterms:modified xsi:type="dcterms:W3CDTF">2025-08-10T09:49:16Z</dcterms:modified>
</cp:coreProperties>
</file>