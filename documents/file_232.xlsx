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80C462FE-F140-45A6-A6E4-00B2DF8745B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2" l="1"/>
  <c r="J33" i="2"/>
  <c r="J31" i="2"/>
  <c r="M31" i="2" s="1"/>
  <c r="J30" i="2" l="1"/>
  <c r="M30" i="2" s="1"/>
  <c r="G56" i="7" l="1"/>
  <c r="G57" i="7"/>
  <c r="A41" i="7"/>
  <c r="I31" i="7"/>
  <c r="I32" i="7"/>
  <c r="I33" i="7"/>
  <c r="I34" i="7"/>
  <c r="I30" i="7"/>
  <c r="H31" i="7"/>
  <c r="H32" i="7"/>
  <c r="H33" i="7"/>
  <c r="H34" i="7"/>
  <c r="H30" i="7"/>
  <c r="G31" i="7"/>
  <c r="G32" i="7"/>
  <c r="G33" i="7"/>
  <c r="G34" i="7"/>
  <c r="G30" i="7"/>
  <c r="E31" i="7"/>
  <c r="E32" i="7"/>
  <c r="E33" i="7"/>
  <c r="E34" i="7"/>
  <c r="E30" i="7"/>
  <c r="D31" i="7"/>
  <c r="D32" i="7"/>
  <c r="D33" i="7"/>
  <c r="D34" i="7"/>
  <c r="D30" i="7"/>
  <c r="C34" i="7"/>
  <c r="C33" i="7"/>
  <c r="C32" i="7"/>
  <c r="C31" i="7"/>
  <c r="C30" i="7"/>
  <c r="B31" i="7"/>
  <c r="B32" i="7"/>
  <c r="B33" i="7"/>
  <c r="B34" i="7"/>
  <c r="B30" i="7"/>
  <c r="A31" i="7"/>
  <c r="A32" i="7"/>
  <c r="A33" i="7"/>
  <c r="A34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5" i="7" l="1"/>
  <c r="E35" i="2" l="1"/>
  <c r="G35" i="2" l="1"/>
  <c r="G35" i="7" s="1"/>
  <c r="H35" i="2"/>
  <c r="H35" i="7" s="1"/>
  <c r="G27" i="5"/>
  <c r="G25" i="5"/>
  <c r="G23" i="5"/>
  <c r="G21" i="5"/>
  <c r="G19" i="5"/>
  <c r="J27" i="5"/>
  <c r="J25" i="5"/>
  <c r="J23" i="5"/>
  <c r="J21" i="5"/>
  <c r="F27" i="5"/>
  <c r="F26" i="5"/>
  <c r="F25" i="5"/>
  <c r="F24" i="5"/>
  <c r="F23" i="5"/>
  <c r="F22" i="5"/>
  <c r="F21" i="5"/>
  <c r="F20" i="5"/>
  <c r="F19" i="5"/>
  <c r="F18" i="5"/>
  <c r="J19" i="5"/>
  <c r="G34" i="4"/>
  <c r="G33" i="4"/>
  <c r="G32" i="4"/>
  <c r="G31" i="4"/>
  <c r="G30" i="4"/>
  <c r="B31" i="4"/>
  <c r="C31" i="4"/>
  <c r="D31" i="4"/>
  <c r="F31" i="4"/>
  <c r="G20" i="5" s="1"/>
  <c r="I31" i="4"/>
  <c r="B32" i="4"/>
  <c r="C32" i="4"/>
  <c r="D32" i="4"/>
  <c r="F32" i="4"/>
  <c r="G22" i="5" s="1"/>
  <c r="I32" i="4"/>
  <c r="B33" i="4"/>
  <c r="C33" i="4"/>
  <c r="D33" i="4"/>
  <c r="F33" i="4"/>
  <c r="G24" i="5" s="1"/>
  <c r="I33" i="4"/>
  <c r="B34" i="4"/>
  <c r="C34" i="4"/>
  <c r="D34" i="4"/>
  <c r="F34" i="4"/>
  <c r="G26" i="5" s="1"/>
  <c r="I34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4" i="2"/>
  <c r="J32" i="2"/>
  <c r="J32" i="7" s="1"/>
  <c r="M31" i="7" l="1"/>
  <c r="J31" i="7"/>
  <c r="M33" i="2"/>
  <c r="M33" i="7" s="1"/>
  <c r="J33" i="7"/>
  <c r="M30" i="7"/>
  <c r="J30" i="7"/>
  <c r="M34" i="2"/>
  <c r="M34" i="7" s="1"/>
  <c r="J34" i="7"/>
  <c r="J35" i="2"/>
  <c r="J35" i="7" s="1"/>
  <c r="M32" i="2"/>
  <c r="M32" i="7" s="1"/>
  <c r="S3" i="3"/>
  <c r="S4" i="3"/>
  <c r="P3" i="3"/>
  <c r="R3" i="3"/>
  <c r="Q3" i="3" l="1"/>
  <c r="K4" i="3" s="1"/>
  <c r="M35" i="2"/>
  <c r="E2" i="3" l="1"/>
  <c r="E13" i="3" s="1"/>
  <c r="A29" i="3" s="1"/>
  <c r="A28" i="3" s="1"/>
  <c r="B28" i="3" s="1"/>
  <c r="M35" i="7"/>
  <c r="A27" i="3" l="1"/>
  <c r="A25" i="3" s="1"/>
  <c r="A31" i="3"/>
  <c r="C31" i="3" s="1"/>
  <c r="C32" i="3" s="1"/>
  <c r="E32" i="3" s="1"/>
  <c r="B29" i="3"/>
  <c r="E29" i="3" s="1"/>
  <c r="C28" i="3"/>
  <c r="E28" i="3" s="1"/>
  <c r="A12" i="3" l="1"/>
  <c r="B27" i="3"/>
  <c r="E30" i="3" s="1"/>
  <c r="C29" i="3"/>
  <c r="F29" i="3" s="1"/>
  <c r="E31" i="3"/>
  <c r="B25" i="3"/>
  <c r="E25" i="3" s="1"/>
  <c r="A24" i="3"/>
  <c r="E27" i="3" l="1"/>
  <c r="C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6" i="2" l="1"/>
  <c r="E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<sst xmlns="http://schemas.openxmlformats.org/spreadsheetml/2006/main" count="243" uniqueCount="184">
  <si>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</si>
  <si>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</si>
  <si>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</si>
  <si>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</si>
  <si>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</si>
  <si>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</si>
  <si>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</si>
  <si>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</si>
  <si>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</si>
  <si>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</si>
  <si>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</si>
  <si>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</si>
  <si>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</si>
  <si>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</si>
  <si>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</si>
  <si>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</si>
  <si>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</si>
  <si>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</si>
  <si>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</si>
  <si>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</si>
  <si>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</si>
  <si>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</si>
  <si>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</si>
  <si>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</si>
  <si>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</si>
  <si>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</si>
  <si>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</si>
  <si>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</si>
  <si>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</si>
  <si>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</si>
  <si>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</si>
  <si>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</si>
  <si>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</si>
  <si>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</si>
  <si>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</si>
  <si>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</si>
  <si>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</si>
  <si>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</si>
  <si>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</si>
  <si>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</si>
  <si>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</si>
  <si>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</si>
  <si>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</si>
  <si>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</si>
  <si>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</si>
  <si>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</si>
  <si>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</si>
  <si>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</si>
  <si>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</si>
  <si>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</si>
  <si>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</si>
  <si>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</si>
  <si>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</si>
  <si>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</si>
  <si>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</si>
  <si>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</si>
  <si>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</si>
  <si>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</si>
  <si>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</si>
  <si>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</si>
  <si>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</si>
  <si>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</si>
  <si>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</si>
  <si>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</si>
  <si>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</si>
  <si>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</si>
  <si>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</si>
  <si>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</si>
  <si>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</si>
  <si>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</si>
  <si>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</si>
  <si>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</si>
  <si>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</si>
  <si>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</si>
  <si>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</si>
  <si>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</si>
  <si>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</si>
  <si>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</si>
  <si>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</si>
  <si>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</si>
  <si>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</si>
  <si>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</si>
  <si>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</si>
  <si>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</si>
  <si>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</si>
  <si>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</si>
  <si>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</si>
  <si>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</si>
  <si>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</si>
  <si>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</si>
  <si>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</si>
  <si>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</si>
  <si>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</si>
  <si>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</si>
  <si>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</si>
  <si>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</si>
  <si>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</si>
  <si>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</si>
  <si>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</si>
  <si>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</si>
  <si>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</si>
  <si>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</si>
  <si>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</si>
  <si>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</si>
  <si>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</si>
  <si>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</si>
  <si>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</si>
  <si>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</si>
  <si>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</si>
  <si>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</si>
  <si>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</si>
  <si>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</si>
  <si>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</si>
  <si>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</si>
  <si>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</si>
  <si>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</si>
  <si>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</si>
  <si>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</si>
  <si>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</si>
  <si>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</si>
  <si>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</si>
  <si>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</si>
  <si>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</si>
  <si>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</si>
  <si>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</si>
  <si>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</si>
  <si>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</si>
  <si>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</si>
  <si>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</si>
  <si>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</si>
  <si>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</si>
  <si>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</si>
  <si>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</si>
  <si>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</si>
  <si>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</si>
  <si>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</si>
  <si>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</si>
  <si>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</si>
  <si>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Гранат свежий</t>
  </si>
  <si>
    <t>Сливы свежие</t>
  </si>
  <si>
    <t>0809400501</t>
  </si>
  <si>
    <t>г.Самара/ г.Уфа / /г. Иркутск /г.Омск /г. Ижевск/ Российская федерация</t>
  </si>
  <si>
    <t>Вахабов Ж.А.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</si>
  <si>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</si>
  <si>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</si>
  <si>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</si>
  <si>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</si>
  <si>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</si>
  <si>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</si>
  <si>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</si>
  <si>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</si>
  <si>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</si>
  <si>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</si>
  <si>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</si>
  <si>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</si>
  <si>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</si>
  <si>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</si>
  <si>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</si>
  <si>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</si>
  <si>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</si>
  <si>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</si>
  <si>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</si>
  <si>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</si>
  <si>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</si>
  <si>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Хурма свежая</t>
  </si>
  <si>
    <t>0810700009</t>
  </si>
  <si>
    <t>0810907504</t>
  </si>
  <si>
    <t xml:space="preserve">                    Узбекистан Сыр. обл.</t>
  </si>
  <si>
    <t xml:space="preserve">                 Сыр. обл   </t>
  </si>
  <si>
    <t>Айва свежая</t>
  </si>
  <si>
    <t>0808400009</t>
  </si>
  <si>
    <t>к контракту № FM-5 от 25.06.2025г года</t>
  </si>
  <si>
    <t>LLC «Fresh Food Export NN»</t>
  </si>
  <si>
    <t>Республика Узбекистан, Наманганская область,</t>
  </si>
  <si>
    <t>Наманганский район, Катта Тошбулок МФЙ, ул. Мустакиллик дом 86.</t>
  </si>
  <si>
    <r>
      <t xml:space="preserve">Р/с N </t>
    </r>
    <r>
      <rPr>
        <sz val="11"/>
        <color indexed="8"/>
        <rFont val="Times New Roman"/>
        <family val="1"/>
        <charset val="204"/>
      </rPr>
      <t>20208840107243861001  (USD)</t>
    </r>
    <r>
      <rPr>
        <sz val="11"/>
        <rFont val="Times New Roman"/>
        <family val="1"/>
        <charset val="204"/>
      </rPr>
      <t xml:space="preserve">  ИНН: 312139894</t>
    </r>
  </si>
  <si>
    <t>Банк: “Business Development Bank” JSCB, г.Ташкент МФО: 01037,</t>
  </si>
  <si>
    <t>Корресп. Банки: 1. “National Bank for Foreign Economic</t>
  </si>
  <si>
    <t>Activity of the Republic of Uzbekistan”, SWIFT: NBFAUZ2X,</t>
  </si>
  <si>
    <t>к/с: 21002840300000452002 (USD)
2. JSC “ASIA INVEST BANK”, Moscow, Russia
БИК: 044525234, КПП: 770501001, ИНН: 7724187003
SWIFT: ASIJRUMM, к/с: 30111810500000000061 (RUB)</t>
  </si>
  <si>
    <t>ИНВОЙС № M-227 от</t>
  </si>
  <si>
    <t xml:space="preserve"> 27.08.2025г.</t>
  </si>
  <si>
    <t>40448WBA/405699BA</t>
  </si>
  <si>
    <t>Спецификация № M-227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</si>
</sst>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.3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6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4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168087</xdr:colOff>
      <xdr:row>41</xdr:row>
      <xdr:rowOff>11204</xdr:rowOff>
    </xdr:from>
    <xdr:to>
      <xdr:col>6</xdr:col>
      <xdr:colOff>172569</xdr:colOff>
      <xdr:row>44</xdr:row>
      <xdr:rowOff>15127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125FA33-C1AA-4457-84DA-B9A78BE6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734" y="21392028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40</xdr:row>
      <xdr:rowOff>179293</xdr:rowOff>
    </xdr:from>
    <xdr:to>
      <xdr:col>3</xdr:col>
      <xdr:colOff>705970</xdr:colOff>
      <xdr:row>55</xdr:row>
      <xdr:rowOff>91044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394D3B-0F9F-4D28-9EAB-ED8C39F5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735" y="21369617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40</xdr:row>
      <xdr:rowOff>66675</xdr:rowOff>
    </xdr:from>
    <xdr:to>
      <xdr:col>11</xdr:col>
      <xdr:colOff>28575</xdr:colOff>
      <xdr:row>52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67233</xdr:colOff>
      <xdr:row>41</xdr:row>
      <xdr:rowOff>123264</xdr:rowOff>
    </xdr:from>
    <xdr:to>
      <xdr:col>4</xdr:col>
      <xdr:colOff>318245</xdr:colOff>
      <xdr:row>44</xdr:row>
      <xdr:rowOff>127187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869A00-4383-4600-A634-7EF6D4074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8" y="21593735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212911</xdr:colOff>
      <xdr:row>41</xdr:row>
      <xdr:rowOff>100853</xdr:rowOff>
    </xdr:from>
    <xdr:to>
      <xdr:col>2</xdr:col>
      <xdr:colOff>616323</xdr:colOff>
      <xdr:row>56</xdr:row>
      <xdr:rowOff>46222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DC7EF8E-28B4-4F76-AD83-8584ACB2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21571324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6"/>
  <sheetViews>
    <sheetView tabSelected="1"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6" t="s">
        <v>180</v>
      </c>
      <c r="D1" s="146"/>
      <c r="E1" s="146"/>
      <c r="F1" s="145" t="s">
        <v>181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">
        <v>171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">
        <v>172</v>
      </c>
      <c r="B5" s="148"/>
      <c r="C5" s="148"/>
      <c r="D5" s="148"/>
      <c r="E5" s="148"/>
      <c r="F5" s="6"/>
      <c r="G5" s="139" t="s">
        <v>145</v>
      </c>
      <c r="H5" s="139"/>
      <c r="I5" s="139"/>
      <c r="J5" s="139"/>
      <c r="K5" s="139"/>
      <c r="L5" s="139"/>
      <c r="M5" s="139"/>
    </row>
    <row r="6" spans="1:15" ht="15" x14ac:dyDescent="0.25">
      <c r="A6" s="122" t="s">
        <v>173</v>
      </c>
      <c r="B6" s="122"/>
      <c r="C6" s="122"/>
      <c r="D6" s="122"/>
      <c r="E6" s="122"/>
      <c r="F6" s="7"/>
      <c r="G6" s="135" t="s">
        <v>146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2" t="s">
        <v>174</v>
      </c>
      <c r="B7" s="122"/>
      <c r="C7" s="122"/>
      <c r="D7" s="122"/>
      <c r="E7" s="122"/>
      <c r="F7" s="63"/>
      <c r="G7" s="122" t="s">
        <v>147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175</v>
      </c>
      <c r="B8" s="8"/>
      <c r="C8" s="8"/>
      <c r="D8" s="8"/>
      <c r="E8" s="8"/>
      <c r="F8" s="63"/>
      <c r="G8" s="7" t="s">
        <v>148</v>
      </c>
      <c r="H8" s="23"/>
      <c r="I8" s="23"/>
      <c r="J8" s="23"/>
      <c r="K8" s="23"/>
      <c r="L8" s="23"/>
      <c r="M8" s="23"/>
    </row>
    <row r="9" spans="1:15" ht="15" x14ac:dyDescent="0.25">
      <c r="A9" s="8" t="s">
        <v>176</v>
      </c>
      <c r="B9" s="8"/>
      <c r="C9" s="8"/>
      <c r="D9" s="8"/>
      <c r="E9" s="8"/>
      <c r="F9" s="7"/>
      <c r="G9" s="7" t="s">
        <v>149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177</v>
      </c>
      <c r="B10" s="122"/>
      <c r="C10" s="122"/>
      <c r="D10" s="122"/>
      <c r="E10" s="122"/>
      <c r="F10" s="7"/>
      <c r="G10" s="7" t="s">
        <v>150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178</v>
      </c>
      <c r="B11" s="8"/>
      <c r="C11" s="8"/>
      <c r="D11" s="8"/>
      <c r="E11" s="8"/>
      <c r="F11" s="7"/>
      <c r="G11" s="7" t="s">
        <v>151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179</v>
      </c>
      <c r="B12" s="144"/>
      <c r="C12" s="144"/>
      <c r="D12" s="144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">
        <v>172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2" t="s">
        <v>173</v>
      </c>
      <c r="B15" s="122"/>
      <c r="C15" s="122"/>
      <c r="D15" s="122"/>
      <c r="E15" s="122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5" x14ac:dyDescent="0.25">
      <c r="A16" s="122" t="s">
        <v>174</v>
      </c>
      <c r="B16" s="122"/>
      <c r="C16" s="122"/>
      <c r="D16" s="122"/>
      <c r="E16" s="122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175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176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177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178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179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1" t="s">
        <v>152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75" x14ac:dyDescent="0.25">
      <c r="A24" s="20" t="s">
        <v>22</v>
      </c>
      <c r="C24" s="18" t="s">
        <v>123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">
        <v>182</v>
      </c>
      <c r="F26" s="133"/>
      <c r="G26" s="133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3">
        <v>1</v>
      </c>
      <c r="B30" s="100" t="s">
        <v>144</v>
      </c>
      <c r="C30" s="106" t="s">
        <v>143</v>
      </c>
      <c r="D30" s="108" t="s">
        <v>137</v>
      </c>
      <c r="E30" s="100">
        <v>1576</v>
      </c>
      <c r="F30" s="109" t="s">
        <v>27</v>
      </c>
      <c r="G30" s="105">
        <v>14686</v>
      </c>
      <c r="H30" s="105">
        <v>12480</v>
      </c>
      <c r="I30" s="107">
        <v>1.05</v>
      </c>
      <c r="J30" s="13">
        <f t="shared" ref="J30:J31" si="0">H30*I30</f>
        <v>13104</v>
      </c>
      <c r="K30" s="12">
        <v>0</v>
      </c>
      <c r="L30" s="12">
        <v>0</v>
      </c>
      <c r="M30" s="13">
        <f t="shared" ref="M30:M31" si="1">J30</f>
        <v>13104</v>
      </c>
      <c r="O30" s="99"/>
      <c r="Q30" s="99"/>
    </row>
    <row r="31" spans="1:17" ht="15" x14ac:dyDescent="0.2">
      <c r="A31" s="123">
        <v>2</v>
      </c>
      <c r="B31" s="100" t="s">
        <v>139</v>
      </c>
      <c r="C31" s="106" t="s">
        <v>140</v>
      </c>
      <c r="D31" s="108" t="s">
        <v>137</v>
      </c>
      <c r="E31" s="100">
        <v>218</v>
      </c>
      <c r="F31" s="109" t="s">
        <v>27</v>
      </c>
      <c r="G31" s="105">
        <v>1965</v>
      </c>
      <c r="H31" s="105">
        <v>1660</v>
      </c>
      <c r="I31" s="107">
        <v>0.65</v>
      </c>
      <c r="J31" s="13">
        <f t="shared" si="0"/>
        <v>1079</v>
      </c>
      <c r="K31" s="12">
        <v>0</v>
      </c>
      <c r="L31" s="12">
        <v>0</v>
      </c>
      <c r="M31" s="13">
        <f t="shared" si="1"/>
        <v>1079</v>
      </c>
      <c r="O31" s="99"/>
      <c r="Q31" s="99"/>
    </row>
    <row r="32" spans="1:17" ht="15" x14ac:dyDescent="0.2">
      <c r="A32" s="123">
        <v>3</v>
      </c>
      <c r="B32" s="100" t="s">
        <v>169</v>
      </c>
      <c r="C32" s="106" t="s">
        <v>170</v>
      </c>
      <c r="D32" s="108" t="s">
        <v>137</v>
      </c>
      <c r="E32" s="100">
        <v>150</v>
      </c>
      <c r="F32" s="109" t="s">
        <v>27</v>
      </c>
      <c r="G32" s="105">
        <v>900</v>
      </c>
      <c r="H32" s="105">
        <v>690</v>
      </c>
      <c r="I32" s="107">
        <v>1.5</v>
      </c>
      <c r="J32" s="13">
        <f t="shared" ref="J32:J34" si="2">H32*I32</f>
        <v>1035</v>
      </c>
      <c r="K32" s="12">
        <v>0</v>
      </c>
      <c r="L32" s="12">
        <v>0</v>
      </c>
      <c r="M32" s="13">
        <f t="shared" ref="M32:M34" si="3">J32</f>
        <v>1035</v>
      </c>
      <c r="O32" s="99"/>
      <c r="Q32" s="99"/>
    </row>
    <row r="33" spans="1:17" ht="15" x14ac:dyDescent="0.2">
      <c r="A33" s="123">
        <v>4</v>
      </c>
      <c r="B33" s="100" t="s">
        <v>164</v>
      </c>
      <c r="C33" s="106" t="s">
        <v>165</v>
      </c>
      <c r="D33" s="108" t="s">
        <v>137</v>
      </c>
      <c r="E33" s="100">
        <v>265</v>
      </c>
      <c r="F33" s="109" t="s">
        <v>27</v>
      </c>
      <c r="G33" s="105">
        <v>2121</v>
      </c>
      <c r="H33" s="105">
        <v>1750</v>
      </c>
      <c r="I33" s="107">
        <v>3.1</v>
      </c>
      <c r="J33" s="13">
        <f t="shared" si="2"/>
        <v>5425</v>
      </c>
      <c r="K33" s="12">
        <v>0</v>
      </c>
      <c r="L33" s="12">
        <v>0</v>
      </c>
      <c r="M33" s="13">
        <f t="shared" si="3"/>
        <v>5425</v>
      </c>
      <c r="O33" s="99"/>
      <c r="Q33" s="99"/>
    </row>
    <row r="34" spans="1:17" ht="15" x14ac:dyDescent="0.2">
      <c r="A34" s="123">
        <v>5</v>
      </c>
      <c r="B34" s="100" t="s">
        <v>138</v>
      </c>
      <c r="C34" s="106" t="s">
        <v>166</v>
      </c>
      <c r="D34" s="108" t="s">
        <v>137</v>
      </c>
      <c r="E34" s="100">
        <v>380</v>
      </c>
      <c r="F34" s="109" t="s">
        <v>27</v>
      </c>
      <c r="G34" s="105">
        <v>3042</v>
      </c>
      <c r="H34" s="105">
        <f>+G34-E34*1.4</f>
        <v>2510</v>
      </c>
      <c r="I34" s="107">
        <v>1.95</v>
      </c>
      <c r="J34" s="13">
        <f t="shared" si="2"/>
        <v>4894.5</v>
      </c>
      <c r="K34" s="12">
        <v>0</v>
      </c>
      <c r="L34" s="12">
        <v>0</v>
      </c>
      <c r="M34" s="13">
        <f t="shared" si="3"/>
        <v>4894.5</v>
      </c>
      <c r="O34" s="99"/>
      <c r="Q34" s="99"/>
    </row>
    <row r="35" spans="1:17" ht="14.25" x14ac:dyDescent="0.2">
      <c r="A35" s="142" t="s">
        <v>0</v>
      </c>
      <c r="B35" s="143"/>
      <c r="C35" s="14"/>
      <c r="D35" s="15"/>
      <c r="E35" s="64">
        <f>SUM(E30:E34)</f>
        <v>2589</v>
      </c>
      <c r="F35" s="15"/>
      <c r="G35" s="64">
        <f>SUM(G30:G34)</f>
        <v>22714</v>
      </c>
      <c r="H35" s="64">
        <f>SUM(H30:H34)</f>
        <v>19090</v>
      </c>
      <c r="I35" s="101"/>
      <c r="J35" s="17">
        <f>SUM(J30:J34)</f>
        <v>25537.5</v>
      </c>
      <c r="K35" s="16"/>
      <c r="L35" s="16"/>
      <c r="M35" s="17">
        <f>SUM(M30:M34)</f>
        <v>25537.5</v>
      </c>
      <c r="P35" s="66"/>
    </row>
    <row r="36" spans="1:17" ht="13.5" x14ac:dyDescent="0.25">
      <c r="A36" s="2" t="s">
        <v>17</v>
      </c>
      <c r="B36" s="3"/>
      <c r="C36" s="11"/>
      <c r="D36" s="11"/>
      <c r="E36" s="140" t="str">
        <f>Лист1!B3</f>
        <v>Двадцать пять тысяч пятьсот тридцать семь долларов США, 50 центов.</v>
      </c>
      <c r="F36" s="141"/>
      <c r="G36" s="141"/>
      <c r="H36" s="141"/>
      <c r="I36" s="141"/>
      <c r="J36" s="141"/>
      <c r="K36" s="141"/>
      <c r="L36" s="141"/>
      <c r="M36" s="141"/>
    </row>
    <row r="37" spans="1:17" ht="20.25" customHeight="1" x14ac:dyDescent="0.2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</row>
    <row r="38" spans="1:17" ht="25.5" customHeight="1" x14ac:dyDescent="0.2">
      <c r="A38" s="134" t="s">
        <v>119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26"/>
    </row>
    <row r="40" spans="1:17" ht="15" x14ac:dyDescent="0.25">
      <c r="A40" s="7" t="s">
        <v>28</v>
      </c>
      <c r="B40" s="7"/>
      <c r="D40" s="25" t="s">
        <v>142</v>
      </c>
      <c r="E40" s="24"/>
    </row>
    <row r="41" spans="1:17" ht="15" x14ac:dyDescent="0.25">
      <c r="A41" s="7"/>
      <c r="B41" s="9"/>
    </row>
    <row r="42" spans="1:17" ht="15" x14ac:dyDescent="0.25">
      <c r="A42" s="7" t="s">
        <v>18</v>
      </c>
      <c r="B42" s="9"/>
    </row>
    <row r="43" spans="1:17" ht="15" x14ac:dyDescent="0.25">
      <c r="A43" s="7"/>
      <c r="B43" s="9"/>
    </row>
    <row r="44" spans="1:17" ht="15" x14ac:dyDescent="0.25">
      <c r="A44" s="7" t="s">
        <v>29</v>
      </c>
      <c r="B44" s="9"/>
    </row>
    <row r="45" spans="1:17" ht="15" x14ac:dyDescent="0.25">
      <c r="A45" s="8"/>
      <c r="B45" s="9"/>
    </row>
    <row r="46" spans="1:17" x14ac:dyDescent="0.2">
      <c r="A46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8:M38"/>
    <mergeCell ref="G15:M15"/>
    <mergeCell ref="G13:M13"/>
    <mergeCell ref="G14:M14"/>
    <mergeCell ref="E36:M36"/>
    <mergeCell ref="E28:E29"/>
    <mergeCell ref="C28:C29"/>
    <mergeCell ref="D28:D29"/>
    <mergeCell ref="A37:M37"/>
    <mergeCell ref="A35:B35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4" zoomScale="115" zoomScaleNormal="115" workbookViewId="0">
      <selection activeCell="B35" sqref="B35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LLC «Fresh Food Export NN»</v>
      </c>
    </row>
    <row r="3" spans="1:11" ht="11.25" customHeight="1" x14ac:dyDescent="0.2">
      <c r="B3" s="70" t="str">
        <f>+Инвойс!A6</f>
        <v>Республика Узбекистан, Наманганская область,</v>
      </c>
    </row>
    <row r="4" spans="1:11" ht="11.25" customHeight="1" x14ac:dyDescent="0.2">
      <c r="B4" s="70" t="str">
        <f>+Инвойс!A7</f>
        <v>Наманганский район, Катта Тошбулок МФЙ, ул. Мустакиллик дом 86.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141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167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M-227 от 27.08.2025г.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1576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14686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218</v>
      </c>
      <c r="D31" s="102" t="str">
        <f>+Инвойс!D31</f>
        <v>Дер. ящик</v>
      </c>
      <c r="E31" s="102"/>
      <c r="F31" s="102" t="str">
        <f>+Инвойс!B31</f>
        <v>Сливы свежие</v>
      </c>
      <c r="G31" s="103" t="str">
        <f>+Инвойс!C31</f>
        <v>0809400501</v>
      </c>
      <c r="H31" s="102"/>
      <c r="I31" s="104">
        <f>+Инвойс!G31</f>
        <v>1965</v>
      </c>
    </row>
    <row r="32" spans="1:9" ht="9" customHeight="1" x14ac:dyDescent="0.2">
      <c r="A32" s="74"/>
      <c r="B32" s="102">
        <f>+Инвойс!A32</f>
        <v>3</v>
      </c>
      <c r="C32" s="102">
        <f>+Инвойс!E32</f>
        <v>150</v>
      </c>
      <c r="D32" s="102" t="str">
        <f>+Инвойс!D32</f>
        <v>Дер. ящик</v>
      </c>
      <c r="E32" s="102"/>
      <c r="F32" s="102" t="str">
        <f>+Инвойс!B32</f>
        <v>Айва свежая</v>
      </c>
      <c r="G32" s="103" t="str">
        <f>+Инвойс!C32</f>
        <v>0808400009</v>
      </c>
      <c r="H32" s="102"/>
      <c r="I32" s="104">
        <f>+Инвойс!G32</f>
        <v>900</v>
      </c>
    </row>
    <row r="33" spans="1:9" ht="9" customHeight="1" x14ac:dyDescent="0.2">
      <c r="A33" s="74"/>
      <c r="B33" s="102">
        <f>+Инвойс!A33</f>
        <v>4</v>
      </c>
      <c r="C33" s="102">
        <f>+Инвойс!E33</f>
        <v>265</v>
      </c>
      <c r="D33" s="102" t="str">
        <f>+Инвойс!D33</f>
        <v>Дер. ящик</v>
      </c>
      <c r="E33" s="102"/>
      <c r="F33" s="102" t="str">
        <f>+Инвойс!B33</f>
        <v>Хурма свежая</v>
      </c>
      <c r="G33" s="103" t="str">
        <f>+Инвойс!C33</f>
        <v>0810700009</v>
      </c>
      <c r="H33" s="102"/>
      <c r="I33" s="104">
        <f>+Инвойс!G33</f>
        <v>2121</v>
      </c>
    </row>
    <row r="34" spans="1:9" ht="9" customHeight="1" x14ac:dyDescent="0.2">
      <c r="A34" s="74"/>
      <c r="B34" s="102">
        <f>+Инвойс!A34</f>
        <v>5</v>
      </c>
      <c r="C34" s="102">
        <f>+Инвойс!E34</f>
        <v>380</v>
      </c>
      <c r="D34" s="102" t="str">
        <f>+Инвойс!D34</f>
        <v>Дер. ящик</v>
      </c>
      <c r="E34" s="102"/>
      <c r="F34" s="102" t="str">
        <f>+Инвойс!B34</f>
        <v>Гранат свежий</v>
      </c>
      <c r="G34" s="103" t="str">
        <f>+Инвойс!C34</f>
        <v>0810907504</v>
      </c>
      <c r="H34" s="102"/>
      <c r="I34" s="104">
        <f>+Инвойс!G34</f>
        <v>3042</v>
      </c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168</v>
      </c>
      <c r="D49" s="153" t="str">
        <f>+C22</f>
        <v xml:space="preserve"> 27.08.2025г.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40448WBA/405699BA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F28" sqref="F28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1" t="s">
        <v>96</v>
      </c>
      <c r="C2" s="161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2" t="str">
        <f>+Инвойс!E26</f>
        <v>40448WBA/405699BA</v>
      </c>
      <c r="C14" s="162"/>
      <c r="D14" s="162"/>
      <c r="E14" s="162"/>
      <c r="F14" s="162"/>
      <c r="G14" s="162"/>
      <c r="H14" s="163" t="s">
        <v>117</v>
      </c>
      <c r="I14" s="163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M-227 от 27.08.2025г.</v>
      </c>
      <c r="I15" s="164"/>
      <c r="J15" s="164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1576</v>
      </c>
      <c r="G18" s="156" t="str">
        <f>+CMR!F30</f>
        <v>Виноград свежий столовых сортов</v>
      </c>
      <c r="H18" s="156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Дер. ящик</v>
      </c>
      <c r="G19" s="154" t="str">
        <f>+Инвойс!C30</f>
        <v>0806101001</v>
      </c>
      <c r="H19" s="155"/>
      <c r="I19" s="119" t="s">
        <v>103</v>
      </c>
      <c r="J19" s="117">
        <f>+Инвойс!G30</f>
        <v>14686</v>
      </c>
    </row>
    <row r="20" spans="2:10" ht="13.5" customHeight="1" x14ac:dyDescent="0.25">
      <c r="B20" s="83"/>
      <c r="E20" s="120"/>
      <c r="F20" s="115">
        <f>+Инвойс!E31</f>
        <v>218</v>
      </c>
      <c r="G20" s="156" t="str">
        <f>+CMR!F31</f>
        <v>Сливы свежие</v>
      </c>
      <c r="H20" s="156"/>
      <c r="I20" s="116"/>
      <c r="J20" s="117"/>
    </row>
    <row r="21" spans="2:10" ht="13.5" customHeight="1" x14ac:dyDescent="0.25">
      <c r="B21" s="83" t="s">
        <v>104</v>
      </c>
      <c r="E21" s="120"/>
      <c r="F21" s="118" t="str">
        <f>+Инвойс!D31</f>
        <v>Дер. ящик</v>
      </c>
      <c r="G21" s="154" t="str">
        <f>+Инвойс!C31</f>
        <v>0809400501</v>
      </c>
      <c r="H21" s="155"/>
      <c r="I21" s="119" t="s">
        <v>103</v>
      </c>
      <c r="J21" s="117">
        <f>+Инвойс!G31</f>
        <v>1965</v>
      </c>
    </row>
    <row r="22" spans="2:10" ht="12.75" customHeight="1" x14ac:dyDescent="0.25">
      <c r="B22" s="83"/>
      <c r="E22" s="120"/>
      <c r="F22" s="115">
        <f>+Инвойс!E32</f>
        <v>150</v>
      </c>
      <c r="G22" s="156" t="str">
        <f>+CMR!F32</f>
        <v>Айва свежая</v>
      </c>
      <c r="H22" s="156"/>
      <c r="I22" s="116"/>
      <c r="J22" s="117"/>
    </row>
    <row r="23" spans="2:10" ht="14.25" customHeight="1" x14ac:dyDescent="0.25">
      <c r="B23" s="83"/>
      <c r="E23" s="120"/>
      <c r="F23" s="118" t="str">
        <f>+Инвойс!D32</f>
        <v>Дер. ящик</v>
      </c>
      <c r="G23" s="154" t="str">
        <f>+Инвойс!C32</f>
        <v>0808400009</v>
      </c>
      <c r="H23" s="155"/>
      <c r="I23" s="119" t="s">
        <v>103</v>
      </c>
      <c r="J23" s="117">
        <f>+Инвойс!G32</f>
        <v>900</v>
      </c>
    </row>
    <row r="24" spans="2:10" ht="12.75" customHeight="1" x14ac:dyDescent="0.25">
      <c r="B24" s="87"/>
      <c r="E24" s="120"/>
      <c r="F24" s="115">
        <f>+Инвойс!E33</f>
        <v>265</v>
      </c>
      <c r="G24" s="156" t="str">
        <f>+CMR!F33</f>
        <v>Хурма свежая</v>
      </c>
      <c r="H24" s="156"/>
      <c r="I24" s="116"/>
      <c r="J24" s="117"/>
    </row>
    <row r="25" spans="2:10" ht="12.75" customHeight="1" x14ac:dyDescent="0.25">
      <c r="B25" s="87"/>
      <c r="E25" s="120"/>
      <c r="F25" s="118" t="str">
        <f>+Инвойс!D33</f>
        <v>Дер. ящик</v>
      </c>
      <c r="G25" s="154" t="str">
        <f>+Инвойс!C33</f>
        <v>0810700009</v>
      </c>
      <c r="H25" s="155"/>
      <c r="I25" s="119" t="s">
        <v>103</v>
      </c>
      <c r="J25" s="117">
        <f>+Инвойс!G33</f>
        <v>2121</v>
      </c>
    </row>
    <row r="26" spans="2:10" ht="12" customHeight="1" x14ac:dyDescent="0.25">
      <c r="B26" s="87"/>
      <c r="E26" s="120"/>
      <c r="F26" s="115">
        <f>+Инвойс!E34</f>
        <v>380</v>
      </c>
      <c r="G26" s="156" t="str">
        <f>+CMR!F34</f>
        <v>Гранат свежий</v>
      </c>
      <c r="H26" s="156"/>
      <c r="I26" s="116"/>
      <c r="J26" s="117"/>
    </row>
    <row r="27" spans="2:10" ht="14.25" customHeight="1" x14ac:dyDescent="0.25">
      <c r="B27" s="87"/>
      <c r="E27" s="120"/>
      <c r="F27" s="118" t="str">
        <f>+Инвойс!D34</f>
        <v>Дер. ящик</v>
      </c>
      <c r="G27" s="154" t="str">
        <f>+Инвойс!C34</f>
        <v>0810907504</v>
      </c>
      <c r="H27" s="155"/>
      <c r="I27" s="119" t="s">
        <v>103</v>
      </c>
      <c r="J27" s="117">
        <f>+Инвойс!G34</f>
        <v>3042</v>
      </c>
    </row>
    <row r="28" spans="2:10" ht="12.75" customHeight="1" x14ac:dyDescent="0.25">
      <c r="B28" s="87"/>
      <c r="E28" s="120"/>
      <c r="F28" s="115"/>
      <c r="G28" s="156"/>
      <c r="H28" s="156"/>
      <c r="I28" s="116"/>
      <c r="J28" s="117"/>
    </row>
    <row r="29" spans="2:10" ht="12.75" customHeight="1" x14ac:dyDescent="0.25">
      <c r="B29" s="87"/>
      <c r="E29" s="120"/>
      <c r="F29" s="118"/>
      <c r="G29" s="154"/>
      <c r="H29" s="155"/>
      <c r="I29" s="119"/>
      <c r="J29" s="117"/>
    </row>
    <row r="30" spans="2:10" ht="12.75" customHeight="1" x14ac:dyDescent="0.25">
      <c r="B30" s="87"/>
      <c r="E30" s="120"/>
      <c r="F30" s="115"/>
      <c r="G30" s="156"/>
      <c r="H30" s="156"/>
      <c r="I30" s="116"/>
      <c r="J30" s="117"/>
    </row>
    <row r="31" spans="2:10" ht="13.5" customHeight="1" x14ac:dyDescent="0.25">
      <c r="B31" s="87"/>
      <c r="E31" s="120"/>
      <c r="F31" s="118"/>
      <c r="G31" s="154"/>
      <c r="H31" s="155"/>
      <c r="I31" s="119"/>
      <c r="J31" s="117"/>
    </row>
    <row r="32" spans="2:10" ht="13.5" customHeight="1" x14ac:dyDescent="0.25">
      <c r="B32" s="87"/>
      <c r="E32" s="120"/>
      <c r="F32" s="115"/>
      <c r="G32" s="156"/>
      <c r="H32" s="156"/>
      <c r="I32" s="116"/>
      <c r="J32" s="117"/>
    </row>
    <row r="33" spans="2:10" ht="13.5" customHeight="1" x14ac:dyDescent="0.25">
      <c r="B33" s="87"/>
      <c r="E33" s="120"/>
      <c r="F33" s="118"/>
      <c r="G33" s="154"/>
      <c r="H33" s="155"/>
      <c r="I33" s="119"/>
      <c r="J33" s="117"/>
    </row>
    <row r="34" spans="2:10" ht="13.5" customHeight="1" x14ac:dyDescent="0.25">
      <c r="B34" s="87"/>
      <c r="E34" s="120"/>
      <c r="F34" s="115"/>
      <c r="G34" s="156"/>
      <c r="H34" s="156"/>
      <c r="I34" s="116"/>
      <c r="J34" s="117"/>
    </row>
    <row r="35" spans="2:10" ht="12.75" customHeight="1" x14ac:dyDescent="0.25">
      <c r="B35" s="87"/>
      <c r="E35" s="120"/>
      <c r="F35" s="118"/>
      <c r="G35" s="154"/>
      <c r="H35" s="155"/>
      <c r="I35" s="119"/>
      <c r="J35" s="117"/>
    </row>
    <row r="36" spans="2:10" x14ac:dyDescent="0.25">
      <c r="B36" s="87"/>
      <c r="E36" s="120"/>
      <c r="F36" s="115"/>
      <c r="G36" s="156"/>
      <c r="H36" s="156"/>
      <c r="I36" s="116"/>
      <c r="J36" s="117"/>
    </row>
    <row r="37" spans="2:10" ht="13.5" customHeight="1" x14ac:dyDescent="0.25">
      <c r="B37" s="87"/>
      <c r="E37" s="120"/>
      <c r="F37" s="118"/>
      <c r="G37" s="154"/>
      <c r="H37" s="155"/>
      <c r="I37" s="119"/>
      <c r="J37" s="117"/>
    </row>
    <row r="38" spans="2:10" x14ac:dyDescent="0.25">
      <c r="B38" s="87"/>
      <c r="E38" s="120"/>
      <c r="F38" s="115"/>
      <c r="G38" s="156"/>
      <c r="H38" s="156"/>
      <c r="I38" s="116"/>
      <c r="J38" s="117"/>
    </row>
    <row r="39" spans="2:10" ht="13.5" customHeight="1" x14ac:dyDescent="0.25">
      <c r="B39" s="87"/>
      <c r="E39" s="120"/>
      <c r="F39" s="118"/>
      <c r="G39" s="154"/>
      <c r="H39" s="155"/>
      <c r="I39" s="119"/>
      <c r="J39" s="117"/>
    </row>
    <row r="40" spans="2:10" ht="14.25" hidden="1" customHeight="1" x14ac:dyDescent="0.25">
      <c r="B40" s="87"/>
      <c r="E40" s="120"/>
      <c r="F40" s="115"/>
      <c r="G40" s="156"/>
      <c r="H40" s="156"/>
      <c r="I40" s="116"/>
      <c r="J40" s="117"/>
    </row>
    <row r="41" spans="2:10" ht="14.25" hidden="1" customHeight="1" x14ac:dyDescent="0.25">
      <c r="B41" s="87"/>
      <c r="E41" s="120"/>
      <c r="F41" s="118"/>
      <c r="G41" s="154"/>
      <c r="H41" s="155"/>
      <c r="I41" s="119"/>
      <c r="J41" s="117"/>
    </row>
    <row r="42" spans="2:10" hidden="1" x14ac:dyDescent="0.25">
      <c r="B42" s="87"/>
      <c r="E42" s="120"/>
      <c r="F42" s="115"/>
      <c r="G42" s="156"/>
      <c r="H42" s="156"/>
      <c r="I42" s="116"/>
      <c r="J42" s="117"/>
    </row>
    <row r="43" spans="2:10" x14ac:dyDescent="0.25">
      <c r="B43" s="87"/>
      <c r="E43" s="120"/>
      <c r="F43" s="118"/>
      <c r="G43" s="154"/>
      <c r="H43" s="155"/>
      <c r="I43" s="119"/>
      <c r="J43" s="117"/>
    </row>
    <row r="44" spans="2:10" ht="9" customHeight="1" x14ac:dyDescent="0.25">
      <c r="B44" s="87"/>
      <c r="E44" s="95"/>
      <c r="F44" s="92"/>
      <c r="G44" s="158"/>
      <c r="H44" s="158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9">
        <f>+F18+F20+F22+F24+F26+F28+F30+F32+F34+F36+F38+F40+F42</f>
        <v>2589</v>
      </c>
      <c r="E47" s="160"/>
    </row>
    <row r="48" spans="2:10" ht="17.25" customHeight="1" x14ac:dyDescent="0.25">
      <c r="B48" s="157" t="s">
        <v>105</v>
      </c>
      <c r="C48" s="157"/>
      <c r="D48" s="157"/>
      <c r="E48" s="157"/>
    </row>
    <row r="49" spans="2:5" ht="21.75" customHeight="1" x14ac:dyDescent="0.25">
      <c r="B49" s="157"/>
      <c r="C49" s="157"/>
      <c r="D49" s="157"/>
      <c r="E49" s="157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7"/>
  <sheetViews>
    <sheetView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6" t="s">
        <v>183</v>
      </c>
      <c r="C1" s="146"/>
      <c r="D1" s="146"/>
      <c r="E1" s="146"/>
      <c r="F1" s="145" t="str">
        <f>+Инвойс!F1</f>
        <v xml:space="preserve"> 27.08.2025г.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65" t="str">
        <f>+Инвойс!C2</f>
        <v>к контракту № FM-5 от 25.06.2025г года</v>
      </c>
      <c r="D2" s="165"/>
      <c r="E2" s="165"/>
      <c r="F2" s="165"/>
      <c r="G2" s="165"/>
      <c r="H2" s="165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tr">
        <f>+Инвойс!A5</f>
        <v>LLC «Fresh Food Export NN»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5" x14ac:dyDescent="0.25">
      <c r="A6" s="168" t="str">
        <f>+Инвойс!A6</f>
        <v>Республика Узбекистан, Наманганская область,</v>
      </c>
      <c r="B6" s="168"/>
      <c r="C6" s="168"/>
      <c r="D6" s="168"/>
      <c r="E6" s="168"/>
      <c r="F6" s="7"/>
      <c r="G6" s="166" t="str">
        <f>+Инвойс!G6</f>
        <v>108826, Город Москва, вн.тер. г.Поселение Сосенское, п Коммунарка,</v>
      </c>
      <c r="H6" s="166"/>
      <c r="I6" s="166"/>
      <c r="J6" s="166"/>
      <c r="K6" s="166"/>
      <c r="L6" s="166"/>
      <c r="M6" s="166"/>
      <c r="N6" s="4"/>
    </row>
    <row r="7" spans="1:15" ht="15" x14ac:dyDescent="0.25">
      <c r="A7" s="168" t="str">
        <f>+Инвойс!A7</f>
        <v>Наманганский район, Катта Тошбулок МФЙ, ул. Мустакиллик дом 86.</v>
      </c>
      <c r="B7" s="168"/>
      <c r="C7" s="168"/>
      <c r="D7" s="168"/>
      <c r="E7" s="168"/>
      <c r="F7" s="63"/>
      <c r="G7" s="166" t="str">
        <f>+Инвойс!G7</f>
        <v>ул. Потаповская Роща, дом 5, корпус 2, помещение 1/П</v>
      </c>
      <c r="H7" s="166"/>
      <c r="I7" s="166"/>
      <c r="J7" s="166"/>
      <c r="K7" s="166"/>
      <c r="L7" s="166"/>
      <c r="M7" s="166"/>
    </row>
    <row r="8" spans="1:15" ht="15" customHeight="1" x14ac:dyDescent="0.25">
      <c r="A8" s="168" t="str">
        <f>+Инвойс!A8</f>
        <v>Р/с N 20208840107243861001  (USD)  ИНН: 312139894</v>
      </c>
      <c r="B8" s="168"/>
      <c r="C8" s="168"/>
      <c r="D8" s="168"/>
      <c r="E8" s="168"/>
      <c r="F8" s="63"/>
      <c r="G8" s="166" t="str">
        <f>+Инвойс!G8</f>
        <v>Банк: АО "АЛЬФА-БАНК" ИНН / КПП: 7751302030 /775101001</v>
      </c>
      <c r="H8" s="166"/>
      <c r="I8" s="166"/>
      <c r="J8" s="166"/>
      <c r="K8" s="166"/>
      <c r="L8" s="166"/>
      <c r="M8" s="166"/>
    </row>
    <row r="9" spans="1:15" ht="15" x14ac:dyDescent="0.25">
      <c r="A9" s="168" t="str">
        <f>+Инвойс!A9</f>
        <v>Банк: “Business Development Bank” JSCB, г.Ташкент МФО: 01037,</v>
      </c>
      <c r="B9" s="168"/>
      <c r="C9" s="168"/>
      <c r="D9" s="168"/>
      <c r="E9" s="168"/>
      <c r="F9" s="7"/>
      <c r="G9" s="166" t="str">
        <f>+Инвойс!G9</f>
        <v>Р/Счет: 40702810802010005175 ; БИК:  044525593</v>
      </c>
      <c r="H9" s="166"/>
      <c r="I9" s="166"/>
      <c r="J9" s="166"/>
      <c r="K9" s="166"/>
      <c r="L9" s="166"/>
      <c r="M9" s="166"/>
      <c r="O9" s="7"/>
    </row>
    <row r="10" spans="1:15" ht="15" x14ac:dyDescent="0.25">
      <c r="A10" s="168" t="str">
        <f>+Инвойс!A10</f>
        <v>Корресп. Банки: 1. “National Bank for Foreign Economic</v>
      </c>
      <c r="B10" s="168"/>
      <c r="C10" s="168"/>
      <c r="D10" s="168"/>
      <c r="E10" s="168"/>
      <c r="F10" s="7"/>
      <c r="G10" s="166" t="str">
        <f>+Инвойс!G10</f>
        <v>Корр.счет: 30101810200000000593  ОГРН:1247700169122</v>
      </c>
      <c r="H10" s="166"/>
      <c r="I10" s="166"/>
      <c r="J10" s="166"/>
      <c r="K10" s="166"/>
      <c r="L10" s="166"/>
      <c r="M10" s="166"/>
    </row>
    <row r="11" spans="1:15" ht="15" x14ac:dyDescent="0.25">
      <c r="A11" s="168" t="str">
        <f>+Инвойс!A11</f>
        <v>Activity of the Republic of Uzbekistan”, SWIFT: NBFAUZ2X,</v>
      </c>
      <c r="B11" s="168"/>
      <c r="C11" s="168"/>
      <c r="D11" s="168"/>
      <c r="E11" s="168"/>
      <c r="F11" s="7"/>
      <c r="G11" s="166" t="str">
        <f>+Инвойс!G11</f>
        <v>Телефон: + 7 926 281-88-66</v>
      </c>
      <c r="H11" s="166"/>
      <c r="I11" s="166"/>
      <c r="J11" s="166"/>
      <c r="K11" s="166"/>
      <c r="L11" s="166"/>
      <c r="M11" s="166"/>
    </row>
    <row r="12" spans="1:15" ht="69" customHeight="1" x14ac:dyDescent="0.25">
      <c r="A12" s="167" t="str">
        <f>+Инвойс!A12</f>
        <v>к/с: 21002840300000452002 (USD)
2. JSC “ASIA INVEST BANK”, Moscow, Russia
БИК: 044525234, КПП: 770501001, ИНН: 7724187003
SWIFT: ASIJRUMM, к/с: 30111810500000000061 (RUB)</v>
      </c>
      <c r="B12" s="167"/>
      <c r="C12" s="167"/>
      <c r="D12" s="167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tr">
        <f>+Инвойс!A14</f>
        <v>LLC «Fresh Food Export NN»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68" t="str">
        <f>+Инвойс!A15</f>
        <v>Республика Узбекистан, Наманганская область,</v>
      </c>
      <c r="B15" s="168"/>
      <c r="C15" s="168"/>
      <c r="D15" s="168"/>
      <c r="E15" s="168"/>
      <c r="F15" s="7"/>
      <c r="G15" s="166" t="str">
        <f>+Инвойс!G15</f>
        <v xml:space="preserve">196006, город Санкт-Петербург, улица Новорощинская, </v>
      </c>
      <c r="H15" s="166"/>
      <c r="I15" s="166"/>
      <c r="J15" s="166"/>
      <c r="K15" s="166"/>
      <c r="L15" s="166"/>
      <c r="M15" s="166"/>
    </row>
    <row r="16" spans="1:15" ht="15" x14ac:dyDescent="0.25">
      <c r="A16" s="168" t="str">
        <f>+Инвойс!A16</f>
        <v>Наманганский район, Катта Тошбулок МФЙ, ул. Мустакиллик дом 86.</v>
      </c>
      <c r="B16" s="168"/>
      <c r="C16" s="168"/>
      <c r="D16" s="168"/>
      <c r="E16" s="168"/>
      <c r="F16" s="63"/>
      <c r="G16" s="166" t="str">
        <f>+Инвойс!G16</f>
        <v>дом 4, литер А, 1Н помещение 363 офис 609-1</v>
      </c>
      <c r="H16" s="166"/>
      <c r="I16" s="166"/>
      <c r="J16" s="166"/>
      <c r="K16" s="166"/>
      <c r="L16" s="166"/>
      <c r="M16" s="166"/>
    </row>
    <row r="17" spans="1:17" ht="15" customHeight="1" x14ac:dyDescent="0.25">
      <c r="A17" s="168" t="str">
        <f>+Инвойс!A17</f>
        <v>Р/с N 20208840107243861001  (USD)  ИНН: 312139894</v>
      </c>
      <c r="B17" s="168"/>
      <c r="C17" s="168"/>
      <c r="D17" s="168"/>
      <c r="E17" s="168"/>
      <c r="F17" s="63"/>
      <c r="G17" s="166" t="str">
        <f>+Инвойс!G17</f>
        <v>р/с USD 40702810226710000073</v>
      </c>
      <c r="H17" s="166"/>
      <c r="I17" s="166"/>
      <c r="J17" s="166"/>
      <c r="K17" s="166"/>
      <c r="L17" s="166"/>
      <c r="M17" s="166"/>
    </row>
    <row r="18" spans="1:17" ht="15" x14ac:dyDescent="0.25">
      <c r="A18" s="168" t="str">
        <f>+Инвойс!A18</f>
        <v>Банк: “Business Development Bank” JSCB, г.Ташкент МФО: 01037,</v>
      </c>
      <c r="B18" s="168"/>
      <c r="C18" s="168"/>
      <c r="D18" s="168"/>
      <c r="E18" s="168"/>
      <c r="F18" s="7"/>
      <c r="G18" s="166" t="str">
        <f>+Инвойс!G18</f>
        <v>Банк: Филиал «Центральный» Банка ВТБ (ПАО) в г. Москве</v>
      </c>
      <c r="H18" s="166"/>
      <c r="I18" s="166"/>
      <c r="J18" s="166"/>
      <c r="K18" s="166"/>
      <c r="L18" s="166"/>
      <c r="M18" s="166"/>
    </row>
    <row r="19" spans="1:17" ht="15" x14ac:dyDescent="0.25">
      <c r="A19" s="168" t="str">
        <f>+Инвойс!A19</f>
        <v>Корресп. Банки: 1. “National Bank for Foreign Economic</v>
      </c>
      <c r="B19" s="168"/>
      <c r="C19" s="168"/>
      <c r="D19" s="168"/>
      <c r="E19" s="168"/>
      <c r="F19" s="7"/>
      <c r="G19" s="166" t="str">
        <f>+Инвойс!G19</f>
        <v>SWIFT: VTBRRUM2MS2</v>
      </c>
      <c r="H19" s="166"/>
      <c r="I19" s="166"/>
      <c r="J19" s="166"/>
      <c r="K19" s="166"/>
      <c r="L19" s="166"/>
      <c r="M19" s="166"/>
    </row>
    <row r="20" spans="1:17" ht="15" x14ac:dyDescent="0.25">
      <c r="A20" s="168" t="str">
        <f>+Инвойс!A20</f>
        <v>Activity of the Republic of Uzbekistan”, SWIFT: NBFAUZ2X,</v>
      </c>
      <c r="B20" s="168"/>
      <c r="C20" s="168"/>
      <c r="D20" s="168"/>
      <c r="E20" s="168"/>
      <c r="F20" s="7"/>
      <c r="G20" s="166" t="str">
        <f>+Инвойс!G20</f>
        <v>ИНН/КПП 7805640197/ 781001001 ОГРН 1147847003193</v>
      </c>
      <c r="H20" s="166"/>
      <c r="I20" s="166"/>
      <c r="J20" s="166"/>
      <c r="K20" s="166"/>
      <c r="L20" s="166"/>
      <c r="M20" s="166"/>
    </row>
    <row r="21" spans="1:17" ht="70.5" customHeight="1" x14ac:dyDescent="0.25">
      <c r="A21" s="167" t="str">
        <f>+Инвойс!A21</f>
        <v>к/с: 21002840300000452002 (USD)
2. JSC “ASIA INVEST BANK”, Moscow, Russia
БИК: 044525234, КПП: 770501001, ИНН: 7724187003
SWIFT: ASIJRUMM, к/с: 30111810500000000061 (RUB)</v>
      </c>
      <c r="B21" s="167"/>
      <c r="C21" s="167"/>
      <c r="D21" s="16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158</v>
      </c>
      <c r="B23" s="68"/>
      <c r="C23" s="169" t="s">
        <v>159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tr">
        <f>+Инвойс!E26</f>
        <v>40448WBA/405699BA</v>
      </c>
      <c r="F26" s="133"/>
      <c r="G26" s="133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1576</v>
      </c>
      <c r="F30" s="109" t="s">
        <v>27</v>
      </c>
      <c r="G30" s="105">
        <f>+Инвойс!G30</f>
        <v>14686</v>
      </c>
      <c r="H30" s="105">
        <f>+Инвойс!H30</f>
        <v>12480</v>
      </c>
      <c r="I30" s="107">
        <f>+Инвойс!I30</f>
        <v>1.05</v>
      </c>
      <c r="J30" s="13">
        <f>+Инвойс!J30</f>
        <v>13104</v>
      </c>
      <c r="K30" s="12">
        <v>0</v>
      </c>
      <c r="L30" s="12">
        <v>0</v>
      </c>
      <c r="M30" s="13">
        <f>+Инвойс!M30</f>
        <v>13104</v>
      </c>
      <c r="O30" s="99"/>
      <c r="Q30" s="99"/>
    </row>
    <row r="31" spans="1:17" ht="15" x14ac:dyDescent="0.2">
      <c r="A31" s="123">
        <f>+Инвойс!A31</f>
        <v>2</v>
      </c>
      <c r="B31" s="100" t="str">
        <f>+Инвойс!B31</f>
        <v>Сливы свежие</v>
      </c>
      <c r="C31" s="106" t="str">
        <f>+Инвойс!C31</f>
        <v>0809400501</v>
      </c>
      <c r="D31" s="108" t="str">
        <f>+Инвойс!D31</f>
        <v>Дер. ящик</v>
      </c>
      <c r="E31" s="100">
        <f>+Инвойс!E31</f>
        <v>218</v>
      </c>
      <c r="F31" s="109" t="s">
        <v>27</v>
      </c>
      <c r="G31" s="105">
        <f>+Инвойс!G31</f>
        <v>1965</v>
      </c>
      <c r="H31" s="105">
        <f>+Инвойс!H31</f>
        <v>1660</v>
      </c>
      <c r="I31" s="107">
        <f>+Инвойс!I31</f>
        <v>0.65</v>
      </c>
      <c r="J31" s="13">
        <f>+Инвойс!J31</f>
        <v>1079</v>
      </c>
      <c r="K31" s="12">
        <v>0</v>
      </c>
      <c r="L31" s="12">
        <v>0</v>
      </c>
      <c r="M31" s="13">
        <f>+Инвойс!M31</f>
        <v>1079</v>
      </c>
      <c r="O31" s="99"/>
      <c r="Q31" s="99"/>
    </row>
    <row r="32" spans="1:17" ht="15" x14ac:dyDescent="0.2">
      <c r="A32" s="123">
        <f>+Инвойс!A32</f>
        <v>3</v>
      </c>
      <c r="B32" s="100" t="str">
        <f>+Инвойс!B32</f>
        <v>Айва свежая</v>
      </c>
      <c r="C32" s="106" t="str">
        <f>+Инвойс!C32</f>
        <v>0808400009</v>
      </c>
      <c r="D32" s="108" t="str">
        <f>+Инвойс!D32</f>
        <v>Дер. ящик</v>
      </c>
      <c r="E32" s="100">
        <f>+Инвойс!E32</f>
        <v>150</v>
      </c>
      <c r="F32" s="109" t="s">
        <v>27</v>
      </c>
      <c r="G32" s="105">
        <f>+Инвойс!G32</f>
        <v>900</v>
      </c>
      <c r="H32" s="105">
        <f>+Инвойс!H32</f>
        <v>690</v>
      </c>
      <c r="I32" s="107">
        <f>+Инвойс!I32</f>
        <v>1.5</v>
      </c>
      <c r="J32" s="13">
        <f>+Инвойс!J32</f>
        <v>1035</v>
      </c>
      <c r="K32" s="12">
        <v>0</v>
      </c>
      <c r="L32" s="12">
        <v>0</v>
      </c>
      <c r="M32" s="13">
        <f>+Инвойс!M32</f>
        <v>1035</v>
      </c>
      <c r="O32" s="99"/>
      <c r="Q32" s="99"/>
    </row>
    <row r="33" spans="1:17" ht="15" x14ac:dyDescent="0.2">
      <c r="A33" s="123">
        <f>+Инвойс!A33</f>
        <v>4</v>
      </c>
      <c r="B33" s="100" t="str">
        <f>+Инвойс!B33</f>
        <v>Хурма свежая</v>
      </c>
      <c r="C33" s="106" t="str">
        <f>+Инвойс!C33</f>
        <v>0810700009</v>
      </c>
      <c r="D33" s="108" t="str">
        <f>+Инвойс!D33</f>
        <v>Дер. ящик</v>
      </c>
      <c r="E33" s="100">
        <f>+Инвойс!E33</f>
        <v>265</v>
      </c>
      <c r="F33" s="109" t="s">
        <v>27</v>
      </c>
      <c r="G33" s="105">
        <f>+Инвойс!G33</f>
        <v>2121</v>
      </c>
      <c r="H33" s="105">
        <f>+Инвойс!H33</f>
        <v>1750</v>
      </c>
      <c r="I33" s="107">
        <f>+Инвойс!I33</f>
        <v>3.1</v>
      </c>
      <c r="J33" s="13">
        <f>+Инвойс!J33</f>
        <v>5425</v>
      </c>
      <c r="K33" s="12">
        <v>0</v>
      </c>
      <c r="L33" s="12">
        <v>0</v>
      </c>
      <c r="M33" s="13">
        <f>+Инвойс!M33</f>
        <v>5425</v>
      </c>
      <c r="O33" s="99"/>
      <c r="Q33" s="99"/>
    </row>
    <row r="34" spans="1:17" ht="15" x14ac:dyDescent="0.2">
      <c r="A34" s="123">
        <f>+Инвойс!A34</f>
        <v>5</v>
      </c>
      <c r="B34" s="100" t="str">
        <f>+Инвойс!B34</f>
        <v>Гранат свежий</v>
      </c>
      <c r="C34" s="106" t="str">
        <f>+Инвойс!C34</f>
        <v>0810907504</v>
      </c>
      <c r="D34" s="108" t="str">
        <f>+Инвойс!D34</f>
        <v>Дер. ящик</v>
      </c>
      <c r="E34" s="100">
        <f>+Инвойс!E34</f>
        <v>380</v>
      </c>
      <c r="F34" s="109" t="s">
        <v>27</v>
      </c>
      <c r="G34" s="105">
        <f>+Инвойс!G34</f>
        <v>3042</v>
      </c>
      <c r="H34" s="105">
        <f>+Инвойс!H34</f>
        <v>2510</v>
      </c>
      <c r="I34" s="107">
        <f>+Инвойс!I34</f>
        <v>1.95</v>
      </c>
      <c r="J34" s="13">
        <f>+Инвойс!J34</f>
        <v>4894.5</v>
      </c>
      <c r="K34" s="12">
        <v>0</v>
      </c>
      <c r="L34" s="12">
        <v>0</v>
      </c>
      <c r="M34" s="13">
        <f>+Инвойс!M34</f>
        <v>4894.5</v>
      </c>
      <c r="O34" s="99"/>
      <c r="Q34" s="99"/>
    </row>
    <row r="35" spans="1:17" ht="15" x14ac:dyDescent="0.2">
      <c r="A35" s="142" t="s">
        <v>0</v>
      </c>
      <c r="B35" s="143"/>
      <c r="C35" s="14"/>
      <c r="D35" s="15"/>
      <c r="E35" s="64">
        <f>SUM(E30:E34)</f>
        <v>2589</v>
      </c>
      <c r="F35" s="15"/>
      <c r="G35" s="105">
        <f>+Инвойс!G35</f>
        <v>22714</v>
      </c>
      <c r="H35" s="105">
        <f>+Инвойс!H35</f>
        <v>19090</v>
      </c>
      <c r="I35" s="101"/>
      <c r="J35" s="13">
        <f>+Инвойс!J35</f>
        <v>25537.5</v>
      </c>
      <c r="K35" s="16"/>
      <c r="L35" s="16"/>
      <c r="M35" s="13">
        <f>+Инвойс!M35</f>
        <v>25537.5</v>
      </c>
      <c r="P35" s="66"/>
    </row>
    <row r="36" spans="1:17" ht="13.5" x14ac:dyDescent="0.25">
      <c r="A36" s="2" t="s">
        <v>17</v>
      </c>
      <c r="B36" s="3"/>
      <c r="C36" s="11"/>
      <c r="D36" s="11"/>
      <c r="E36" s="140" t="str">
        <f>Лист1!B3</f>
        <v>Двадцать пять тысяч пятьсот тридцать семь долларов США, 50 центов.</v>
      </c>
      <c r="F36" s="141"/>
      <c r="G36" s="141"/>
      <c r="H36" s="141"/>
      <c r="I36" s="141"/>
      <c r="J36" s="141"/>
      <c r="K36" s="141"/>
      <c r="L36" s="141"/>
      <c r="M36" s="141"/>
    </row>
    <row r="37" spans="1:17" ht="20.25" customHeight="1" x14ac:dyDescent="0.2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</row>
    <row r="38" spans="1:17" ht="25.5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26"/>
    </row>
    <row r="40" spans="1:17" ht="15" x14ac:dyDescent="0.25">
      <c r="A40" s="125" t="s">
        <v>160</v>
      </c>
      <c r="B40" s="7"/>
      <c r="D40" s="18" t="s">
        <v>142</v>
      </c>
      <c r="E40" s="24"/>
      <c r="G40" s="124" t="s">
        <v>161</v>
      </c>
      <c r="L40" s="18" t="s">
        <v>162</v>
      </c>
    </row>
    <row r="41" spans="1:17" ht="15" x14ac:dyDescent="0.25">
      <c r="A41" s="7" t="str">
        <f>+Инвойс!A5</f>
        <v>LLC «Fresh Food Export NN»</v>
      </c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7"/>
      <c r="B44" s="9"/>
    </row>
    <row r="45" spans="1:17" ht="15" x14ac:dyDescent="0.25">
      <c r="A45" s="8"/>
      <c r="B45" s="9"/>
    </row>
    <row r="46" spans="1:17" x14ac:dyDescent="0.2">
      <c r="A46" s="4"/>
    </row>
    <row r="56" spans="7:12" x14ac:dyDescent="0.2">
      <c r="G56" s="18" t="str">
        <f>+[1]Инвойс!G13</f>
        <v xml:space="preserve">Грузополучатель: </v>
      </c>
      <c r="L56" s="126" t="s">
        <v>163</v>
      </c>
    </row>
    <row r="57" spans="7:12" x14ac:dyDescent="0.2">
      <c r="G57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6:M36"/>
    <mergeCell ref="A37:M37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8:M38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5:B35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2.75" x14ac:dyDescent="0.2"/>
  <sheetData>
    <row r="1" spans="1:11" ht="28.5" customHeight="1" x14ac:dyDescent="0.2">
      <c r="A1" s="131" t="s">
        <v>121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x14ac:dyDescent="0.2">
      <c r="A2" s="18" t="s">
        <v>122</v>
      </c>
    </row>
    <row r="5" spans="1:11" ht="12.75" customHeight="1" x14ac:dyDescent="0.2">
      <c r="A5" s="131" t="s">
        <v>152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1" x14ac:dyDescent="0.2">
      <c r="A6" s="18" t="s">
        <v>123</v>
      </c>
    </row>
    <row r="9" spans="1:11" ht="12.75" customHeight="1" x14ac:dyDescent="0.2">
      <c r="A9" s="131" t="s">
        <v>114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x14ac:dyDescent="0.2">
      <c r="A10" s="18" t="s">
        <v>115</v>
      </c>
    </row>
    <row r="13" spans="1:11" ht="12.75" customHeight="1" x14ac:dyDescent="0.2">
      <c r="A13" s="131" t="s">
        <v>124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</row>
    <row r="14" spans="1:11" x14ac:dyDescent="0.2">
      <c r="A14" s="18" t="s">
        <v>125</v>
      </c>
    </row>
    <row r="17" spans="1:14" ht="12.75" customHeight="1" x14ac:dyDescent="0.2">
      <c r="A17" s="131" t="s">
        <v>126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M17" s="70" t="s">
        <v>133</v>
      </c>
    </row>
    <row r="18" spans="1:14" x14ac:dyDescent="0.2">
      <c r="A18" s="18" t="s">
        <v>127</v>
      </c>
      <c r="M18" s="70" t="s">
        <v>134</v>
      </c>
    </row>
    <row r="20" spans="1:14" x14ac:dyDescent="0.2">
      <c r="N20" s="170" t="s">
        <v>135</v>
      </c>
    </row>
    <row r="21" spans="1:14" ht="12.75" customHeight="1" x14ac:dyDescent="0.2">
      <c r="A21" s="131" t="s">
        <v>128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N21" s="153"/>
    </row>
    <row r="22" spans="1:14" x14ac:dyDescent="0.2">
      <c r="A22" s="18" t="s">
        <v>129</v>
      </c>
    </row>
    <row r="25" spans="1:14" ht="12.75" customHeight="1" x14ac:dyDescent="0.2">
      <c r="A25" s="131" t="s">
        <v>130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</row>
    <row r="26" spans="1:14" x14ac:dyDescent="0.2">
      <c r="A26" s="18" t="s">
        <v>131</v>
      </c>
    </row>
    <row r="29" spans="1:14" ht="12.75" customHeight="1" x14ac:dyDescent="0.2">
      <c r="A29" s="131" t="s">
        <v>136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spans="1:14" x14ac:dyDescent="0.2">
      <c r="A30" s="18" t="s">
        <v>153</v>
      </c>
    </row>
    <row r="32" spans="1:14" x14ac:dyDescent="0.2">
      <c r="A32" s="171" t="s">
        <v>154</v>
      </c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">
      <c r="A33" s="18" t="s">
        <v>155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1" t="s">
        <v>156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">
      <c r="A36" s="18" t="s">
        <v>157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Инвойс!M35</f>
        <v>25537.5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пятьсот тридцать семь долларов США, 50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45897</v>
      </c>
      <c r="O3" s="175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пять тысяч пятьсот тридцать семь долларов США, 50 центов. (в т.ч. НДС - 357,79)</v>
      </c>
      <c r="H4" s="32"/>
      <c r="I4" s="32"/>
      <c r="J4" s="32"/>
      <c r="K4" s="176" t="str">
        <f ca="1">CONCATENATE(" «  ",P3,"  »  ",Q3,"  ",R3," г.")</f>
        <v xml:space="preserve"> «  28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пятьсот тридцать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пятьсот тридцать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пятьсот тридцать семь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25537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2553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25537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537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cp:lastPrinted>2025-08-27T19:12:44Z</cp:lastPrinted>
  <dcterms:created xsi:type="dcterms:W3CDTF">1996-10-14T23:33:28Z</dcterms:created>
  <dcterms:modified xsi:type="dcterms:W3CDTF">2025-08-27T19:12:51Z</dcterms:modified>
</cp:coreProperties>
</file>