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DD31900-2E87-465E-9996-12C3C0DBB9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<sst xmlns="http://schemas.openxmlformats.org/spreadsheetml/2006/main" count="209" uniqueCount="163">
  <si>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</si>
  <si>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</si>
  <si>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</si>
  <si>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</si>
  <si>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</si>
  <si>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</si>
  <si>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</si>
  <si>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</si>
  <si>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</si>
  <si>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</si>
  <si>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</si>
  <si>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</si>
  <si>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</si>
  <si>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</si>
  <si>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</si>
  <si>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</si>
  <si>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</si>
  <si>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</si>
  <si>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</si>
  <si>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</si>
  <si>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</si>
  <si>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</si>
  <si>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</si>
  <si>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</si>
  <si>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</si>
  <si>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</si>
  <si>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</si>
  <si>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</si>
  <si>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</si>
  <si>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</si>
  <si>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</si>
  <si>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</si>
  <si>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</si>
  <si>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</si>
  <si>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</si>
  <si>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</si>
  <si>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</si>
  <si>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</si>
  <si>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</si>
  <si>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</si>
  <si>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</si>
  <si>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</si>
  <si>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</si>
  <si>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</si>
  <si>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</si>
  <si>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</si>
  <si>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</si>
  <si>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</si>
  <si>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</si>
  <si>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</si>
  <si>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</si>
  <si>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</si>
  <si>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</si>
  <si>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</si>
  <si>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</si>
  <si>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</si>
  <si>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</si>
  <si>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</si>
  <si>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</si>
  <si>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</si>
  <si>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</si>
  <si>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</si>
  <si>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</si>
  <si>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</si>
  <si>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</si>
  <si>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</si>
  <si>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</si>
  <si>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</si>
  <si>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</si>
  <si>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</si>
  <si>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</si>
  <si>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</si>
  <si>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</si>
  <si>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</si>
  <si>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</si>
  <si>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</si>
  <si>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</si>
  <si>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</si>
  <si>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</si>
  <si>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</si>
  <si>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</si>
  <si>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</si>
  <si>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</si>
  <si>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</si>
  <si>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</si>
  <si>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</si>
  <si>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</si>
  <si>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</si>
  <si>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</si>
  <si>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</si>
  <si>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</si>
  <si>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</si>
  <si>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</si>
  <si>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</si>
  <si>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</si>
  <si>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</si>
  <si>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</si>
  <si>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</si>
  <si>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</si>
  <si>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</si>
  <si>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</si>
  <si>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</si>
  <si>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</si>
  <si>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</si>
  <si>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</si>
  <si>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</si>
  <si>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</si>
  <si>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</si>
  <si>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</si>
  <si>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</si>
  <si>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</si>
  <si>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</si>
  <si>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</si>
  <si>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</si>
  <si>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</si>
  <si>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</si>
  <si>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</si>
  <si>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</si>
  <si>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</si>
  <si>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</si>
  <si>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</si>
  <si>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</si>
  <si>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</si>
  <si>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</si>
  <si>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</si>
  <si>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</si>
  <si>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</si>
  <si>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</si>
  <si>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</si>
  <si>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</si>
  <si>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</si>
  <si>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</si>
  <si>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</si>
  <si>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</si>
  <si>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</si>
  <si>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</si>
  <si>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</si>
  <si>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</si>
  <si>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</si>
  <si>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</si>
  <si>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</si>
  <si>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</si>
  <si>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</si>
  <si>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</si>
  <si>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</si>
  <si>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</si>
  <si>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</si>
  <si>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</si>
  <si>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</si>
  <si>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</si>
  <si>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</si>
  <si>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</si>
  <si>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</si>
  <si>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</si>
  <si>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</si>
  <si>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</si>
  <si>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</si>
  <si>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</si>
  <si>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</si>
  <si>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GWG-O-8 от </t>
  </si>
  <si>
    <t xml:space="preserve"> 03.09.2025г.</t>
  </si>
  <si>
    <t>40829YBA/406753BA</t>
  </si>
  <si>
    <t xml:space="preserve">СПЕЦИФИКАЦИЯ № GWG-O-8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</si>
</sst>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159</v>
      </c>
      <c r="D1" s="153"/>
      <c r="E1" s="153"/>
      <c r="F1" s="152" t="s">
        <v>160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148</v>
      </c>
      <c r="B5" s="154"/>
      <c r="C5" s="154"/>
      <c r="D5" s="154"/>
      <c r="E5" s="154"/>
      <c r="F5" s="6"/>
      <c r="G5" s="147" t="s">
        <v>130</v>
      </c>
      <c r="H5" s="147"/>
      <c r="I5" s="147"/>
      <c r="J5" s="147"/>
      <c r="K5" s="147"/>
      <c r="L5" s="147"/>
      <c r="M5" s="147"/>
    </row>
    <row r="6" spans="1:15" ht="13.8" x14ac:dyDescent="0.25">
      <c r="A6" s="126" t="s">
        <v>150</v>
      </c>
      <c r="B6" s="125"/>
      <c r="C6" s="125"/>
      <c r="D6" s="125"/>
      <c r="E6" s="125"/>
      <c r="F6" s="7"/>
      <c r="G6" s="142" t="s">
        <v>131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26" t="s">
        <v>151</v>
      </c>
      <c r="B7" s="125"/>
      <c r="C7" s="125"/>
      <c r="D7" s="125"/>
      <c r="E7" s="125"/>
      <c r="F7" s="63"/>
      <c r="G7" s="142" t="s">
        <v>132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137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148</v>
      </c>
      <c r="B14" s="154"/>
      <c r="C14" s="154"/>
      <c r="D14" s="154"/>
      <c r="E14" s="154"/>
      <c r="F14" s="6"/>
      <c r="G14" s="147" t="s">
        <v>130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26" t="s">
        <v>150</v>
      </c>
      <c r="B15" s="125"/>
      <c r="C15" s="125"/>
      <c r="D15" s="125"/>
      <c r="E15" s="125"/>
      <c r="F15" s="7"/>
      <c r="G15" s="142" t="s">
        <v>131</v>
      </c>
      <c r="H15" s="142"/>
      <c r="I15" s="142"/>
      <c r="J15" s="142"/>
      <c r="K15" s="142"/>
      <c r="L15" s="142"/>
      <c r="M15" s="142"/>
    </row>
    <row r="16" spans="1:15" ht="13.8" x14ac:dyDescent="0.25">
      <c r="A16" s="126" t="s">
        <v>151</v>
      </c>
      <c r="B16" s="125"/>
      <c r="C16" s="125"/>
      <c r="D16" s="125"/>
      <c r="E16" s="125"/>
      <c r="F16" s="63"/>
      <c r="G16" s="142" t="s">
        <v>132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137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9" t="s">
        <v>126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6" x14ac:dyDescent="0.3">
      <c r="A24" s="20" t="s">
        <v>22</v>
      </c>
      <c r="C24" s="18" t="s">
        <v>142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">
        <v>161</v>
      </c>
      <c r="F26" s="141"/>
      <c r="G26" s="141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920</v>
      </c>
      <c r="F30" s="110" t="s">
        <v>27</v>
      </c>
      <c r="G30" s="106">
        <v>22500</v>
      </c>
      <c r="H30" s="106">
        <v>20844</v>
      </c>
      <c r="I30" s="108">
        <v>0.25</v>
      </c>
      <c r="J30" s="13">
        <f t="shared" ref="J30" si="0">H30*I30</f>
        <v>5211</v>
      </c>
      <c r="K30" s="12">
        <v>0</v>
      </c>
      <c r="L30" s="12">
        <v>0</v>
      </c>
      <c r="M30" s="13">
        <f t="shared" ref="M30" si="1">J30</f>
        <v>5211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22500</v>
      </c>
      <c r="H31" s="64">
        <f>SUM(H30:H30)</f>
        <v>20844</v>
      </c>
      <c r="I31" s="102"/>
      <c r="J31" s="17">
        <f>SUM(J30:J30)</f>
        <v>5211</v>
      </c>
      <c r="K31" s="16"/>
      <c r="L31" s="16"/>
      <c r="M31" s="17">
        <f>SUM(M30:M30)</f>
        <v>5211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двести одиннадцать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03.09.2025г.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GWG-O-8 от  03.09.2025г.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03.09.2025г.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40829YBA/406753BA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36" sqref="G36:H3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40829YBA/406753BA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03.09.2025г.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GWG-O-8 от  03.09.2025г.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920</v>
      </c>
      <c r="G18" s="162" t="str">
        <f>+CMR!F30</f>
        <v>Дыни свежие</v>
      </c>
      <c r="H18" s="162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2"/>
      <c r="H20" s="162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2"/>
      <c r="H22" s="162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2"/>
      <c r="H24" s="162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2"/>
      <c r="H26" s="162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2"/>
      <c r="H28" s="162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2"/>
      <c r="H30" s="162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2"/>
      <c r="H32" s="162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2"/>
      <c r="H34" s="162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2"/>
      <c r="H36" s="162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2"/>
      <c r="H38" s="162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2"/>
      <c r="H42" s="162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4"/>
      <c r="H44" s="164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920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C30" sqref="C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162</v>
      </c>
      <c r="C1" s="171"/>
      <c r="D1" s="171"/>
      <c r="E1" s="171"/>
      <c r="F1" s="152" t="str">
        <f>+Инвойс!F1</f>
        <v xml:space="preserve"> 03.09.2025г.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GW-GV-01 от 30.08.2025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 xml:space="preserve">OOO «GOOD WILL EXPORT» 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4" t="str">
        <f>+Инвойс!A6</f>
        <v xml:space="preserve">Республика Узбекистан, Джизакская область, 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Зарбдарский район, Ровот МФЙ, ул. Лойихада дом 1/1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Р/с N 2020 8840 8055 4748 4001 USD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в «ТУРОНБАНК» АКБ Головной офис (Ташкент)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МФО: 00446, SWIFT: TUROUZ22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ИНН: 309713324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 xml:space="preserve">OOO «GOOD WILL EXPORT» 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4" t="str">
        <f>+Инвойс!A15</f>
        <v xml:space="preserve">Республика Узбекистан, Джизакская область, 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Зарбдарский район, Ровот МФЙ, ул. Лойихада дом 1/1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Р/с N 2020 8840 8055 4748 4001 USD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в «ТУРОНБАНК» АКБ Головной офис (Ташкент)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МФО: 00446, SWIFT: TUROUZ22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ИНН: 309713324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tr">
        <f>+Инвойс!E26</f>
        <v>40829YBA/406753BA</v>
      </c>
      <c r="F26" s="141"/>
      <c r="G26" s="141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6.4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tr">
        <f>+Инвойс!F30</f>
        <v>кг</v>
      </c>
      <c r="G30" s="106">
        <f>+Инвойс!G30</f>
        <v>22500</v>
      </c>
      <c r="H30" s="106">
        <f>+Инвойс!H30</f>
        <v>20844</v>
      </c>
      <c r="I30" s="108">
        <f>+Инвойс!I30</f>
        <v>0.25</v>
      </c>
      <c r="J30" s="13">
        <f>+Инвойс!J30</f>
        <v>5211</v>
      </c>
      <c r="K30" s="12">
        <v>0</v>
      </c>
      <c r="L30" s="12">
        <v>0</v>
      </c>
      <c r="M30" s="13">
        <f>+Инвойс!M30</f>
        <v>5211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22500</v>
      </c>
      <c r="H31" s="64">
        <f>SUM(H30:H30)</f>
        <v>20844</v>
      </c>
      <c r="I31" s="102"/>
      <c r="J31" s="17">
        <f>SUM(J30:J30)</f>
        <v>5211</v>
      </c>
      <c r="K31" s="16"/>
      <c r="L31" s="16"/>
      <c r="M31" s="17">
        <f>SUM(M30:M30)</f>
        <v>5211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двести одиннадцать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5211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одиннадцать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45903</v>
      </c>
      <c r="O3" s="178"/>
      <c r="P3">
        <f ca="1">DAY(N3)</f>
        <v>3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одиннадцать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3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одиннадцать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одиннадцать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одиннадцать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45903</v>
      </c>
    </row>
    <row r="13" spans="1:19" s="43" customFormat="1" x14ac:dyDescent="0.25">
      <c r="A13" s="49"/>
      <c r="D13" s="51"/>
      <c r="E13" s="52">
        <f>TRUNC(E2)</f>
        <v>5211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5211</v>
      </c>
      <c r="B29" s="47">
        <f>TRUNC(RIGHT(A29))</f>
        <v>1</v>
      </c>
      <c r="C29" s="51">
        <f>IF(B28=1,B29+10,IF(B29=0,0,B29))</f>
        <v>11</v>
      </c>
      <c r="D29" s="43" t="str">
        <f>IF(AND(C29&gt;9,C29&lt;16),IF(C29=10,D34,IF(C29=11,D35,IF(C29=12,D36,IF(C29=13,D37,IF(C29=14,D38,IF(C29=15,D39,)))))),"")</f>
        <v xml:space="preserve">одиннадцать </v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211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2025-09-03T12:26:45Z</cp:lastPrinted>
  <dcterms:created xsi:type="dcterms:W3CDTF">1996-10-14T23:33:28Z</dcterms:created>
  <dcterms:modified xsi:type="dcterms:W3CDTF">2025-09-03T12:27:00Z</dcterms:modified>
</cp:coreProperties>
</file>