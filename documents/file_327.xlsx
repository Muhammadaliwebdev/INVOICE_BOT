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<sst xmlns="http://schemas.openxmlformats.org/spreadsheetml/2006/main" count="216" uniqueCount="166">
  <si>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</si>
  <si>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</si>
  <si>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</si>
  <si>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</si>
  <si>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</si>
  <si>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</si>
  <si>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</si>
  <si>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</si>
  <si>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</si>
  <si>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</si>
  <si>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</si>
  <si>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</si>
  <si>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</si>
  <si>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</si>
  <si>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</si>
  <si>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</si>
  <si>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</si>
  <si>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</si>
  <si>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</si>
  <si>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</si>
  <si>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</si>
  <si>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</si>
  <si>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</si>
  <si>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</si>
  <si>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</si>
  <si>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</si>
  <si>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</si>
  <si>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</si>
  <si>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</si>
  <si>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</si>
  <si>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</si>
  <si>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</si>
  <si>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</si>
  <si>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</si>
  <si>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</si>
  <si>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</si>
  <si>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</si>
  <si>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</si>
  <si>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</si>
  <si>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</si>
  <si>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</si>
  <si>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</si>
  <si>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</si>
  <si>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</si>
  <si>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</si>
  <si>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</si>
  <si>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</si>
  <si>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</si>
  <si>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</si>
  <si>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</si>
  <si>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</si>
  <si>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</si>
  <si>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</si>
  <si>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</si>
  <si>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</si>
  <si>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</si>
  <si>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</si>
  <si>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</si>
  <si>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</si>
  <si>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</si>
  <si>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</si>
  <si>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</si>
  <si>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</si>
  <si>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</si>
  <si>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</si>
  <si>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</si>
  <si>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</si>
  <si>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</si>
  <si>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</si>
  <si>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</si>
  <si>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</si>
  <si>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</si>
  <si>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</si>
  <si>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</si>
  <si>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</si>
  <si>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</si>
  <si>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</si>
  <si>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</si>
  <si>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</si>
  <si>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</si>
  <si>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</si>
  <si>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</si>
  <si>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</si>
  <si>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</si>
  <si>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</si>
  <si>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</si>
  <si>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</si>
  <si>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</si>
  <si>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</si>
  <si>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</si>
  <si>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</si>
  <si>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</si>
  <si>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</si>
  <si>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</si>
  <si>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</si>
  <si>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</si>
  <si>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</si>
  <si>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</si>
  <si>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</si>
  <si>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</si>
  <si>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</si>
  <si>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</si>
  <si>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</si>
  <si>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</si>
  <si>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</si>
  <si>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</si>
  <si>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</si>
  <si>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</si>
  <si>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</si>
  <si>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</si>
  <si>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</si>
  <si>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</si>
  <si>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</si>
  <si>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</si>
  <si>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</si>
  <si>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</si>
  <si>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</si>
  <si>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</si>
  <si>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</si>
  <si>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</si>
  <si>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</si>
  <si>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</si>
  <si>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</si>
  <si>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</si>
  <si>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</si>
  <si>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</si>
  <si>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</si>
  <si>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</si>
  <si>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</si>
  <si>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</si>
  <si>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</si>
  <si>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</si>
  <si>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</si>
  <si>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</si>
  <si>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</si>
  <si>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</si>
  <si>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</si>
  <si>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</si>
  <si>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</si>
  <si>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</si>
  <si>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</si>
  <si>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</si>
  <si>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</si>
  <si>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</si>
  <si>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</si>
  <si>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</si>
  <si>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</si>
  <si>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</si>
  <si>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</si>
  <si>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</si>
  <si>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</si>
  <si>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</si>
  <si>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</si>
  <si>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</si>
  <si>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</si>
  <si>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</si>
  <si>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</si>
  <si>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</si>
  <si>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</si>
  <si>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</si>
  <si>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</si>
  <si>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</si>
  <si>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</si>
  <si>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UFG-M-41 от </t>
  </si>
  <si>
    <t>10Q599WA/105089BA</t>
  </si>
  <si>
    <t xml:space="preserve">СПЕЦИФИКАЦИЯ № UFG-M-41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</si>
</sst>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163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154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155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150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156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157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152</v>
      </c>
      <c r="B10" s="124"/>
      <c r="C10" s="124"/>
      <c r="D10" s="124"/>
      <c r="E10" s="124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153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158</v>
      </c>
      <c r="B12" s="8"/>
      <c r="C12" s="8"/>
      <c r="D12" s="8"/>
      <c r="E12" s="8"/>
      <c r="F12" s="7"/>
      <c r="G12" s="144" t="s">
        <v>148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155</v>
      </c>
      <c r="B14" s="155"/>
      <c r="C14" s="155"/>
      <c r="D14" s="155"/>
      <c r="E14" s="155"/>
      <c r="F14" s="6"/>
      <c r="G14" s="148" t="s">
        <v>142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150</v>
      </c>
      <c r="B15" s="142"/>
      <c r="C15" s="142"/>
      <c r="D15" s="142"/>
      <c r="E15" s="142"/>
      <c r="F15" s="7"/>
      <c r="G15" s="141" t="s">
        <v>143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156</v>
      </c>
      <c r="B16" s="142"/>
      <c r="C16" s="142"/>
      <c r="D16" s="142"/>
      <c r="E16" s="142"/>
      <c r="F16" s="63"/>
      <c r="G16" s="141" t="s">
        <v>144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145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157</v>
      </c>
      <c r="B18" s="8"/>
      <c r="C18" s="8"/>
      <c r="D18" s="8"/>
      <c r="E18" s="8"/>
      <c r="F18" s="7"/>
      <c r="G18" s="7" t="s">
        <v>146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152</v>
      </c>
      <c r="B19" s="124"/>
      <c r="C19" s="124"/>
      <c r="D19" s="124"/>
      <c r="E19" s="124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153</v>
      </c>
      <c r="B20" s="8"/>
      <c r="C20" s="8"/>
      <c r="D20" s="8"/>
      <c r="E20" s="8"/>
      <c r="F20" s="7"/>
      <c r="G20" s="7" t="s">
        <v>147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158</v>
      </c>
      <c r="B21" s="8"/>
      <c r="C21" s="8"/>
      <c r="D21" s="8"/>
      <c r="E21" s="8"/>
      <c r="G21" s="144" t="s">
        <v>148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140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164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25" t="s">
        <v>117</v>
      </c>
      <c r="C30" s="107" t="s">
        <v>126</v>
      </c>
      <c r="D30" s="109" t="s">
        <v>111</v>
      </c>
      <c r="E30" s="101">
        <v>1133</v>
      </c>
      <c r="F30" s="115" t="s">
        <v>27</v>
      </c>
      <c r="G30" s="106">
        <v>20500</v>
      </c>
      <c r="H30" s="106">
        <v>18801</v>
      </c>
      <c r="I30" s="108">
        <v>0.4</v>
      </c>
      <c r="J30" s="13">
        <f t="shared" ref="J30:J31" si="0">H30*I30</f>
        <v>7520.4000000000005</v>
      </c>
      <c r="K30" s="12">
        <v>0</v>
      </c>
      <c r="L30" s="12">
        <v>0</v>
      </c>
      <c r="M30" s="13">
        <f t="shared" ref="M30:M31" si="1">J30</f>
        <v>7520.4000000000005</v>
      </c>
      <c r="O30" s="100"/>
      <c r="Q30" s="100"/>
    </row>
    <row r="31" spans="1:17" ht="30" x14ac:dyDescent="0.2">
      <c r="A31" s="127">
        <v>2</v>
      </c>
      <c r="B31" s="125" t="s">
        <v>115</v>
      </c>
      <c r="C31" s="107" t="s">
        <v>116</v>
      </c>
      <c r="D31" s="109" t="s">
        <v>111</v>
      </c>
      <c r="E31" s="101">
        <v>110</v>
      </c>
      <c r="F31" s="115" t="s">
        <v>27</v>
      </c>
      <c r="G31" s="106">
        <v>1067</v>
      </c>
      <c r="H31" s="106">
        <v>957</v>
      </c>
      <c r="I31" s="108">
        <v>1.05</v>
      </c>
      <c r="J31" s="13">
        <f t="shared" si="0"/>
        <v>1004.85</v>
      </c>
      <c r="K31" s="12">
        <v>0</v>
      </c>
      <c r="L31" s="12">
        <v>0</v>
      </c>
      <c r="M31" s="13">
        <f t="shared" si="1"/>
        <v>1004.85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1243</v>
      </c>
      <c r="F32" s="15"/>
      <c r="G32" s="64">
        <f>SUM(G30:G31)</f>
        <v>21567</v>
      </c>
      <c r="H32" s="64">
        <f>SUM(H30:H31)</f>
        <v>19758</v>
      </c>
      <c r="I32" s="102"/>
      <c r="J32" s="17">
        <f>SUM(J30:J31)</f>
        <v>8525.25</v>
      </c>
      <c r="K32" s="16"/>
      <c r="L32" s="16"/>
      <c r="M32" s="17">
        <f>SUM(M30:M31)</f>
        <v>8525.25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Восемь тысяч пятьсот двадцать пять долларов США, 25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28</v>
      </c>
      <c r="B37" s="7"/>
      <c r="D37" s="25" t="s">
        <v>159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UFG-M-41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1133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20500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110</v>
      </c>
      <c r="D31" s="103" t="str">
        <f>+Инвойс!D31</f>
        <v>Пласт. ящик</v>
      </c>
      <c r="E31" s="103"/>
      <c r="F31" s="103" t="str">
        <f>+Инвойс!B31</f>
        <v>Перец горький свежий</v>
      </c>
      <c r="G31" s="104" t="str">
        <f>+Инвойс!C31</f>
        <v>0709609900</v>
      </c>
      <c r="H31" s="103"/>
      <c r="I31" s="105">
        <f>+Инвойс!G31</f>
        <v>1067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10Q599WA/105089BA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10Q599WA/105089BA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UFG-M-41 от  31.08.2025г.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1133</v>
      </c>
      <c r="G18" s="163" t="str">
        <f>+CMR!F30</f>
        <v>Перец стручковый сладкий свежий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20500</v>
      </c>
    </row>
    <row r="20" spans="2:10" ht="13.5" customHeight="1" x14ac:dyDescent="0.25">
      <c r="B20" s="83"/>
      <c r="E20" s="122"/>
      <c r="F20" s="117">
        <f>+Инвойс!E31</f>
        <v>110</v>
      </c>
      <c r="G20" s="163" t="str">
        <f>+CMR!F31</f>
        <v>Перец горький свежий</v>
      </c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0709609900</v>
      </c>
      <c r="H21" s="162"/>
      <c r="I21" s="121" t="s">
        <v>103</v>
      </c>
      <c r="J21" s="119">
        <f>+Инвойс!G31</f>
        <v>1067</v>
      </c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61"/>
      <c r="H23" s="162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61"/>
      <c r="H25" s="162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61"/>
      <c r="H27" s="162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61"/>
      <c r="H29" s="162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61"/>
      <c r="H31" s="162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61"/>
      <c r="H33" s="162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61"/>
      <c r="H35" s="162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61"/>
      <c r="H37" s="162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61"/>
      <c r="H41" s="162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61"/>
      <c r="H43" s="162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1243</v>
      </c>
      <c r="E47" s="142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165</v>
      </c>
      <c r="C1" s="171"/>
      <c r="D1" s="171"/>
      <c r="E1" s="171"/>
      <c r="F1" s="153" t="str">
        <f>+Инвойс!F1</f>
        <v xml:space="preserve"> 31.08.2025г.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25">
      <c r="A22" s="1" t="s">
        <v>128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10Q599WA/105089BA</v>
      </c>
      <c r="F26" s="140"/>
      <c r="G26" s="140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1133</v>
      </c>
      <c r="F30" s="115" t="str">
        <f>+Инвойс!F30</f>
        <v>кг</v>
      </c>
      <c r="G30" s="106">
        <f>+Инвойс!G30</f>
        <v>20500</v>
      </c>
      <c r="H30" s="106">
        <f>+Инвойс!H30</f>
        <v>18801</v>
      </c>
      <c r="I30" s="108">
        <f>+Инвойс!I30</f>
        <v>0.4</v>
      </c>
      <c r="J30" s="13">
        <f>+Инвойс!J30</f>
        <v>7520.4000000000005</v>
      </c>
      <c r="K30" s="12">
        <v>0</v>
      </c>
      <c r="L30" s="12">
        <v>0</v>
      </c>
      <c r="M30" s="13">
        <f>+Инвойс!M30</f>
        <v>7520.4000000000005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Перец горький свежий</v>
      </c>
      <c r="C31" s="107" t="str">
        <f>+Инвойс!C31</f>
        <v>0709609900</v>
      </c>
      <c r="D31" s="114" t="str">
        <f>+Инвойс!D31</f>
        <v>Пласт. ящик</v>
      </c>
      <c r="E31" s="101">
        <f>+Инвойс!E31</f>
        <v>110</v>
      </c>
      <c r="F31" s="115" t="str">
        <f>+Инвойс!F31</f>
        <v>кг</v>
      </c>
      <c r="G31" s="106">
        <f>+Инвойс!G31</f>
        <v>1067</v>
      </c>
      <c r="H31" s="106">
        <f>+Инвойс!H31</f>
        <v>957</v>
      </c>
      <c r="I31" s="108">
        <f>+Инвойс!I31</f>
        <v>1.05</v>
      </c>
      <c r="J31" s="13">
        <f>+Инвойс!J31</f>
        <v>1004.85</v>
      </c>
      <c r="K31" s="12">
        <v>0</v>
      </c>
      <c r="L31" s="12">
        <v>0</v>
      </c>
      <c r="M31" s="13">
        <f>+Инвойс!M31</f>
        <v>1004.85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1243</v>
      </c>
      <c r="F32" s="15"/>
      <c r="G32" s="64">
        <f>SUM(G30:G31)</f>
        <v>21567</v>
      </c>
      <c r="H32" s="64">
        <f>SUM(H30:H31)</f>
        <v>19758</v>
      </c>
      <c r="I32" s="102"/>
      <c r="J32" s="17">
        <f>SUM(J30:J31)</f>
        <v>8525.25</v>
      </c>
      <c r="K32" s="16"/>
      <c r="L32" s="16"/>
      <c r="M32" s="17">
        <f>SUM(M30:M31)</f>
        <v>8525.25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Восемь тысяч пятьсот двадцать пять долларов США, 25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160</v>
      </c>
      <c r="B37" s="131"/>
      <c r="D37" s="18" t="str">
        <f>+Инвойс!D37</f>
        <v>ЭШТЕМИРОВ Х.Х</v>
      </c>
      <c r="E37" s="132"/>
      <c r="G37" s="129" t="s">
        <v>132</v>
      </c>
      <c r="H37" s="18" t="str">
        <f>Инвойс!G5</f>
        <v>ООО «ГРИН ВОРЛД»</v>
      </c>
      <c r="K37" s="133" t="s">
        <v>149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119</v>
      </c>
    </row>
    <row r="3" spans="1:10" ht="51" x14ac:dyDescent="0.2">
      <c r="A3" s="130" t="s">
        <v>130</v>
      </c>
    </row>
    <row r="5" spans="1:10" ht="38.25" x14ac:dyDescent="0.2">
      <c r="A5" s="126" t="s">
        <v>120</v>
      </c>
    </row>
    <row r="6" spans="1:10" x14ac:dyDescent="0.2">
      <c r="E6" s="18" t="s">
        <v>131</v>
      </c>
      <c r="J6" s="25" t="s">
        <v>134</v>
      </c>
    </row>
    <row r="7" spans="1:10" ht="51" x14ac:dyDescent="0.2">
      <c r="A7" s="126" t="s">
        <v>121</v>
      </c>
    </row>
    <row r="8" spans="1:10" x14ac:dyDescent="0.2">
      <c r="E8" s="18" t="s">
        <v>140</v>
      </c>
      <c r="J8" s="25" t="s">
        <v>135</v>
      </c>
    </row>
    <row r="9" spans="1:10" ht="51" x14ac:dyDescent="0.2">
      <c r="A9" s="126" t="s">
        <v>122</v>
      </c>
    </row>
    <row r="10" spans="1:10" x14ac:dyDescent="0.2">
      <c r="A10" s="126"/>
      <c r="E10" s="18" t="s">
        <v>136</v>
      </c>
      <c r="J10" s="25" t="s">
        <v>137</v>
      </c>
    </row>
    <row r="11" spans="1:10" ht="51" x14ac:dyDescent="0.2">
      <c r="A11" s="126" t="s">
        <v>162</v>
      </c>
    </row>
    <row r="12" spans="1:10" x14ac:dyDescent="0.2">
      <c r="E12" s="18" t="s">
        <v>138</v>
      </c>
      <c r="J12" s="25" t="s">
        <v>139</v>
      </c>
    </row>
    <row r="13" spans="1:10" ht="51" x14ac:dyDescent="0.2">
      <c r="A13" s="126" t="s">
        <v>123</v>
      </c>
    </row>
    <row r="15" spans="1:10" ht="38.25" x14ac:dyDescent="0.2">
      <c r="A15" s="126" t="s">
        <v>124</v>
      </c>
    </row>
    <row r="17" spans="1:1" ht="38.25" x14ac:dyDescent="0.2">
      <c r="A17" s="126" t="s">
        <v>125</v>
      </c>
    </row>
    <row r="19" spans="1:1" ht="38.25" x14ac:dyDescent="0.2">
      <c r="A19" s="128" t="s">
        <v>127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8525.25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Восемь тысяч пятьсот двадцать пять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Восемь тысяч пятьсот двадцать пять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восемь тысяч пятьсот двадцать пять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восемь тысяч пятьсот двадцать пять долларов США, 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пятьсот двадцать пять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8525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85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852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8525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2025-08-31T16:28:10Z</cp:lastPrinted>
  <dcterms:created xsi:type="dcterms:W3CDTF">1996-10-14T23:33:28Z</dcterms:created>
  <dcterms:modified xsi:type="dcterms:W3CDTF">2025-08-31T16:28:11Z</dcterms:modified>
</cp:coreProperties>
</file>