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<sst xmlns="http://schemas.openxmlformats.org/spreadsheetml/2006/main" count="209" uniqueCount="163">
  <si>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</si>
  <si>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</si>
  <si>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</si>
  <si>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</si>
  <si>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</si>
  <si>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</si>
  <si>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</si>
  <si>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</si>
  <si>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</si>
  <si>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</si>
  <si>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</si>
  <si>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</si>
  <si>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</si>
  <si>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</si>
  <si>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</si>
  <si>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</si>
  <si>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</si>
  <si>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</si>
  <si>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</si>
  <si>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</si>
  <si>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</si>
  <si>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</si>
  <si>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</si>
  <si>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</si>
  <si>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</si>
  <si>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</si>
  <si>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</si>
  <si>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</si>
  <si>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</si>
  <si>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</si>
  <si>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</si>
  <si>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</si>
  <si>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</si>
  <si>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</si>
  <si>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</si>
  <si>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</si>
  <si>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</si>
  <si>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</si>
  <si>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</si>
  <si>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</si>
  <si>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</si>
  <si>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</si>
  <si>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</si>
  <si>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</si>
  <si>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</si>
  <si>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</si>
  <si>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</si>
  <si>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</si>
  <si>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</si>
  <si>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</si>
  <si>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</si>
  <si>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</si>
  <si>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</si>
  <si>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</si>
  <si>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</si>
  <si>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</si>
  <si>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</si>
  <si>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</si>
  <si>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</si>
  <si>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</si>
  <si>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</si>
  <si>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</si>
  <si>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</si>
  <si>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</si>
  <si>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</si>
  <si>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</si>
  <si>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</si>
  <si>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</si>
  <si>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</si>
  <si>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</si>
  <si>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</si>
  <si>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</si>
  <si>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</si>
  <si>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</si>
  <si>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</si>
  <si>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</si>
  <si>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</si>
  <si>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</si>
  <si>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</si>
  <si>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</si>
  <si>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</si>
  <si>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</si>
  <si>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</si>
  <si>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</si>
  <si>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</si>
  <si>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</si>
  <si>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</si>
  <si>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</si>
  <si>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</si>
  <si>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</si>
  <si>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</si>
  <si>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</si>
  <si>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</si>
  <si>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</si>
  <si>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</si>
  <si>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</si>
  <si>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</si>
  <si>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</si>
  <si>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</si>
  <si>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</si>
  <si>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</si>
  <si>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</si>
  <si>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</si>
  <si>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</si>
  <si>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</si>
  <si>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</si>
  <si>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</si>
  <si>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</si>
  <si>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</si>
  <si>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</si>
  <si>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</si>
  <si>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</si>
  <si>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</si>
  <si>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</si>
  <si>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</si>
  <si>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</si>
  <si>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</si>
  <si>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</si>
  <si>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</si>
  <si>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</si>
  <si>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</si>
  <si>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</si>
  <si>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</si>
  <si>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</si>
  <si>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</si>
  <si>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</si>
  <si>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</si>
  <si>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</si>
  <si>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</si>
  <si>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</si>
  <si>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</si>
  <si>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</si>
  <si>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</si>
  <si>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</si>
  <si>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</si>
  <si>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</si>
  <si>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</si>
  <si>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</si>
  <si>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</si>
  <si>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</si>
  <si>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</si>
  <si>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</si>
  <si>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</si>
  <si>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</si>
  <si>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</si>
  <si>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</si>
  <si>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</si>
  <si>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</si>
  <si>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</si>
  <si>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25.08.2025г.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</si>
  <si>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</si>
  <si>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</si>
  <si>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</si>
  <si>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</si>
  <si>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</si>
  <si>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</si>
  <si>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</si>
  <si>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</si>
  <si>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</si>
  <si>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</si>
  <si>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VG-N-8 от </t>
  </si>
  <si>
    <t>01N084TB/013555BA</t>
  </si>
  <si>
    <t xml:space="preserve">СПЕЦИФИКАЦИЯ № VG-N-8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</si>
</sst>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149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150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140</v>
      </c>
      <c r="B5" s="154"/>
      <c r="C5" s="154"/>
      <c r="D5" s="154"/>
      <c r="E5" s="154"/>
      <c r="F5" s="6"/>
      <c r="G5" s="147" t="s">
        <v>151</v>
      </c>
      <c r="H5" s="147"/>
      <c r="I5" s="147"/>
      <c r="J5" s="147"/>
      <c r="K5" s="147"/>
      <c r="L5" s="147"/>
      <c r="M5" s="147"/>
    </row>
    <row r="6" spans="1:15" ht="15" x14ac:dyDescent="0.25">
      <c r="A6" s="142" t="s">
        <v>141</v>
      </c>
      <c r="B6" s="141"/>
      <c r="C6" s="141"/>
      <c r="D6" s="141"/>
      <c r="E6" s="141"/>
      <c r="F6" s="7"/>
      <c r="G6" s="140" t="s">
        <v>152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148</v>
      </c>
      <c r="B7" s="141"/>
      <c r="C7" s="141"/>
      <c r="D7" s="141"/>
      <c r="E7" s="141"/>
      <c r="F7" s="63"/>
      <c r="G7" s="140" t="s">
        <v>153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154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157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140</v>
      </c>
      <c r="B14" s="154"/>
      <c r="C14" s="154"/>
      <c r="D14" s="154"/>
      <c r="E14" s="154"/>
      <c r="F14" s="6"/>
      <c r="G14" s="147" t="s">
        <v>151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141</v>
      </c>
      <c r="B15" s="141"/>
      <c r="C15" s="141"/>
      <c r="D15" s="141"/>
      <c r="E15" s="141"/>
      <c r="F15" s="7"/>
      <c r="G15" s="140" t="s">
        <v>152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148</v>
      </c>
      <c r="B16" s="141"/>
      <c r="C16" s="141"/>
      <c r="D16" s="141"/>
      <c r="E16" s="141"/>
      <c r="F16" s="63"/>
      <c r="G16" s="140" t="s">
        <v>153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154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155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157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5" t="s">
        <v>27</v>
      </c>
      <c r="G30" s="106">
        <v>24400</v>
      </c>
      <c r="H30" s="106">
        <v>22690</v>
      </c>
      <c r="I30" s="108">
        <v>0.25</v>
      </c>
      <c r="J30" s="13">
        <f t="shared" ref="J30" si="0">H30*I30</f>
        <v>5672.5</v>
      </c>
      <c r="K30" s="12">
        <v>0</v>
      </c>
      <c r="L30" s="12">
        <v>0</v>
      </c>
      <c r="M30" s="13">
        <f t="shared" ref="M30" si="1">J30</f>
        <v>5672.5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24400</v>
      </c>
      <c r="H31" s="64">
        <f>SUM(H30:H30)</f>
        <v>22690</v>
      </c>
      <c r="I31" s="102"/>
      <c r="J31" s="17">
        <f>SUM(J30:J30)</f>
        <v>5672.5</v>
      </c>
      <c r="K31" s="16"/>
      <c r="L31" s="16"/>
      <c r="M31" s="17">
        <f>SUM(M30:M30)</f>
        <v>5672.5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шестьсот семьдесят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VG-N-8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24400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01N084TB/013555BA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01N084TB/013555BA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VG-N-8 от  25.08.2025г.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24400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950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25.08.2025г.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01N084TB/013555BA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24400</v>
      </c>
      <c r="H30" s="106">
        <f>+Инвойс!H30</f>
        <v>22690</v>
      </c>
      <c r="I30" s="108">
        <f>+Инвойс!I30</f>
        <v>0.25</v>
      </c>
      <c r="J30" s="13">
        <f>+Инвойс!J30</f>
        <v>5672.5</v>
      </c>
      <c r="K30" s="12">
        <v>0</v>
      </c>
      <c r="L30" s="12">
        <v>0</v>
      </c>
      <c r="M30" s="13">
        <f>+Инвойс!M30</f>
        <v>5672.5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24400</v>
      </c>
      <c r="H31" s="64">
        <f>SUM(H30:H30)</f>
        <v>22690</v>
      </c>
      <c r="I31" s="102"/>
      <c r="J31" s="17">
        <f>SUM(J30:J30)</f>
        <v>5672.5</v>
      </c>
      <c r="K31" s="16"/>
      <c r="L31" s="16"/>
      <c r="M31" s="17">
        <f>SUM(M30:M30)</f>
        <v>5672.5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шестьсот семьдесят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3" sqref="A3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5672.5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шестьсот семьдесят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шестьсот семьдесят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шестьсот семьдесят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шестьсот семьдесят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шестьсот семьдесят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5672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">
      <c r="A28" s="54">
        <f>TRUNC(A29/10)</f>
        <v>567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5672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672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2025-08-26T18:29:13Z</cp:lastPrinted>
  <dcterms:created xsi:type="dcterms:W3CDTF">1996-10-14T23:33:28Z</dcterms:created>
  <dcterms:modified xsi:type="dcterms:W3CDTF">2025-08-26T18:29:20Z</dcterms:modified>
</cp:coreProperties>
</file>