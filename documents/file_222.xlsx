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9235C7B-B9A3-4B4F-AEA6-0F66FBAB39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4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4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4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<sst xmlns="http://schemas.openxmlformats.org/spreadsheetml/2006/main" count="201" uniqueCount="163">
  <si>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</si>
  <si>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</si>
  <si>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</si>
  <si>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</si>
  <si>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</si>
  <si>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</si>
  <si>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</si>
  <si>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</si>
  <si>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</si>
  <si>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</si>
  <si>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</si>
  <si>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</si>
  <si>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</si>
  <si>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</si>
  <si>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</si>
  <si>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</si>
  <si>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</si>
  <si>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</si>
  <si>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</si>
  <si>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</si>
  <si>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</si>
  <si>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</si>
  <si>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</si>
  <si>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</si>
  <si>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</si>
  <si>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</si>
  <si>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</si>
  <si>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</si>
  <si>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</si>
  <si>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</si>
  <si>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</si>
  <si>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</si>
  <si>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</si>
  <si>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</si>
  <si>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</si>
  <si>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</si>
  <si>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</si>
  <si>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</si>
  <si>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</si>
  <si>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</si>
  <si>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</si>
  <si>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</si>
  <si>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</si>
  <si>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</si>
  <si>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</si>
  <si>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</si>
  <si>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</si>
  <si>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</si>
  <si>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</si>
  <si>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</si>
  <si>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</si>
  <si>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</si>
  <si>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</si>
  <si>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</si>
  <si>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</si>
  <si>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</si>
  <si>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</si>
  <si>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</si>
  <si>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</si>
  <si>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</si>
  <si>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</si>
  <si>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</si>
  <si>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</si>
  <si>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</si>
  <si>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</si>
  <si>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</si>
  <si>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</si>
  <si>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</si>
  <si>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</si>
  <si>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</si>
  <si>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</si>
  <si>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</si>
  <si>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</si>
  <si>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</si>
  <si>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</si>
  <si>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</si>
  <si>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</si>
  <si>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</si>
  <si>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</si>
  <si>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</si>
  <si>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</si>
  <si>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</si>
  <si>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</si>
  <si>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</si>
  <si>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</si>
  <si>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</si>
  <si>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</si>
  <si>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</si>
  <si>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</si>
  <si>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</si>
  <si>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</si>
  <si>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</si>
  <si>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</si>
  <si>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</si>
  <si>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</si>
  <si>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</si>
  <si>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</si>
  <si>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</si>
  <si>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</si>
  <si>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</si>
  <si>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</si>
  <si>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</si>
  <si>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</si>
  <si>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</si>
  <si>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</si>
  <si>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</si>
  <si>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</si>
  <si>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</si>
  <si>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</si>
  <si>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</si>
  <si>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</si>
  <si>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</si>
  <si>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</si>
  <si>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</si>
  <si>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</si>
  <si>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</si>
  <si>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</si>
  <si>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</si>
  <si>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</si>
  <si>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</si>
  <si>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</si>
  <si>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</si>
  <si>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</si>
  <si>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</si>
  <si>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</si>
  <si>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</si>
  <si>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</si>
  <si>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</si>
  <si>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</si>
  <si>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</si>
  <si>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</si>
  <si>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</si>
  <si>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</si>
  <si>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</si>
  <si>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</si>
  <si>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</si>
  <si>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</si>
  <si>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</si>
  <si>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</si>
  <si>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</si>
  <si>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</si>
  <si>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</si>
  <si>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</si>
  <si>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</si>
  <si>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</si>
  <si>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</si>
  <si>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</si>
  <si>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</si>
  <si>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</si>
  <si>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</si>
  <si>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</si>
  <si>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</si>
  <si>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</si>
  <si>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</si>
  <si>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</si>
  <si>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</si>
  <si>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</si>
  <si>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>Директор:  OOO “BMB EXIM”</t>
  </si>
  <si>
    <t xml:space="preserve">ИНВОЙС № BEZ-F-54 от </t>
  </si>
  <si>
    <t xml:space="preserve"> 13.08.2025г.</t>
  </si>
  <si>
    <t>DAP - с Амандык , Республика Казахстан</t>
  </si>
  <si>
    <t>30917WBA/300703BA</t>
  </si>
  <si>
    <t xml:space="preserve">СПЕЦИФИКАЦИЯ № BEZ-F-54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</si>
</sst>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0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1389529</xdr:colOff>
      <xdr:row>37</xdr:row>
      <xdr:rowOff>22411</xdr:rowOff>
    </xdr:from>
    <xdr:to>
      <xdr:col>4</xdr:col>
      <xdr:colOff>159123</xdr:colOff>
      <xdr:row>47</xdr:row>
      <xdr:rowOff>21290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1C1FF0E0-3473-46D1-9059-643773FB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117" y="20932587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37</xdr:row>
      <xdr:rowOff>56030</xdr:rowOff>
    </xdr:from>
    <xdr:to>
      <xdr:col>3</xdr:col>
      <xdr:colOff>268941</xdr:colOff>
      <xdr:row>50</xdr:row>
      <xdr:rowOff>11870</xdr:rowOff>
    </xdr:to>
    <xdr:pic>
      <xdr:nvPicPr>
        <xdr:cNvPr id="6" name="Рисунок 2">
          <a:extLst>
            <a:ext uri="{FF2B5EF4-FFF2-40B4-BE49-F238E27FC236}">
              <a16:creationId xmlns:a16="http://schemas.microsoft.com/office/drawing/2014/main" id="{CF5E6E20-7100-4B9F-976C-DC96E978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655118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3" t="s">
        <v>158</v>
      </c>
      <c r="D1" s="133"/>
      <c r="E1" s="133"/>
      <c r="F1" s="132" t="s">
        <v>159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">
        <v>148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">
        <v>149</v>
      </c>
      <c r="B5" s="134"/>
      <c r="C5" s="134"/>
      <c r="D5" s="134"/>
      <c r="E5" s="134"/>
      <c r="F5" s="6"/>
      <c r="G5" s="136" t="s">
        <v>138</v>
      </c>
      <c r="H5" s="136"/>
      <c r="I5" s="136"/>
      <c r="J5" s="136"/>
      <c r="K5" s="136"/>
      <c r="L5" s="136"/>
      <c r="M5" s="136"/>
    </row>
    <row r="6" spans="1:15" ht="13.8" x14ac:dyDescent="0.25">
      <c r="A6" s="125" t="s">
        <v>150</v>
      </c>
      <c r="B6" s="125"/>
      <c r="C6" s="125"/>
      <c r="D6" s="125"/>
      <c r="E6" s="125"/>
      <c r="F6" s="7"/>
      <c r="G6" s="138" t="s">
        <v>139</v>
      </c>
      <c r="H6" s="138"/>
      <c r="I6" s="138"/>
      <c r="J6" s="138"/>
      <c r="K6" s="138"/>
      <c r="L6" s="138"/>
      <c r="M6" s="138"/>
      <c r="N6" s="4"/>
    </row>
    <row r="7" spans="1:15" ht="13.8" x14ac:dyDescent="0.25">
      <c r="A7" s="125" t="s">
        <v>151</v>
      </c>
      <c r="B7" s="125"/>
      <c r="C7" s="125"/>
      <c r="D7" s="125"/>
      <c r="E7" s="125"/>
      <c r="F7" s="63"/>
      <c r="G7" s="138" t="s">
        <v>140</v>
      </c>
      <c r="H7" s="138"/>
      <c r="I7" s="138"/>
      <c r="J7" s="138"/>
      <c r="K7" s="138"/>
      <c r="L7" s="138"/>
      <c r="M7" s="138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141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153</v>
      </c>
      <c r="B9" s="8"/>
      <c r="C9" s="8"/>
      <c r="D9" s="8"/>
      <c r="E9" s="8"/>
      <c r="F9" s="7"/>
      <c r="G9" s="7" t="s">
        <v>142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154</v>
      </c>
      <c r="B10" s="125"/>
      <c r="C10" s="125"/>
      <c r="D10" s="125"/>
      <c r="E10" s="125"/>
      <c r="F10" s="7"/>
      <c r="G10" s="7" t="s">
        <v>143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155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34" t="s">
        <v>149</v>
      </c>
      <c r="B14" s="134"/>
      <c r="C14" s="134"/>
      <c r="D14" s="134"/>
      <c r="E14" s="134"/>
      <c r="F14" s="6"/>
      <c r="G14" s="136" t="s">
        <v>125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25" t="s">
        <v>150</v>
      </c>
      <c r="B15" s="125"/>
      <c r="C15" s="125"/>
      <c r="D15" s="125"/>
      <c r="E15" s="125"/>
      <c r="F15" s="7"/>
      <c r="G15" s="138" t="s">
        <v>126</v>
      </c>
      <c r="H15" s="141"/>
      <c r="I15" s="141"/>
      <c r="J15" s="141"/>
      <c r="K15" s="141"/>
      <c r="L15" s="141"/>
      <c r="M15" s="141"/>
    </row>
    <row r="16" spans="1:15" ht="13.8" x14ac:dyDescent="0.25">
      <c r="A16" s="125" t="s">
        <v>151</v>
      </c>
      <c r="B16" s="125"/>
      <c r="C16" s="125"/>
      <c r="D16" s="125"/>
      <c r="E16" s="125"/>
      <c r="F16" s="63"/>
      <c r="G16" s="138" t="s">
        <v>127</v>
      </c>
      <c r="H16" s="138"/>
      <c r="I16" s="138"/>
      <c r="J16" s="138"/>
      <c r="K16" s="138"/>
      <c r="L16" s="138"/>
      <c r="M16" s="138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128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153</v>
      </c>
      <c r="B18" s="8"/>
      <c r="C18" s="8"/>
      <c r="D18" s="8"/>
      <c r="E18" s="8"/>
      <c r="F18" s="7"/>
      <c r="G18" s="8" t="s">
        <v>129</v>
      </c>
      <c r="H18" s="8"/>
      <c r="I18" s="8"/>
      <c r="J18" s="8"/>
      <c r="K18" s="8"/>
      <c r="L18" s="8"/>
      <c r="M18" s="8"/>
    </row>
    <row r="19" spans="1:17" ht="13.8" x14ac:dyDescent="0.25">
      <c r="A19" s="125" t="s">
        <v>154</v>
      </c>
      <c r="B19" s="125"/>
      <c r="C19" s="125"/>
      <c r="D19" s="125"/>
      <c r="E19" s="125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155</v>
      </c>
      <c r="B20" s="8"/>
      <c r="C20" s="8"/>
      <c r="D20" s="8"/>
      <c r="E20" s="8"/>
      <c r="F20" s="7"/>
      <c r="G20" s="7" t="s">
        <v>131</v>
      </c>
      <c r="H20" s="23"/>
      <c r="I20" s="23"/>
      <c r="J20" s="23"/>
    </row>
    <row r="21" spans="1:17" ht="13.8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1" t="s">
        <v>119</v>
      </c>
      <c r="D23" s="151"/>
      <c r="E23" s="151"/>
      <c r="F23" s="151"/>
      <c r="G23" s="151"/>
      <c r="H23" s="151"/>
      <c r="I23" s="151"/>
      <c r="J23" s="151"/>
      <c r="K23" s="151"/>
      <c r="L23" s="151"/>
      <c r="M23" s="151"/>
    </row>
    <row r="24" spans="1:17" ht="15.6" x14ac:dyDescent="0.3">
      <c r="A24" s="20" t="s">
        <v>22</v>
      </c>
      <c r="C24" s="18" t="s">
        <v>160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2" t="s">
        <v>161</v>
      </c>
      <c r="F26" s="153"/>
      <c r="G26" s="153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5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1" t="s">
        <v>9</v>
      </c>
      <c r="K28" s="149" t="s">
        <v>10</v>
      </c>
      <c r="L28" s="150"/>
      <c r="M28" s="145" t="s">
        <v>11</v>
      </c>
    </row>
    <row r="29" spans="1:17" ht="31.8" x14ac:dyDescent="0.25">
      <c r="A29" s="146"/>
      <c r="B29" s="146"/>
      <c r="C29" s="146"/>
      <c r="D29" s="146"/>
      <c r="E29" s="146"/>
      <c r="F29" s="146"/>
      <c r="G29" s="111" t="s">
        <v>12</v>
      </c>
      <c r="H29" s="111" t="s">
        <v>13</v>
      </c>
      <c r="I29" s="146"/>
      <c r="J29" s="112" t="s">
        <v>14</v>
      </c>
      <c r="K29" s="10" t="s">
        <v>15</v>
      </c>
      <c r="L29" s="10" t="s">
        <v>16</v>
      </c>
      <c r="M29" s="146"/>
    </row>
    <row r="30" spans="1:17" ht="27.6" x14ac:dyDescent="0.25">
      <c r="A30" s="127">
        <v>1</v>
      </c>
      <c r="B30" s="101" t="s">
        <v>135</v>
      </c>
      <c r="C30" s="107" t="s">
        <v>136</v>
      </c>
      <c r="D30" s="109" t="s">
        <v>113</v>
      </c>
      <c r="E30" s="101">
        <v>1050</v>
      </c>
      <c r="F30" s="110" t="s">
        <v>27</v>
      </c>
      <c r="G30" s="106">
        <v>22600</v>
      </c>
      <c r="H30" s="106">
        <v>20710</v>
      </c>
      <c r="I30" s="108">
        <v>0.2</v>
      </c>
      <c r="J30" s="13">
        <f t="shared" ref="J30" si="0">H30*I30</f>
        <v>4142</v>
      </c>
      <c r="K30" s="12">
        <v>0</v>
      </c>
      <c r="L30" s="12">
        <v>0</v>
      </c>
      <c r="M30" s="13">
        <f t="shared" ref="M30" si="1">J30</f>
        <v>4142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1050</v>
      </c>
      <c r="F31" s="15"/>
      <c r="G31" s="64">
        <f>SUM(G30:G30)</f>
        <v>22600</v>
      </c>
      <c r="H31" s="64">
        <f>SUM(H30:H30)</f>
        <v>20710</v>
      </c>
      <c r="I31" s="102"/>
      <c r="J31" s="17">
        <f>SUM(J30:J30)</f>
        <v>4142</v>
      </c>
      <c r="K31" s="16"/>
      <c r="L31" s="16"/>
      <c r="M31" s="17">
        <f>SUM(M30:M30)</f>
        <v>4142</v>
      </c>
      <c r="P31" s="66"/>
    </row>
    <row r="32" spans="1:17" ht="13.8" x14ac:dyDescent="0.3">
      <c r="A32" s="2" t="s">
        <v>17</v>
      </c>
      <c r="B32" s="3"/>
      <c r="C32" s="11"/>
      <c r="D32" s="11"/>
      <c r="E32" s="143" t="str">
        <f>Лист1!B3</f>
        <v>Четыре тысячи сто сорок два доллара США,00 центов.</v>
      </c>
      <c r="F32" s="144"/>
      <c r="G32" s="144"/>
      <c r="H32" s="144"/>
      <c r="I32" s="144"/>
      <c r="J32" s="144"/>
      <c r="K32" s="144"/>
      <c r="L32" s="144"/>
      <c r="M32" s="144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 t="s">
        <v>110</v>
      </c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3.8" x14ac:dyDescent="0.25">
      <c r="A36" s="7" t="s">
        <v>28</v>
      </c>
      <c r="B36" s="7"/>
      <c r="D36" s="25" t="s">
        <v>156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2">
    <mergeCell ref="I28:I29"/>
    <mergeCell ref="G28:H28"/>
    <mergeCell ref="C23:M23"/>
    <mergeCell ref="E26:G26"/>
    <mergeCell ref="G7:M7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0" zoomScale="115" zoomScaleNormal="115" workbookViewId="0">
      <selection activeCell="I36" sqref="I36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112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147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13.08.2025г.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4" t="str">
        <f>+CONCATENATE(Инвойс!C1,Инвойс!F1)</f>
        <v>ИНВОЙС № BEZ-F-54 от  13.08.2025г.</v>
      </c>
      <c r="C24" s="154"/>
      <c r="D24" s="154"/>
      <c r="E24" s="73"/>
      <c r="F24" s="73"/>
      <c r="G24" s="73"/>
      <c r="H24" s="73"/>
      <c r="I24" s="73"/>
    </row>
    <row r="25" spans="1:9" x14ac:dyDescent="0.2">
      <c r="B25" s="155" t="s">
        <v>107</v>
      </c>
      <c r="C25" s="155"/>
      <c r="D25" s="155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1050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22600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6" t="str">
        <f>+Инвойс!C23</f>
        <v>СВХ ООО "Уралкомплект" 10412130 - т/п Оренбургский
460027, Оренбургская обл., г. Оренбург, ул. Донгузская, д. 62А</v>
      </c>
      <c r="C45" s="156"/>
      <c r="D45" s="156"/>
    </row>
    <row r="46" spans="1:9" ht="11.25" customHeight="1" x14ac:dyDescent="0.2">
      <c r="B46" s="156"/>
      <c r="C46" s="156"/>
      <c r="D46" s="156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57" t="str">
        <f>+C22</f>
        <v xml:space="preserve"> 13.08.2025г.</v>
      </c>
      <c r="E49" s="157"/>
      <c r="F49" s="157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30917WBA/300703BA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4" zoomScaleNormal="100" workbookViewId="0">
      <selection activeCell="L30" sqref="L30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0" t="s">
        <v>96</v>
      </c>
      <c r="C2" s="160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1" t="str">
        <f>+Инвойс!E26</f>
        <v>30917WBA/300703BA</v>
      </c>
      <c r="C14" s="161"/>
      <c r="D14" s="161"/>
      <c r="E14" s="161"/>
      <c r="F14" s="161"/>
      <c r="G14" s="161"/>
      <c r="H14" s="162" t="s">
        <v>108</v>
      </c>
      <c r="I14" s="162"/>
      <c r="J14" s="88" t="str">
        <f>+Инвойс!F1</f>
        <v xml:space="preserve"> 13.08.2025г.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3" t="str">
        <f>+CMR!B24</f>
        <v>ИНВОЙС № BEZ-F-54 от  13.08.2025г.</v>
      </c>
      <c r="I15" s="163"/>
      <c r="J15" s="163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1050</v>
      </c>
      <c r="G18" s="164" t="str">
        <f>+CMR!F30</f>
        <v>Дыни свежие</v>
      </c>
      <c r="H18" s="164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58" t="str">
        <f>+Инвойс!C30</f>
        <v>0807190001</v>
      </c>
      <c r="H19" s="159"/>
      <c r="I19" s="122" t="s">
        <v>103</v>
      </c>
      <c r="J19" s="120">
        <f>+Инвойс!G30</f>
        <v>22600</v>
      </c>
    </row>
    <row r="20" spans="2:10" ht="13.5" customHeight="1" x14ac:dyDescent="0.3">
      <c r="B20" s="83"/>
      <c r="E20" s="123"/>
      <c r="F20" s="118"/>
      <c r="G20" s="164"/>
      <c r="H20" s="164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58"/>
      <c r="H21" s="159"/>
      <c r="I21" s="122"/>
      <c r="J21" s="120"/>
    </row>
    <row r="22" spans="2:10" ht="12.75" customHeight="1" x14ac:dyDescent="0.3">
      <c r="B22" s="83"/>
      <c r="E22" s="123"/>
      <c r="F22" s="118"/>
      <c r="G22" s="164"/>
      <c r="H22" s="164"/>
      <c r="I22" s="119"/>
      <c r="J22" s="120"/>
    </row>
    <row r="23" spans="2:10" ht="14.25" customHeight="1" x14ac:dyDescent="0.3">
      <c r="B23" s="83"/>
      <c r="E23" s="123"/>
      <c r="F23" s="121"/>
      <c r="G23" s="158"/>
      <c r="H23" s="159"/>
      <c r="I23" s="122"/>
      <c r="J23" s="120"/>
    </row>
    <row r="24" spans="2:10" ht="12.75" customHeight="1" x14ac:dyDescent="0.3">
      <c r="B24" s="87"/>
      <c r="E24" s="123"/>
      <c r="F24" s="118"/>
      <c r="G24" s="164"/>
      <c r="H24" s="164"/>
      <c r="I24" s="119"/>
      <c r="J24" s="120"/>
    </row>
    <row r="25" spans="2:10" ht="12.75" customHeight="1" x14ac:dyDescent="0.3">
      <c r="B25" s="87"/>
      <c r="E25" s="123"/>
      <c r="F25" s="121"/>
      <c r="G25" s="158"/>
      <c r="H25" s="159"/>
      <c r="I25" s="122"/>
      <c r="J25" s="120"/>
    </row>
    <row r="26" spans="2:10" ht="12" customHeight="1" x14ac:dyDescent="0.3">
      <c r="B26" s="87"/>
      <c r="E26" s="123"/>
      <c r="F26" s="118"/>
      <c r="G26" s="164"/>
      <c r="H26" s="164"/>
      <c r="I26" s="119"/>
      <c r="J26" s="120"/>
    </row>
    <row r="27" spans="2:10" ht="14.25" customHeight="1" x14ac:dyDescent="0.3">
      <c r="B27" s="87"/>
      <c r="E27" s="123"/>
      <c r="F27" s="121"/>
      <c r="G27" s="158"/>
      <c r="H27" s="159"/>
      <c r="I27" s="122"/>
      <c r="J27" s="120"/>
    </row>
    <row r="28" spans="2:10" ht="12.75" customHeight="1" x14ac:dyDescent="0.3">
      <c r="B28" s="87"/>
      <c r="E28" s="123"/>
      <c r="F28" s="118"/>
      <c r="G28" s="164"/>
      <c r="H28" s="164"/>
      <c r="I28" s="119"/>
      <c r="J28" s="120"/>
    </row>
    <row r="29" spans="2:10" ht="12.75" customHeight="1" x14ac:dyDescent="0.3">
      <c r="B29" s="87"/>
      <c r="E29" s="123"/>
      <c r="F29" s="121"/>
      <c r="G29" s="158"/>
      <c r="H29" s="159"/>
      <c r="I29" s="122"/>
      <c r="J29" s="120"/>
    </row>
    <row r="30" spans="2:10" ht="12.75" customHeight="1" x14ac:dyDescent="0.3">
      <c r="B30" s="87"/>
      <c r="E30" s="123"/>
      <c r="F30" s="118"/>
      <c r="G30" s="164"/>
      <c r="H30" s="164"/>
      <c r="I30" s="119"/>
      <c r="J30" s="120"/>
    </row>
    <row r="31" spans="2:10" ht="13.5" customHeight="1" x14ac:dyDescent="0.3">
      <c r="B31" s="87"/>
      <c r="E31" s="123"/>
      <c r="F31" s="121"/>
      <c r="G31" s="158"/>
      <c r="H31" s="159"/>
      <c r="I31" s="122"/>
      <c r="J31" s="120"/>
    </row>
    <row r="32" spans="2:10" ht="13.5" customHeight="1" x14ac:dyDescent="0.3">
      <c r="B32" s="87"/>
      <c r="E32" s="123"/>
      <c r="F32" s="118"/>
      <c r="G32" s="164"/>
      <c r="H32" s="164"/>
      <c r="I32" s="119"/>
      <c r="J32" s="120"/>
    </row>
    <row r="33" spans="2:10" ht="13.5" customHeight="1" x14ac:dyDescent="0.3">
      <c r="B33" s="87"/>
      <c r="E33" s="123"/>
      <c r="F33" s="121"/>
      <c r="G33" s="158"/>
      <c r="H33" s="159"/>
      <c r="I33" s="122"/>
      <c r="J33" s="120"/>
    </row>
    <row r="34" spans="2:10" ht="13.5" customHeight="1" x14ac:dyDescent="0.3">
      <c r="B34" s="87"/>
      <c r="E34" s="123"/>
      <c r="F34" s="118"/>
      <c r="G34" s="164"/>
      <c r="H34" s="164"/>
      <c r="I34" s="119"/>
      <c r="J34" s="120"/>
    </row>
    <row r="35" spans="2:10" ht="12.75" customHeight="1" x14ac:dyDescent="0.3">
      <c r="B35" s="87"/>
      <c r="E35" s="123"/>
      <c r="F35" s="121"/>
      <c r="G35" s="158"/>
      <c r="H35" s="159"/>
      <c r="I35" s="122"/>
      <c r="J35" s="120"/>
    </row>
    <row r="36" spans="2:10" x14ac:dyDescent="0.3">
      <c r="B36" s="87"/>
      <c r="E36" s="123"/>
      <c r="F36" s="118"/>
      <c r="G36" s="164"/>
      <c r="H36" s="164"/>
      <c r="I36" s="119"/>
      <c r="J36" s="120"/>
    </row>
    <row r="37" spans="2:10" ht="13.5" customHeight="1" x14ac:dyDescent="0.3">
      <c r="B37" s="87"/>
      <c r="E37" s="123"/>
      <c r="F37" s="121"/>
      <c r="G37" s="158"/>
      <c r="H37" s="159"/>
      <c r="I37" s="122"/>
      <c r="J37" s="120"/>
    </row>
    <row r="38" spans="2:10" x14ac:dyDescent="0.3">
      <c r="B38" s="87"/>
      <c r="E38" s="123"/>
      <c r="F38" s="118"/>
      <c r="G38" s="164"/>
      <c r="H38" s="164"/>
      <c r="I38" s="119"/>
      <c r="J38" s="120"/>
    </row>
    <row r="39" spans="2:10" ht="13.5" customHeight="1" x14ac:dyDescent="0.3">
      <c r="B39" s="87"/>
      <c r="E39" s="123"/>
      <c r="F39" s="121"/>
      <c r="G39" s="158"/>
      <c r="H39" s="159"/>
      <c r="I39" s="122"/>
      <c r="J39" s="120"/>
    </row>
    <row r="40" spans="2:10" ht="14.25" hidden="1" customHeight="1" x14ac:dyDescent="0.3">
      <c r="B40" s="87"/>
      <c r="E40" s="123"/>
      <c r="F40" s="118"/>
      <c r="G40" s="164"/>
      <c r="H40" s="164"/>
      <c r="I40" s="119"/>
      <c r="J40" s="120"/>
    </row>
    <row r="41" spans="2:10" ht="14.25" hidden="1" customHeight="1" x14ac:dyDescent="0.3">
      <c r="B41" s="87"/>
      <c r="E41" s="123"/>
      <c r="F41" s="121"/>
      <c r="G41" s="158"/>
      <c r="H41" s="159"/>
      <c r="I41" s="122"/>
      <c r="J41" s="120"/>
    </row>
    <row r="42" spans="2:10" hidden="1" x14ac:dyDescent="0.3">
      <c r="B42" s="87"/>
      <c r="E42" s="123"/>
      <c r="F42" s="118"/>
      <c r="G42" s="164"/>
      <c r="H42" s="164"/>
      <c r="I42" s="119"/>
      <c r="J42" s="120"/>
    </row>
    <row r="43" spans="2:10" x14ac:dyDescent="0.3">
      <c r="B43" s="87"/>
      <c r="E43" s="123"/>
      <c r="F43" s="121"/>
      <c r="G43" s="158"/>
      <c r="H43" s="159"/>
      <c r="I43" s="122"/>
      <c r="J43" s="120"/>
    </row>
    <row r="44" spans="2:10" ht="9" customHeight="1" x14ac:dyDescent="0.3">
      <c r="B44" s="87"/>
      <c r="E44" s="95"/>
      <c r="F44" s="92"/>
      <c r="G44" s="166"/>
      <c r="H44" s="166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7">
        <f>+F18+F20+F22+F24+F26+F28+F30+F32+F34+F36+F38+F40+F42</f>
        <v>1050</v>
      </c>
      <c r="E47" s="168"/>
    </row>
    <row r="48" spans="2:10" ht="17.25" customHeight="1" x14ac:dyDescent="0.3">
      <c r="B48" s="165" t="s">
        <v>105</v>
      </c>
      <c r="C48" s="165"/>
      <c r="D48" s="165"/>
      <c r="E48" s="165"/>
    </row>
    <row r="49" spans="2:5" ht="21.75" customHeight="1" x14ac:dyDescent="0.3">
      <c r="B49" s="165"/>
      <c r="C49" s="165"/>
      <c r="D49" s="165"/>
      <c r="E49" s="165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DEACC-D609-4F9A-87C5-D88DE665CFD1}">
  <sheetPr>
    <pageSetUpPr fitToPage="1"/>
  </sheetPr>
  <dimension ref="A1:Q42"/>
  <sheetViews>
    <sheetView zoomScale="85" zoomScaleNormal="85" workbookViewId="0">
      <selection activeCell="S28" sqref="S28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2" t="s">
        <v>162</v>
      </c>
      <c r="C1" s="172"/>
      <c r="D1" s="172"/>
      <c r="E1" s="172"/>
      <c r="F1" s="132" t="str">
        <f>+Инвойс!F1</f>
        <v xml:space="preserve"> 13.08.2025г.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tr">
        <f>+Инвойс!C2</f>
        <v>к контракту № EX1607 от 16.07.2025 года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tr">
        <f>+Инвойс!A5</f>
        <v>OOO “BMB EXIM”</v>
      </c>
      <c r="B5" s="134"/>
      <c r="C5" s="134"/>
      <c r="D5" s="134"/>
      <c r="E5" s="134"/>
      <c r="F5" s="6"/>
      <c r="G5" s="136" t="str">
        <f>+Инвойс!G5</f>
        <v>ООО ТД «РЕСУРС»</v>
      </c>
      <c r="H5" s="136"/>
      <c r="I5" s="136"/>
      <c r="J5" s="136"/>
      <c r="K5" s="136"/>
      <c r="L5" s="136"/>
      <c r="M5" s="136"/>
    </row>
    <row r="6" spans="1:15" ht="13.8" x14ac:dyDescent="0.25">
      <c r="A6" s="170" t="str">
        <f>+Инвойс!A6</f>
        <v>Республика Узбекистан, Джизакская область,</v>
      </c>
      <c r="B6" s="170"/>
      <c r="C6" s="170"/>
      <c r="D6" s="170"/>
      <c r="E6" s="170"/>
      <c r="F6" s="7"/>
      <c r="G6" s="169" t="str">
        <f>+Инвойс!G6</f>
        <v xml:space="preserve">125362, Город Москва, вн.тер.г. муниципальный округ </v>
      </c>
      <c r="H6" s="169"/>
      <c r="I6" s="169"/>
      <c r="J6" s="169"/>
      <c r="K6" s="169"/>
      <c r="L6" s="169"/>
      <c r="M6" s="169"/>
      <c r="N6" s="4"/>
    </row>
    <row r="7" spans="1:15" ht="13.8" x14ac:dyDescent="0.25">
      <c r="A7" s="170" t="str">
        <f>+Инвойс!A7</f>
        <v>Шароф Рашидовский район, Токчилик МФЙ, ул Мустакиллик дом 92а</v>
      </c>
      <c r="B7" s="170"/>
      <c r="C7" s="170"/>
      <c r="D7" s="170"/>
      <c r="E7" s="170"/>
      <c r="F7" s="63"/>
      <c r="G7" s="169" t="str">
        <f>+Инвойс!G7</f>
        <v xml:space="preserve">Южное Тушино, ул Свободы, д. 35, стр. 43, помещ. 92/3 </v>
      </c>
      <c r="H7" s="169"/>
      <c r="I7" s="169"/>
      <c r="J7" s="169"/>
      <c r="K7" s="169"/>
      <c r="L7" s="169"/>
      <c r="M7" s="169"/>
    </row>
    <row r="8" spans="1:15" ht="15" customHeight="1" x14ac:dyDescent="0.25">
      <c r="A8" s="170" t="str">
        <f>+Инвойс!A8</f>
        <v>Р/с N 20208840905433267001   (USD)</v>
      </c>
      <c r="B8" s="170"/>
      <c r="C8" s="170"/>
      <c r="D8" s="170"/>
      <c r="E8" s="170"/>
      <c r="F8" s="63"/>
      <c r="G8" s="169" t="str">
        <f>+Инвойс!G8</f>
        <v>Банк: Азия-Инвест Банк (АО) ИНН: 9705116064 КПП: 770501001</v>
      </c>
      <c r="H8" s="169"/>
      <c r="I8" s="169"/>
      <c r="J8" s="169"/>
      <c r="K8" s="169"/>
      <c r="L8" s="169"/>
      <c r="M8" s="169"/>
    </row>
    <row r="9" spans="1:15" ht="13.8" x14ac:dyDescent="0.25">
      <c r="A9" s="170" t="str">
        <f>+Инвойс!A9</f>
        <v xml:space="preserve">в “Узсаноаткурилиш” Банк операционный </v>
      </c>
      <c r="B9" s="170"/>
      <c r="C9" s="170"/>
      <c r="D9" s="170"/>
      <c r="E9" s="170"/>
      <c r="F9" s="7"/>
      <c r="G9" s="169" t="str">
        <f>+Инвойс!G9</f>
        <v xml:space="preserve">Р/Счет: 40702840100000019384 ; БИК:  044525234 </v>
      </c>
      <c r="H9" s="169"/>
      <c r="I9" s="169"/>
      <c r="J9" s="169"/>
      <c r="K9" s="169"/>
      <c r="L9" s="169"/>
      <c r="M9" s="169"/>
      <c r="O9" s="7"/>
    </row>
    <row r="10" spans="1:15" ht="13.8" x14ac:dyDescent="0.25">
      <c r="A10" s="170" t="str">
        <f>+Инвойс!A10</f>
        <v>МФО 00440</v>
      </c>
      <c r="B10" s="170"/>
      <c r="C10" s="170"/>
      <c r="D10" s="170"/>
      <c r="E10" s="170"/>
      <c r="F10" s="7"/>
      <c r="G10" s="169" t="str">
        <f>+Инвойс!G10</f>
        <v xml:space="preserve">Корр.счет: 30101810445250000234  </v>
      </c>
      <c r="H10" s="169"/>
      <c r="I10" s="169"/>
      <c r="J10" s="169"/>
      <c r="K10" s="169"/>
      <c r="L10" s="169"/>
      <c r="M10" s="169"/>
    </row>
    <row r="11" spans="1:15" ht="13.8" x14ac:dyDescent="0.25">
      <c r="A11" s="170" t="str">
        <f>+Инвойс!A11</f>
        <v>ИНН: 308822933</v>
      </c>
      <c r="B11" s="170"/>
      <c r="C11" s="170"/>
      <c r="D11" s="170"/>
      <c r="E11" s="170"/>
      <c r="F11" s="7"/>
      <c r="G11" s="169" t="str">
        <f>+Инвойс!G11</f>
        <v>(SWIFT code: ASIJRUMM)</v>
      </c>
      <c r="H11" s="169"/>
      <c r="I11" s="169"/>
      <c r="J11" s="169"/>
      <c r="K11" s="169"/>
      <c r="L11" s="169"/>
      <c r="M11" s="169"/>
    </row>
    <row r="12" spans="1:15" ht="36" customHeight="1" x14ac:dyDescent="0.25">
      <c r="A12" s="137"/>
      <c r="B12" s="137"/>
      <c r="C12" s="137"/>
      <c r="D12" s="137"/>
      <c r="E12" s="137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34" t="str">
        <f>+Инвойс!A14</f>
        <v>OOO “BMB EXIM”</v>
      </c>
      <c r="B14" s="134"/>
      <c r="C14" s="134"/>
      <c r="D14" s="134"/>
      <c r="E14" s="134"/>
      <c r="F14" s="6"/>
      <c r="G14" s="136" t="str">
        <f>+Инвойс!G14</f>
        <v>OOO «Западные ворота»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70" t="str">
        <f>+Инвойс!A15</f>
        <v>Республика Узбекистан, Джизакская область,</v>
      </c>
      <c r="B15" s="170"/>
      <c r="C15" s="170"/>
      <c r="D15" s="170"/>
      <c r="E15" s="170"/>
      <c r="F15" s="7"/>
      <c r="G15" s="169" t="str">
        <f>+Инвойс!G15</f>
        <v>108811, г. Москва, вн.тер.г. муниципальный округ</v>
      </c>
      <c r="H15" s="169"/>
      <c r="I15" s="169"/>
      <c r="J15" s="169"/>
      <c r="K15" s="169"/>
      <c r="L15" s="169"/>
      <c r="M15" s="169"/>
    </row>
    <row r="16" spans="1:15" ht="13.8" x14ac:dyDescent="0.25">
      <c r="A16" s="170" t="str">
        <f>+Инвойс!A16</f>
        <v>Шароф Рашидовский район, Токчилик МФЙ, ул Мустакиллик дом 92а</v>
      </c>
      <c r="B16" s="170"/>
      <c r="C16" s="170"/>
      <c r="D16" s="170"/>
      <c r="E16" s="170"/>
      <c r="F16" s="63"/>
      <c r="G16" s="169" t="str">
        <f>+Инвойс!G16</f>
        <v>Солнцево, Киевское шоссе, 23-й км, д.8, стр.1</v>
      </c>
      <c r="H16" s="169"/>
      <c r="I16" s="169"/>
      <c r="J16" s="169"/>
      <c r="K16" s="169"/>
      <c r="L16" s="169"/>
      <c r="M16" s="169"/>
    </row>
    <row r="17" spans="1:17" ht="15" customHeight="1" x14ac:dyDescent="0.25">
      <c r="A17" s="170" t="str">
        <f>+Инвойс!A17</f>
        <v>Р/с N 20208840905433267001   (USD)</v>
      </c>
      <c r="B17" s="170"/>
      <c r="C17" s="170"/>
      <c r="D17" s="170"/>
      <c r="E17" s="170"/>
      <c r="F17" s="63"/>
      <c r="G17" s="169" t="str">
        <f>+Инвойс!G17</f>
        <v xml:space="preserve">р/с USD 40702810501400013450 </v>
      </c>
      <c r="H17" s="169"/>
      <c r="I17" s="169"/>
      <c r="J17" s="169"/>
      <c r="K17" s="169"/>
      <c r="L17" s="169"/>
      <c r="M17" s="169"/>
    </row>
    <row r="18" spans="1:17" ht="13.8" x14ac:dyDescent="0.25">
      <c r="A18" s="170" t="str">
        <f>+Инвойс!A18</f>
        <v xml:space="preserve">в “Узсаноаткурилиш” Банк операционный </v>
      </c>
      <c r="B18" s="170"/>
      <c r="C18" s="170"/>
      <c r="D18" s="170"/>
      <c r="E18" s="170"/>
      <c r="F18" s="7"/>
      <c r="G18" s="169" t="str">
        <f>+Инвойс!G18</f>
        <v>Банк: Филиал АО «АЛЬФА-БАНК»</v>
      </c>
      <c r="H18" s="169"/>
      <c r="I18" s="169"/>
      <c r="J18" s="169"/>
      <c r="K18" s="169"/>
      <c r="L18" s="169"/>
      <c r="M18" s="169"/>
    </row>
    <row r="19" spans="1:17" ht="13.8" x14ac:dyDescent="0.25">
      <c r="A19" s="170" t="str">
        <f>+Инвойс!A19</f>
        <v>МФО 00440</v>
      </c>
      <c r="B19" s="170"/>
      <c r="C19" s="170"/>
      <c r="D19" s="170"/>
      <c r="E19" s="170"/>
      <c r="F19" s="7"/>
      <c r="G19" s="169" t="str">
        <f>+Инвойс!G19</f>
        <v>к/с:  30101810200000000593</v>
      </c>
      <c r="H19" s="169"/>
      <c r="I19" s="169"/>
      <c r="J19" s="169"/>
      <c r="K19" s="169"/>
      <c r="L19" s="169"/>
      <c r="M19" s="169"/>
    </row>
    <row r="20" spans="1:17" ht="13.8" x14ac:dyDescent="0.25">
      <c r="A20" s="170" t="str">
        <f>+Инвойс!A20</f>
        <v>ИНН: 308822933</v>
      </c>
      <c r="B20" s="170"/>
      <c r="C20" s="170"/>
      <c r="D20" s="170"/>
      <c r="E20" s="170"/>
      <c r="F20" s="7"/>
      <c r="G20" s="169" t="str">
        <f>+Инвойс!G20</f>
        <v>ИНН/КПП 5004025693/775101001 ОГРН 1135004001802</v>
      </c>
      <c r="H20" s="169"/>
      <c r="I20" s="169"/>
      <c r="J20" s="169"/>
      <c r="K20" s="169"/>
      <c r="L20" s="169"/>
      <c r="M20" s="169"/>
    </row>
    <row r="21" spans="1:17" ht="13.8" x14ac:dyDescent="0.25">
      <c r="A21" s="170"/>
      <c r="B21" s="170"/>
      <c r="C21" s="170"/>
      <c r="D21" s="170"/>
      <c r="E21" s="170"/>
      <c r="G21" s="7"/>
      <c r="H21" s="23"/>
      <c r="I21" s="23"/>
      <c r="J21" s="23"/>
    </row>
    <row r="22" spans="1:17" ht="43.5" customHeight="1" x14ac:dyDescent="0.3">
      <c r="A22" s="1" t="s">
        <v>133</v>
      </c>
      <c r="C22" s="65"/>
      <c r="F22" s="1"/>
    </row>
    <row r="23" spans="1:17" ht="26.25" hidden="1" customHeight="1" x14ac:dyDescent="0.25">
      <c r="A23" s="69" t="s">
        <v>87</v>
      </c>
      <c r="B23" s="68"/>
      <c r="C23" s="171" t="s">
        <v>116</v>
      </c>
      <c r="D23" s="171"/>
      <c r="E23" s="171"/>
      <c r="F23" s="171"/>
      <c r="G23" s="171"/>
      <c r="H23" s="171"/>
      <c r="I23" s="171"/>
      <c r="J23" s="171"/>
      <c r="K23" s="171"/>
      <c r="L23" s="171"/>
      <c r="M23" s="171"/>
    </row>
    <row r="24" spans="1:17" ht="15.6" x14ac:dyDescent="0.3">
      <c r="A24" s="20" t="s">
        <v>22</v>
      </c>
      <c r="C24" s="18" t="str">
        <f>+Инвойс!C24</f>
        <v>DAP - с Амандык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2" t="str">
        <f>+Инвойс!E26</f>
        <v>30917WBA/300703BA</v>
      </c>
      <c r="F26" s="153"/>
      <c r="G26" s="153"/>
      <c r="J26" s="21"/>
    </row>
    <row r="27" spans="1:17" ht="34.5" customHeight="1" x14ac:dyDescent="0.25">
      <c r="A27" s="67" t="s">
        <v>134</v>
      </c>
      <c r="C27" s="18"/>
      <c r="E27" s="22"/>
      <c r="F27" s="22"/>
      <c r="G27" s="22"/>
      <c r="J27" s="21"/>
    </row>
    <row r="28" spans="1:17" ht="24" customHeight="1" x14ac:dyDescent="0.25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1" t="s">
        <v>9</v>
      </c>
      <c r="K28" s="149" t="s">
        <v>10</v>
      </c>
      <c r="L28" s="150"/>
      <c r="M28" s="145" t="s">
        <v>11</v>
      </c>
    </row>
    <row r="29" spans="1:17" ht="31.8" x14ac:dyDescent="0.25">
      <c r="A29" s="146"/>
      <c r="B29" s="146"/>
      <c r="C29" s="146"/>
      <c r="D29" s="146"/>
      <c r="E29" s="146"/>
      <c r="F29" s="146"/>
      <c r="G29" s="111" t="s">
        <v>12</v>
      </c>
      <c r="H29" s="111" t="s">
        <v>13</v>
      </c>
      <c r="I29" s="146"/>
      <c r="J29" s="112" t="s">
        <v>14</v>
      </c>
      <c r="K29" s="10" t="s">
        <v>15</v>
      </c>
      <c r="L29" s="10" t="s">
        <v>16</v>
      </c>
      <c r="M29" s="146"/>
    </row>
    <row r="30" spans="1:17" ht="25.2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1050</v>
      </c>
      <c r="F30" s="116" t="str">
        <f>+Инвойс!F30</f>
        <v>кг</v>
      </c>
      <c r="G30" s="106">
        <f>+Инвойс!G30</f>
        <v>22600</v>
      </c>
      <c r="H30" s="106">
        <f>+Инвойс!H30</f>
        <v>20710</v>
      </c>
      <c r="I30" s="108">
        <f>+Инвойс!I30</f>
        <v>0.2</v>
      </c>
      <c r="J30" s="13">
        <f>+Инвойс!J30</f>
        <v>4142</v>
      </c>
      <c r="K30" s="12">
        <v>0</v>
      </c>
      <c r="L30" s="12">
        <v>0</v>
      </c>
      <c r="M30" s="13">
        <f>+Инвойс!M30</f>
        <v>4142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1050</v>
      </c>
      <c r="F31" s="15"/>
      <c r="G31" s="64">
        <f>SUM(G30:G30)</f>
        <v>22600</v>
      </c>
      <c r="H31" s="64">
        <f>SUM(H30:H30)</f>
        <v>20710</v>
      </c>
      <c r="I31" s="102"/>
      <c r="J31" s="17">
        <f>SUM(J30:J30)</f>
        <v>4142</v>
      </c>
      <c r="K31" s="16"/>
      <c r="L31" s="16"/>
      <c r="M31" s="17">
        <f>SUM(M30:M30)</f>
        <v>4142</v>
      </c>
      <c r="P31" s="66"/>
    </row>
    <row r="32" spans="1:17" ht="13.8" x14ac:dyDescent="0.3">
      <c r="A32" s="2" t="s">
        <v>17</v>
      </c>
      <c r="B32" s="3"/>
      <c r="C32" s="11"/>
      <c r="D32" s="11"/>
      <c r="E32" s="143" t="str">
        <f>Лист1!B3</f>
        <v>Четыре тысячи сто сорок два доллара США,00 центов.</v>
      </c>
      <c r="F32" s="144"/>
      <c r="G32" s="144"/>
      <c r="H32" s="144"/>
      <c r="I32" s="144"/>
      <c r="J32" s="144"/>
      <c r="K32" s="144"/>
      <c r="L32" s="144"/>
      <c r="M32" s="144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5.6" x14ac:dyDescent="0.3">
      <c r="A36" s="7" t="s">
        <v>157</v>
      </c>
      <c r="B36" s="7"/>
      <c r="D36" s="25" t="s">
        <v>156</v>
      </c>
      <c r="E36" s="24"/>
      <c r="G36" s="129" t="s">
        <v>145</v>
      </c>
      <c r="H36" t="str">
        <f>Инвойс!G5</f>
        <v>ООО ТД «РЕСУРС»</v>
      </c>
      <c r="K36" s="130" t="s">
        <v>146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9"/>
  <sheetViews>
    <sheetView zoomScale="85" zoomScaleNormal="85" workbookViewId="0">
      <selection activeCell="A7" sqref="A7"/>
    </sheetView>
  </sheetViews>
  <sheetFormatPr defaultRowHeight="13.2" x14ac:dyDescent="0.25"/>
  <cols>
    <col min="1" max="1" width="48.6640625" bestFit="1" customWidth="1"/>
  </cols>
  <sheetData>
    <row r="1" spans="1:1" ht="39.6" x14ac:dyDescent="0.25">
      <c r="A1" s="126" t="s">
        <v>117</v>
      </c>
    </row>
    <row r="3" spans="1:1" ht="52.8" x14ac:dyDescent="0.25">
      <c r="A3" s="131" t="s">
        <v>137</v>
      </c>
    </row>
    <row r="5" spans="1:1" ht="39.6" x14ac:dyDescent="0.25">
      <c r="A5" s="126" t="s">
        <v>118</v>
      </c>
    </row>
    <row r="7" spans="1:1" ht="52.8" x14ac:dyDescent="0.25">
      <c r="A7" s="126" t="s">
        <v>119</v>
      </c>
    </row>
    <row r="9" spans="1:1" ht="52.8" x14ac:dyDescent="0.25">
      <c r="A9" s="126" t="s">
        <v>120</v>
      </c>
    </row>
    <row r="10" spans="1:1" x14ac:dyDescent="0.25">
      <c r="A10" s="126"/>
    </row>
    <row r="11" spans="1:1" ht="52.8" x14ac:dyDescent="0.25">
      <c r="A11" s="126" t="s">
        <v>121</v>
      </c>
    </row>
    <row r="13" spans="1:1" ht="52.8" x14ac:dyDescent="0.25">
      <c r="A13" s="126" t="s">
        <v>122</v>
      </c>
    </row>
    <row r="15" spans="1:1" ht="39.6" x14ac:dyDescent="0.25">
      <c r="A15" s="126" t="s">
        <v>123</v>
      </c>
    </row>
    <row r="17" spans="1:1" ht="39.6" x14ac:dyDescent="0.25">
      <c r="A17" s="126" t="s">
        <v>124</v>
      </c>
    </row>
    <row r="19" spans="1:1" ht="39.6" x14ac:dyDescent="0.25">
      <c r="A19" s="128" t="s">
        <v>132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5" t="s">
        <v>32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9" ht="15.6" x14ac:dyDescent="0.3">
      <c r="E2" s="27">
        <f>Инвойс!M31</f>
        <v>4142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Четыре тысячи сто сорок два доллара США,00 центов.</v>
      </c>
      <c r="E3" s="31"/>
      <c r="H3" s="32"/>
      <c r="J3" s="32"/>
      <c r="K3" s="32"/>
      <c r="L3" s="32"/>
      <c r="M3" s="33" t="s">
        <v>34</v>
      </c>
      <c r="N3" s="176">
        <f ca="1">TODAY()</f>
        <v>45882</v>
      </c>
      <c r="O3" s="176"/>
      <c r="P3">
        <f ca="1">DAY(N3)</f>
        <v>13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Четыре тысячи сто сорок два доллара США,00 центов. (в т.ч. НДС - 357,79)</v>
      </c>
      <c r="H4" s="32"/>
      <c r="I4" s="32"/>
      <c r="J4" s="32"/>
      <c r="K4" s="177" t="str">
        <f ca="1">CONCATENATE(" «  ",P3,"  »  ",Q3,"  ",R3," г.")</f>
        <v xml:space="preserve"> «  13  »  августа  2025 г.</v>
      </c>
      <c r="L4" s="177"/>
      <c r="M4" s="177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четыре тысячи сто сорок два доллара США,00 центов.</v>
      </c>
    </row>
    <row r="6" spans="1:19" s="36" customFormat="1" x14ac:dyDescent="0.25">
      <c r="A6" s="38" t="s">
        <v>37</v>
      </c>
      <c r="B6" s="36" t="str">
        <f>CONCATENATE(A8,A9,A10,A11,A12,B8,B9,C9)</f>
        <v>четыре тысячи сто сорок два доллара США,00 центов. (в т.ч. НДС - 357,79)</v>
      </c>
      <c r="C6"/>
      <c r="D6"/>
      <c r="E6"/>
      <c r="H6" s="39"/>
    </row>
    <row r="7" spans="1:19" x14ac:dyDescent="0.25">
      <c r="D7" s="33"/>
      <c r="H7" s="178" t="s">
        <v>38</v>
      </c>
      <c r="I7" s="178"/>
      <c r="J7" s="178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8"/>
      <c r="I8" s="178"/>
      <c r="J8" s="178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8"/>
      <c r="I9" s="178"/>
      <c r="J9" s="178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8"/>
      <c r="I10" s="178"/>
      <c r="J10" s="178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>сто сорок два доллара США,</v>
      </c>
      <c r="D11" s="47"/>
      <c r="E11" s="48"/>
      <c r="H11" s="178"/>
      <c r="I11" s="178"/>
      <c r="J11" s="178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45882</v>
      </c>
    </row>
    <row r="13" spans="1:19" s="43" customFormat="1" x14ac:dyDescent="0.25">
      <c r="A13" s="49"/>
      <c r="D13" s="51"/>
      <c r="E13" s="52">
        <f>TRUNC(E2)</f>
        <v>4142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41</v>
      </c>
      <c r="B27" s="47">
        <f>TRUNC(RIGHT(A27))</f>
        <v>1</v>
      </c>
      <c r="C27" s="51">
        <f>B27</f>
        <v>1</v>
      </c>
      <c r="E27" s="55" t="str">
        <f>IF(B27=1,E43,IF(B27=2,G35,IF(B27=3,G36,IF(B27=4,G37,IF(B27=5,G38,IF(B27=6,G39,IF(B27=7,G40,IF(B27=8,G41,G42))))))))</f>
        <v xml:space="preserve">сто </v>
      </c>
    </row>
    <row r="28" spans="1:9" s="43" customFormat="1" x14ac:dyDescent="0.25">
      <c r="A28" s="54">
        <f>TRUNC(A29/10)</f>
        <v>414</v>
      </c>
      <c r="B28" s="58">
        <f>TRUNC(RIGHT(A28))</f>
        <v>4</v>
      </c>
      <c r="C28" s="51">
        <f>IF(B28=1,"",B28)</f>
        <v>4</v>
      </c>
      <c r="E28" s="56" t="str">
        <f>IF(OR(C28=0,B28=1),"",IF(C28=2,E35,IF(C28=3,E36,IF(C28=4,E37,IF(C28=5,E38,IF(C28=6,E39,IF(C28=7,E40,IF(C28=8,E41,E42))))))))</f>
        <v xml:space="preserve">сорок </v>
      </c>
      <c r="G28" s="47"/>
    </row>
    <row r="29" spans="1:9" s="43" customFormat="1" x14ac:dyDescent="0.25">
      <c r="A29" s="54">
        <f>E13</f>
        <v>4142</v>
      </c>
      <c r="B29" s="47">
        <f>TRUNC(RIGHT(A29))</f>
        <v>2</v>
      </c>
      <c r="C29" s="51">
        <f>IF(B28=1,B29+10,IF(B29=0,0,B29))</f>
        <v>2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два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142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9" t="s">
        <v>81</v>
      </c>
      <c r="B44" s="179"/>
      <c r="C44" s="179"/>
      <c r="D44" s="179"/>
      <c r="E44" s="179"/>
      <c r="F44" s="179"/>
      <c r="G44" s="179"/>
      <c r="H44" s="179"/>
      <c r="I44" s="179"/>
      <c r="J44" s="174" t="s">
        <v>82</v>
      </c>
      <c r="K44" s="174"/>
    </row>
    <row r="45" spans="1:11" s="43" customFormat="1" x14ac:dyDescent="0.25">
      <c r="A45" s="179"/>
      <c r="B45" s="179"/>
      <c r="C45" s="179"/>
      <c r="D45" s="179"/>
      <c r="E45" s="179"/>
      <c r="F45" s="179"/>
      <c r="G45" s="179"/>
      <c r="H45" s="179"/>
      <c r="I45" s="179"/>
      <c r="J45" s="174"/>
      <c r="K45" s="174"/>
    </row>
    <row r="46" spans="1:11" s="43" customFormat="1" x14ac:dyDescent="0.25">
      <c r="B46" s="61"/>
      <c r="C46" s="61"/>
      <c r="G46" s="173" t="s">
        <v>83</v>
      </c>
      <c r="H46" s="173"/>
      <c r="I46" s="173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4" t="s">
        <v>85</v>
      </c>
      <c r="B100" s="174"/>
      <c r="C100" s="174"/>
      <c r="D100" s="174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400-000000000000}"/>
    <hyperlink ref="J44" r:id="rId2" xr:uid="{00000000-0004-0000-0400-000001000000}"/>
    <hyperlink ref="J46" r:id="rId3" tooltip="Замечания о программе" xr:uid="{00000000-0004-0000-04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2025-08-13T14:26:55Z</cp:lastPrinted>
  <dcterms:created xsi:type="dcterms:W3CDTF">1996-10-14T23:33:28Z</dcterms:created>
  <dcterms:modified xsi:type="dcterms:W3CDTF">2025-08-13T14:27:28Z</dcterms:modified>
</cp:coreProperties>
</file>