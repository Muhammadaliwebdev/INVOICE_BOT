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62362B2-D4A3-40CD-ADC0-DCE5A57F32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<sst xmlns="http://schemas.openxmlformats.org/spreadsheetml/2006/main" count="211" uniqueCount="163">
  <si>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</si>
  <si>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</si>
  <si>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</si>
  <si>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</si>
  <si>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</si>
  <si>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</si>
  <si>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</si>
  <si>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</si>
  <si>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</si>
  <si>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</si>
  <si>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</si>
  <si>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</si>
  <si>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</si>
  <si>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</si>
  <si>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</si>
  <si>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</si>
  <si>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</si>
  <si>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</si>
  <si>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</si>
  <si>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</si>
  <si>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</si>
  <si>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</si>
  <si>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</si>
  <si>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</si>
  <si>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</si>
  <si>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</si>
  <si>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</si>
  <si>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</si>
  <si>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</si>
  <si>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</si>
  <si>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</si>
  <si>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</si>
  <si>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</si>
  <si>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</si>
  <si>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</si>
  <si>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</si>
  <si>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</si>
  <si>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</si>
  <si>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</si>
  <si>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</si>
  <si>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</si>
  <si>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</si>
  <si>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</si>
  <si>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</si>
  <si>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</si>
  <si>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</si>
  <si>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</si>
  <si>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</si>
  <si>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</si>
  <si>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</si>
  <si>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</si>
  <si>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</si>
  <si>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</si>
  <si>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</si>
  <si>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</si>
  <si>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</si>
  <si>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</si>
  <si>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</si>
  <si>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</si>
  <si>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</si>
  <si>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</si>
  <si>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</si>
  <si>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</si>
  <si>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</si>
  <si>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</si>
  <si>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</si>
  <si>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</si>
  <si>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</si>
  <si>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</si>
  <si>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</si>
  <si>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</si>
  <si>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</si>
  <si>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</si>
  <si>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</si>
  <si>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</si>
  <si>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</si>
  <si>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</si>
  <si>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</si>
  <si>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</si>
  <si>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</si>
  <si>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</si>
  <si>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</si>
  <si>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</si>
  <si>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</si>
  <si>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</si>
  <si>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</si>
  <si>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</si>
  <si>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</si>
  <si>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</si>
  <si>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</si>
  <si>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</si>
  <si>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</si>
  <si>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</si>
  <si>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</si>
  <si>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</si>
  <si>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</si>
  <si>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</si>
  <si>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</si>
  <si>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</si>
  <si>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</si>
  <si>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</si>
  <si>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</si>
  <si>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</si>
  <si>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</si>
  <si>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</si>
  <si>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</si>
  <si>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</si>
  <si>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</si>
  <si>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</si>
  <si>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</si>
  <si>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</si>
  <si>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</si>
  <si>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</si>
  <si>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</si>
  <si>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</si>
  <si>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</si>
  <si>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</si>
  <si>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</si>
  <si>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</si>
  <si>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</si>
  <si>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</si>
  <si>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</si>
  <si>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</si>
  <si>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</si>
  <si>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</si>
  <si>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</si>
  <si>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</si>
  <si>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</si>
  <si>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</si>
  <si>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</si>
  <si>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</si>
  <si>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</si>
  <si>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</si>
  <si>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</si>
  <si>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</si>
  <si>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</si>
  <si>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</si>
  <si>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</si>
  <si>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</si>
  <si>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</si>
  <si>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</si>
  <si>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</si>
  <si>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</si>
  <si>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</si>
  <si>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</si>
  <si>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</si>
  <si>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</si>
  <si>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</si>
  <si>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</si>
  <si>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</si>
  <si>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</si>
  <si>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</si>
  <si>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</si>
  <si>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</si>
  <si>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</si>
  <si>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</si>
  <si>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</si>
  <si>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</si>
  <si>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</si>
  <si>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UFG-M-78 от </t>
  </si>
  <si>
    <t xml:space="preserve"> 08.09.2025г.</t>
  </si>
  <si>
    <t>50593HBA/501502BA</t>
  </si>
  <si>
    <t xml:space="preserve">СПЕЦИФИКАЦИЯ № UFG-M-78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</si>
</sst>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147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148</v>
      </c>
      <c r="B5" s="136"/>
      <c r="C5" s="136"/>
      <c r="D5" s="136"/>
      <c r="E5" s="136"/>
      <c r="F5" s="6"/>
      <c r="G5" s="138" t="s">
        <v>135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143</v>
      </c>
      <c r="B6" s="143"/>
      <c r="C6" s="143"/>
      <c r="D6" s="143"/>
      <c r="E6" s="143"/>
      <c r="F6" s="7"/>
      <c r="G6" s="140" t="s">
        <v>136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149</v>
      </c>
      <c r="B7" s="143"/>
      <c r="C7" s="143"/>
      <c r="D7" s="143"/>
      <c r="E7" s="143"/>
      <c r="F7" s="63"/>
      <c r="G7" s="140" t="s">
        <v>137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145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39" t="s">
        <v>141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148</v>
      </c>
      <c r="B14" s="136"/>
      <c r="C14" s="136"/>
      <c r="D14" s="136"/>
      <c r="E14" s="136"/>
      <c r="F14" s="6"/>
      <c r="G14" s="138" t="s">
        <v>135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143</v>
      </c>
      <c r="B15" s="143"/>
      <c r="C15" s="143"/>
      <c r="D15" s="143"/>
      <c r="E15" s="143"/>
      <c r="F15" s="7"/>
      <c r="G15" s="140" t="s">
        <v>136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149</v>
      </c>
      <c r="B16" s="143"/>
      <c r="C16" s="143"/>
      <c r="D16" s="143"/>
      <c r="E16" s="143"/>
      <c r="F16" s="63"/>
      <c r="G16" s="140" t="s">
        <v>137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145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39" t="s">
        <v>141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116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902</v>
      </c>
      <c r="F30" s="110" t="s">
        <v>27</v>
      </c>
      <c r="G30" s="106">
        <v>22300</v>
      </c>
      <c r="H30" s="106">
        <v>20676</v>
      </c>
      <c r="I30" s="108">
        <v>0.25</v>
      </c>
      <c r="J30" s="13">
        <f t="shared" ref="J30" si="0">H30*I30</f>
        <v>5169</v>
      </c>
      <c r="K30" s="12">
        <v>0</v>
      </c>
      <c r="L30" s="12">
        <v>0</v>
      </c>
      <c r="M30" s="13">
        <f t="shared" ref="M30" si="1">J30</f>
        <v>5169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902</v>
      </c>
      <c r="F31" s="15"/>
      <c r="G31" s="64">
        <f>SUM(G30:G30)</f>
        <v>22300</v>
      </c>
      <c r="H31" s="64">
        <f>SUM(H30:H30)</f>
        <v>20676</v>
      </c>
      <c r="I31" s="102"/>
      <c r="J31" s="17">
        <f>SUM(J30:J30)</f>
        <v>5169</v>
      </c>
      <c r="K31" s="16"/>
      <c r="L31" s="16"/>
      <c r="M31" s="17">
        <f>SUM(M30:M30)</f>
        <v>5169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сто шестьдесят девять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08.09.2025г.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UFG-M-78 от  08.09.2025г.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902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22300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"Агротерминал-Таможня" 10606060 - т/п Красноярский 660131, Красноярский край, г. Красноярск, ул. Ястынская, д. 47, стр. 12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08.09.2025г.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50593HBA/501502BA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K37" sqref="K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50593HBA/501502BA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08.09.2025г.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UFG-M-78 от  08.09.2025г.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902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22300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902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H30" sqref="H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162</v>
      </c>
      <c r="C1" s="173"/>
      <c r="D1" s="173"/>
      <c r="E1" s="173"/>
      <c r="F1" s="134" t="str">
        <f>+Инвойс!F1</f>
        <v xml:space="preserve"> 08.09.2025г.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50593HBA/501502BA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902</v>
      </c>
      <c r="F30" s="116" t="str">
        <f>+Инвойс!F30</f>
        <v>кг</v>
      </c>
      <c r="G30" s="106">
        <f>+Инвойс!G30</f>
        <v>22300</v>
      </c>
      <c r="H30" s="106">
        <f>+Инвойс!H30</f>
        <v>20676</v>
      </c>
      <c r="I30" s="108">
        <f>+Инвойс!I30</f>
        <v>0.25</v>
      </c>
      <c r="J30" s="13">
        <f>+Инвойс!J30</f>
        <v>5169</v>
      </c>
      <c r="K30" s="12">
        <v>0</v>
      </c>
      <c r="L30" s="12">
        <v>0</v>
      </c>
      <c r="M30" s="13">
        <f>+Инвойс!M30</f>
        <v>5169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902</v>
      </c>
      <c r="F31" s="15"/>
      <c r="G31" s="64">
        <f>SUM(G30:G30)</f>
        <v>22300</v>
      </c>
      <c r="H31" s="64">
        <f>SUM(H30:H30)</f>
        <v>20676</v>
      </c>
      <c r="I31" s="102"/>
      <c r="J31" s="17">
        <f>SUM(J30:J30)</f>
        <v>5169</v>
      </c>
      <c r="K31" s="16"/>
      <c r="L31" s="16"/>
      <c r="M31" s="17">
        <f>SUM(M30:M30)</f>
        <v>5169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сто шестьдесят девять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153</v>
      </c>
      <c r="B36" s="131"/>
      <c r="D36" s="18" t="str">
        <f>+Инвойс!D36</f>
        <v>ЭШТЕМИРОВ Х.Х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A14" sqref="A14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155</v>
      </c>
    </row>
    <row r="6" spans="1:10" x14ac:dyDescent="0.25">
      <c r="E6" s="18" t="s">
        <v>156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157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157</v>
      </c>
      <c r="J10" s="25" t="s">
        <v>132</v>
      </c>
    </row>
    <row r="11" spans="1:10" ht="52.8" x14ac:dyDescent="0.25">
      <c r="A11" s="126" t="s">
        <v>154</v>
      </c>
    </row>
    <row r="12" spans="1:10" x14ac:dyDescent="0.25">
      <c r="E12" s="18" t="s">
        <v>158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5169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шестьдесят девять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45908</v>
      </c>
      <c r="O3" s="177"/>
      <c r="P3">
        <f ca="1">DAY(N3)</f>
        <v>8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сто шестьдесят девять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8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шестьдесят девять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шестьдесят девять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шестьдесят девять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45908</v>
      </c>
    </row>
    <row r="13" spans="1:19" s="43" customFormat="1" x14ac:dyDescent="0.25">
      <c r="A13" s="49"/>
      <c r="D13" s="51"/>
      <c r="E13" s="52">
        <f>TRUNC(E2)</f>
        <v>5169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5169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169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2025-09-08T08:10:08Z</cp:lastPrinted>
  <dcterms:created xsi:type="dcterms:W3CDTF">1996-10-14T23:33:28Z</dcterms:created>
  <dcterms:modified xsi:type="dcterms:W3CDTF">2025-09-08T08:10:34Z</dcterms:modified>
</cp:coreProperties>
</file>