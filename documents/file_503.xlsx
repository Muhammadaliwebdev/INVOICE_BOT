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4" i="7" l="1"/>
  <c r="A4" i="7"/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<sst xmlns="http://schemas.openxmlformats.org/spreadsheetml/2006/main" count="224" uniqueCount="165">
  <si>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</si>
  <si>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</si>
  <si>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</si>
  <si>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</si>
  <si>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</si>
  <si>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</si>
  <si>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</si>
  <si>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</si>
  <si>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</si>
  <si>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</si>
  <si>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</si>
  <si>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</si>
  <si>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</si>
  <si>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</si>
  <si>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</si>
  <si>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</si>
  <si>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</si>
  <si>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</si>
  <si>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</si>
  <si>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</si>
  <si>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</si>
  <si>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</si>
  <si>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</si>
  <si>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</si>
  <si>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</si>
  <si>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</si>
  <si>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</si>
  <si>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</si>
  <si>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</si>
  <si>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</si>
  <si>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</si>
  <si>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</si>
  <si>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</si>
  <si>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</si>
  <si>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</si>
  <si>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</si>
  <si>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</si>
  <si>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</si>
  <si>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</si>
  <si>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</si>
  <si>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</si>
  <si>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</si>
  <si>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</si>
  <si>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</si>
  <si>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</si>
  <si>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</si>
  <si>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</si>
  <si>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</si>
  <si>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</si>
  <si>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</si>
  <si>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</si>
  <si>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</si>
  <si>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</si>
  <si>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</si>
  <si>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</si>
  <si>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</si>
  <si>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</si>
  <si>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</si>
  <si>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</si>
  <si>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</si>
  <si>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</si>
  <si>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</si>
  <si>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</si>
  <si>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</si>
  <si>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</si>
  <si>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</si>
  <si>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</si>
  <si>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</si>
  <si>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</si>
  <si>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</si>
  <si>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</si>
  <si>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</si>
  <si>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</si>
  <si>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</si>
  <si>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</si>
  <si>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</si>
  <si>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</si>
  <si>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</si>
  <si>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</si>
  <si>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</si>
  <si>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</si>
  <si>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</si>
  <si>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</si>
  <si>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</si>
  <si>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</si>
  <si>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</si>
  <si>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</si>
  <si>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</si>
  <si>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</si>
  <si>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</si>
  <si>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</si>
  <si>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</si>
  <si>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</si>
  <si>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</si>
  <si>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</si>
  <si>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</si>
  <si>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</si>
  <si>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</si>
  <si>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</si>
  <si>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</si>
  <si>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</si>
  <si>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</si>
  <si>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</si>
  <si>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</si>
  <si>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</si>
  <si>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</si>
  <si>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</si>
  <si>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</si>
  <si>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</si>
  <si>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</si>
  <si>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</si>
  <si>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</si>
  <si>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</si>
  <si>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</si>
  <si>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</si>
  <si>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</si>
  <si>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</si>
  <si>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</si>
  <si>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</si>
  <si>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</si>
  <si>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</si>
  <si>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</si>
  <si>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</si>
  <si>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</si>
  <si>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</si>
  <si>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</si>
  <si>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</si>
  <si>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</si>
  <si>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</si>
  <si>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</si>
  <si>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</si>
  <si>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</si>
  <si>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</si>
  <si>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</si>
  <si>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</si>
  <si>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</si>
  <si>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</si>
  <si>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</si>
  <si>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</si>
  <si>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</si>
  <si>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</si>
  <si>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</si>
  <si>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</si>
  <si>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</si>
  <si>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</si>
  <si>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</si>
  <si>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</si>
  <si>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</si>
  <si>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</si>
  <si>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</si>
  <si>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</si>
  <si>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</si>
  <si>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</si>
  <si>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</si>
  <si>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</si>
  <si>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</si>
  <si>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</si>
  <si>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</si>
  <si>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</si>
  <si>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</si>
  <si>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</si>
  <si>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 xml:space="preserve"> 09.09.2025г.</t>
  </si>
  <si>
    <t xml:space="preserve">ИНВОЙС № EXG-F-55 от </t>
  </si>
  <si>
    <t>20O639GA/202307AA</t>
  </si>
  <si>
    <t xml:space="preserve">СПЕЦИФИКАЦИЯ № EXG-F-55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</si>
</sst>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5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162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159</v>
      </c>
      <c r="B4" s="137"/>
      <c r="C4" s="137"/>
      <c r="D4" s="137"/>
      <c r="E4" s="137"/>
      <c r="G4" s="137" t="s">
        <v>160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149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hidden="1" customHeight="1" x14ac:dyDescent="0.25">
      <c r="A13" s="137" t="s">
        <v>29</v>
      </c>
      <c r="B13" s="137"/>
      <c r="C13" s="137"/>
      <c r="D13" s="137"/>
      <c r="E13" s="137"/>
      <c r="G13" s="137" t="s">
        <v>19</v>
      </c>
      <c r="H13" s="145"/>
      <c r="I13" s="145"/>
      <c r="J13" s="145"/>
      <c r="K13" s="145"/>
      <c r="L13" s="145"/>
      <c r="M13" s="145"/>
    </row>
    <row r="14" spans="1:15" ht="14.25" hidden="1" customHeight="1" x14ac:dyDescent="0.2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" hidden="1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5" hidden="1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hidden="1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hidden="1" x14ac:dyDescent="0.25">
      <c r="A19" s="124" t="s">
        <v>149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54" t="s">
        <v>124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20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5" t="s">
        <v>163</v>
      </c>
      <c r="F26" s="156"/>
      <c r="G26" s="156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25" t="s">
        <v>115</v>
      </c>
      <c r="C30" s="107" t="s">
        <v>123</v>
      </c>
      <c r="D30" s="109" t="s">
        <v>109</v>
      </c>
      <c r="E30" s="101">
        <v>900</v>
      </c>
      <c r="F30" s="115" t="s">
        <v>25</v>
      </c>
      <c r="G30" s="106">
        <v>17100</v>
      </c>
      <c r="H30" s="106">
        <v>15750</v>
      </c>
      <c r="I30" s="108">
        <v>0.4</v>
      </c>
      <c r="J30" s="13">
        <f t="shared" ref="J30:J33" si="0">H30*I30</f>
        <v>6300</v>
      </c>
      <c r="K30" s="12">
        <v>0</v>
      </c>
      <c r="L30" s="12">
        <v>0</v>
      </c>
      <c r="M30" s="13">
        <f t="shared" ref="M30:M33" si="1">J30</f>
        <v>6300</v>
      </c>
      <c r="O30" s="100"/>
      <c r="Q30" s="100"/>
    </row>
    <row r="31" spans="1:17" ht="30" x14ac:dyDescent="0.2">
      <c r="A31" s="127">
        <v>2</v>
      </c>
      <c r="B31" s="125" t="s">
        <v>115</v>
      </c>
      <c r="C31" s="107" t="s">
        <v>123</v>
      </c>
      <c r="D31" s="109" t="s">
        <v>109</v>
      </c>
      <c r="E31" s="101">
        <v>160</v>
      </c>
      <c r="F31" s="115" t="s">
        <v>25</v>
      </c>
      <c r="G31" s="106">
        <v>3040</v>
      </c>
      <c r="H31" s="106">
        <v>2800</v>
      </c>
      <c r="I31" s="108">
        <v>0.4</v>
      </c>
      <c r="J31" s="13">
        <f t="shared" si="0"/>
        <v>1120</v>
      </c>
      <c r="K31" s="12">
        <v>0</v>
      </c>
      <c r="L31" s="12">
        <v>0</v>
      </c>
      <c r="M31" s="13">
        <f t="shared" si="1"/>
        <v>1120</v>
      </c>
      <c r="O31" s="100"/>
      <c r="Q31" s="100"/>
    </row>
    <row r="32" spans="1:17" ht="30" x14ac:dyDescent="0.2">
      <c r="A32" s="127">
        <v>3</v>
      </c>
      <c r="B32" s="125" t="s">
        <v>113</v>
      </c>
      <c r="C32" s="107" t="s">
        <v>114</v>
      </c>
      <c r="D32" s="109" t="s">
        <v>109</v>
      </c>
      <c r="E32" s="101">
        <v>200</v>
      </c>
      <c r="F32" s="115" t="s">
        <v>25</v>
      </c>
      <c r="G32" s="106">
        <v>1600</v>
      </c>
      <c r="H32" s="106">
        <v>1400</v>
      </c>
      <c r="I32" s="108">
        <v>1.05</v>
      </c>
      <c r="J32" s="13">
        <f t="shared" si="0"/>
        <v>1470</v>
      </c>
      <c r="K32" s="12">
        <v>0</v>
      </c>
      <c r="L32" s="12">
        <v>0</v>
      </c>
      <c r="M32" s="13">
        <f t="shared" si="1"/>
        <v>1470</v>
      </c>
      <c r="O32" s="100"/>
      <c r="Q32" s="100"/>
    </row>
    <row r="33" spans="1:17" ht="30" x14ac:dyDescent="0.2">
      <c r="A33" s="127">
        <v>4</v>
      </c>
      <c r="B33" s="125" t="s">
        <v>113</v>
      </c>
      <c r="C33" s="107" t="s">
        <v>114</v>
      </c>
      <c r="D33" s="109" t="s">
        <v>109</v>
      </c>
      <c r="E33" s="101">
        <v>100</v>
      </c>
      <c r="F33" s="115" t="s">
        <v>25</v>
      </c>
      <c r="G33" s="106">
        <v>800</v>
      </c>
      <c r="H33" s="106">
        <v>700</v>
      </c>
      <c r="I33" s="108">
        <v>1.05</v>
      </c>
      <c r="J33" s="13">
        <f t="shared" si="0"/>
        <v>735</v>
      </c>
      <c r="K33" s="12">
        <v>0</v>
      </c>
      <c r="L33" s="12">
        <v>0</v>
      </c>
      <c r="M33" s="13">
        <f t="shared" si="1"/>
        <v>735</v>
      </c>
      <c r="O33" s="100"/>
      <c r="Q33" s="100"/>
    </row>
    <row r="34" spans="1:17" ht="14.25" x14ac:dyDescent="0.2">
      <c r="A34" s="150" t="s">
        <v>0</v>
      </c>
      <c r="B34" s="151"/>
      <c r="C34" s="14"/>
      <c r="D34" s="15"/>
      <c r="E34" s="64">
        <f>SUM(E30:E33)</f>
        <v>1360</v>
      </c>
      <c r="F34" s="15"/>
      <c r="G34" s="64">
        <f>SUM(G30:G33)</f>
        <v>22540</v>
      </c>
      <c r="H34" s="64">
        <f>SUM(H30:H33)</f>
        <v>20650</v>
      </c>
      <c r="I34" s="102"/>
      <c r="J34" s="17">
        <f>SUM(J30:J33)</f>
        <v>9625</v>
      </c>
      <c r="K34" s="16"/>
      <c r="L34" s="16"/>
      <c r="M34" s="17">
        <f>SUM(M30:M33)</f>
        <v>9625</v>
      </c>
      <c r="P34" s="66"/>
    </row>
    <row r="35" spans="1:17" ht="13.5" x14ac:dyDescent="0.25">
      <c r="A35" s="2" t="s">
        <v>17</v>
      </c>
      <c r="B35" s="3"/>
      <c r="C35" s="11"/>
      <c r="D35" s="11"/>
      <c r="E35" s="146" t="str">
        <f>Лист1!B3</f>
        <v>Девять тысяч шестьсот двадцать пять долларов США, 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">
      <c r="A37" s="144" t="s">
        <v>107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ht="15" x14ac:dyDescent="0.25">
      <c r="A39" s="7" t="s">
        <v>26</v>
      </c>
      <c r="B39" s="7"/>
      <c r="D39" s="25" t="s">
        <v>152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27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4" sqref="B34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EXG-F-55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104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17100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160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3040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200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1600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100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800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20O639GA/202307AA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94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4" t="str">
        <f>+Инвойс!E26</f>
        <v>20O639GA/202307AA</v>
      </c>
      <c r="C14" s="164"/>
      <c r="D14" s="164"/>
      <c r="E14" s="164"/>
      <c r="F14" s="164"/>
      <c r="G14" s="164"/>
      <c r="H14" s="165" t="s">
        <v>105</v>
      </c>
      <c r="I14" s="165"/>
      <c r="J14" s="88" t="str">
        <f>+Инвойс!F1</f>
        <v xml:space="preserve"> 09.09.2025г.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66" t="str">
        <f>+CMR!B24</f>
        <v>ИНВОЙС № EXG-F-55 от  09.09.2025г.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6"/>
      <c r="F18" s="117">
        <f>+Инвойс!E30</f>
        <v>900</v>
      </c>
      <c r="G18" s="167" t="str">
        <f>+CMR!F30</f>
        <v>Перец стручковый сладкий свежий</v>
      </c>
      <c r="H18" s="167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101</v>
      </c>
      <c r="J19" s="119">
        <f>+Инвойс!G30</f>
        <v>17100</v>
      </c>
    </row>
    <row r="20" spans="2:10" ht="13.5" customHeight="1" x14ac:dyDescent="0.25">
      <c r="B20" s="83"/>
      <c r="E20" s="122"/>
      <c r="F20" s="117">
        <f>+Инвойс!E31</f>
        <v>160</v>
      </c>
      <c r="G20" s="167" t="str">
        <f>+CMR!F31</f>
        <v>Перец стручковый сладкий свежий</v>
      </c>
      <c r="H20" s="167"/>
      <c r="I20" s="118"/>
      <c r="J20" s="119"/>
    </row>
    <row r="21" spans="2:10" ht="13.5" customHeight="1" x14ac:dyDescent="0.25">
      <c r="B21" s="83" t="s">
        <v>102</v>
      </c>
      <c r="E21" s="122"/>
      <c r="F21" s="120" t="str">
        <f>+Инвойс!D31</f>
        <v>Пласт. ящик</v>
      </c>
      <c r="G21" s="161" t="str">
        <f>+Инвойс!C31</f>
        <v>0709601003</v>
      </c>
      <c r="H21" s="162"/>
      <c r="I21" s="121" t="s">
        <v>101</v>
      </c>
      <c r="J21" s="119">
        <f>+Инвойс!G31</f>
        <v>3040</v>
      </c>
    </row>
    <row r="22" spans="2:10" ht="12.75" customHeight="1" x14ac:dyDescent="0.25">
      <c r="B22" s="83"/>
      <c r="E22" s="122"/>
      <c r="F22" s="117">
        <f>+Инвойс!E32</f>
        <v>200</v>
      </c>
      <c r="G22" s="167" t="str">
        <f>+CMR!F32</f>
        <v>Перец горький свежий</v>
      </c>
      <c r="H22" s="167"/>
      <c r="I22" s="118"/>
      <c r="J22" s="119"/>
    </row>
    <row r="23" spans="2:10" ht="14.25" customHeight="1" x14ac:dyDescent="0.25">
      <c r="B23" s="83"/>
      <c r="E23" s="122"/>
      <c r="F23" s="120" t="str">
        <f>+Инвойс!D32</f>
        <v>Пласт. ящик</v>
      </c>
      <c r="G23" s="161" t="str">
        <f>+Инвойс!C32</f>
        <v>0709609900</v>
      </c>
      <c r="H23" s="162"/>
      <c r="I23" s="121" t="s">
        <v>101</v>
      </c>
      <c r="J23" s="119">
        <f>+Инвойс!G32</f>
        <v>1600</v>
      </c>
    </row>
    <row r="24" spans="2:10" ht="12.75" customHeight="1" x14ac:dyDescent="0.25">
      <c r="B24" s="87"/>
      <c r="E24" s="122"/>
      <c r="F24" s="117">
        <f>+Инвойс!E33</f>
        <v>100</v>
      </c>
      <c r="G24" s="167" t="str">
        <f>+CMR!F33</f>
        <v>Перец горький свежий</v>
      </c>
      <c r="H24" s="167"/>
      <c r="I24" s="118"/>
      <c r="J24" s="119"/>
    </row>
    <row r="25" spans="2:10" ht="12.75" customHeight="1" x14ac:dyDescent="0.25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101</v>
      </c>
      <c r="J25" s="119">
        <f>+Инвойс!G33</f>
        <v>800</v>
      </c>
    </row>
    <row r="26" spans="2:10" ht="12" customHeight="1" x14ac:dyDescent="0.25">
      <c r="B26" s="87"/>
      <c r="E26" s="122"/>
      <c r="F26" s="117"/>
      <c r="G26" s="167"/>
      <c r="H26" s="167"/>
      <c r="I26" s="118"/>
      <c r="J26" s="119"/>
    </row>
    <row r="27" spans="2:10" ht="14.25" customHeight="1" x14ac:dyDescent="0.25">
      <c r="B27" s="87"/>
      <c r="E27" s="122"/>
      <c r="F27" s="120"/>
      <c r="G27" s="161"/>
      <c r="H27" s="162"/>
      <c r="I27" s="121"/>
      <c r="J27" s="119"/>
    </row>
    <row r="28" spans="2:10" ht="12.75" customHeight="1" x14ac:dyDescent="0.25">
      <c r="B28" s="87"/>
      <c r="E28" s="122"/>
      <c r="F28" s="117"/>
      <c r="G28" s="167"/>
      <c r="H28" s="167"/>
      <c r="I28" s="118"/>
      <c r="J28" s="119"/>
    </row>
    <row r="29" spans="2:10" ht="12.75" customHeight="1" x14ac:dyDescent="0.25">
      <c r="B29" s="87"/>
      <c r="E29" s="122"/>
      <c r="F29" s="120"/>
      <c r="G29" s="161"/>
      <c r="H29" s="162"/>
      <c r="I29" s="121"/>
      <c r="J29" s="119"/>
    </row>
    <row r="30" spans="2:10" ht="12.75" customHeight="1" x14ac:dyDescent="0.25">
      <c r="B30" s="87"/>
      <c r="E30" s="122"/>
      <c r="F30" s="117"/>
      <c r="G30" s="167"/>
      <c r="H30" s="167"/>
      <c r="I30" s="118"/>
      <c r="J30" s="119"/>
    </row>
    <row r="31" spans="2:10" ht="13.5" customHeight="1" x14ac:dyDescent="0.25">
      <c r="B31" s="87"/>
      <c r="E31" s="122"/>
      <c r="F31" s="120"/>
      <c r="G31" s="161"/>
      <c r="H31" s="162"/>
      <c r="I31" s="121"/>
      <c r="J31" s="119"/>
    </row>
    <row r="32" spans="2:10" ht="13.5" customHeight="1" x14ac:dyDescent="0.25">
      <c r="B32" s="87"/>
      <c r="E32" s="122"/>
      <c r="F32" s="117"/>
      <c r="G32" s="167"/>
      <c r="H32" s="167"/>
      <c r="I32" s="118"/>
      <c r="J32" s="119"/>
    </row>
    <row r="33" spans="2:10" ht="13.5" customHeight="1" x14ac:dyDescent="0.25">
      <c r="B33" s="87"/>
      <c r="E33" s="122"/>
      <c r="F33" s="120"/>
      <c r="G33" s="161"/>
      <c r="H33" s="162"/>
      <c r="I33" s="121"/>
      <c r="J33" s="119"/>
    </row>
    <row r="34" spans="2:10" ht="13.5" customHeight="1" x14ac:dyDescent="0.25">
      <c r="B34" s="87"/>
      <c r="E34" s="122"/>
      <c r="F34" s="117"/>
      <c r="G34" s="167"/>
      <c r="H34" s="167"/>
      <c r="I34" s="118"/>
      <c r="J34" s="119"/>
    </row>
    <row r="35" spans="2:10" ht="12.75" customHeight="1" x14ac:dyDescent="0.25">
      <c r="B35" s="87"/>
      <c r="E35" s="122"/>
      <c r="F35" s="120"/>
      <c r="G35" s="161"/>
      <c r="H35" s="162"/>
      <c r="I35" s="121"/>
      <c r="J35" s="119"/>
    </row>
    <row r="36" spans="2:10" x14ac:dyDescent="0.25">
      <c r="B36" s="87"/>
      <c r="E36" s="122"/>
      <c r="F36" s="117"/>
      <c r="G36" s="167"/>
      <c r="H36" s="167"/>
      <c r="I36" s="118"/>
      <c r="J36" s="119"/>
    </row>
    <row r="37" spans="2:10" ht="13.5" customHeight="1" x14ac:dyDescent="0.25">
      <c r="B37" s="87"/>
      <c r="E37" s="122"/>
      <c r="F37" s="120"/>
      <c r="G37" s="161"/>
      <c r="H37" s="162"/>
      <c r="I37" s="121"/>
      <c r="J37" s="119"/>
    </row>
    <row r="38" spans="2:10" x14ac:dyDescent="0.25">
      <c r="B38" s="87"/>
      <c r="E38" s="122"/>
      <c r="F38" s="117"/>
      <c r="G38" s="167"/>
      <c r="H38" s="167"/>
      <c r="I38" s="118"/>
      <c r="J38" s="119"/>
    </row>
    <row r="39" spans="2:10" ht="13.5" customHeight="1" x14ac:dyDescent="0.25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25">
      <c r="B40" s="87"/>
      <c r="E40" s="122"/>
      <c r="F40" s="117"/>
      <c r="G40" s="167"/>
      <c r="H40" s="167"/>
      <c r="I40" s="118"/>
      <c r="J40" s="119"/>
    </row>
    <row r="41" spans="2:10" ht="14.25" hidden="1" customHeight="1" x14ac:dyDescent="0.25">
      <c r="B41" s="87"/>
      <c r="E41" s="122"/>
      <c r="F41" s="120"/>
      <c r="G41" s="161"/>
      <c r="H41" s="162"/>
      <c r="I41" s="121"/>
      <c r="J41" s="119"/>
    </row>
    <row r="42" spans="2:10" hidden="1" x14ac:dyDescent="0.25">
      <c r="B42" s="87"/>
      <c r="E42" s="122"/>
      <c r="F42" s="117"/>
      <c r="G42" s="167"/>
      <c r="H42" s="167"/>
      <c r="I42" s="118"/>
      <c r="J42" s="119"/>
    </row>
    <row r="43" spans="2:10" x14ac:dyDescent="0.25">
      <c r="B43" s="87"/>
      <c r="E43" s="122"/>
      <c r="F43" s="120"/>
      <c r="G43" s="161"/>
      <c r="H43" s="162"/>
      <c r="I43" s="121"/>
      <c r="J43" s="119"/>
    </row>
    <row r="44" spans="2:10" ht="9" customHeight="1" x14ac:dyDescent="0.25">
      <c r="B44" s="87"/>
      <c r="E44" s="95"/>
      <c r="F44" s="92"/>
      <c r="G44" s="169"/>
      <c r="H44" s="169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1360</v>
      </c>
      <c r="E47" s="171"/>
    </row>
    <row r="48" spans="2:10" ht="17.25" customHeight="1" x14ac:dyDescent="0.25">
      <c r="B48" s="168" t="s">
        <v>103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164</v>
      </c>
      <c r="C1" s="174"/>
      <c r="D1" s="174"/>
      <c r="E1" s="174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tr">
        <f>+Инвойс!A4</f>
        <v xml:space="preserve">Продавец/Грузоотправитель:  </v>
      </c>
      <c r="B4" s="137"/>
      <c r="C4" s="137"/>
      <c r="D4" s="137"/>
      <c r="E4" s="137"/>
      <c r="G4" s="137" t="str">
        <f>+Инвойс!G4</f>
        <v xml:space="preserve">Покупатель/Грузополучатель: 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hidden="1" customHeight="1" x14ac:dyDescent="0.25">
      <c r="A13" s="137" t="s">
        <v>29</v>
      </c>
      <c r="B13" s="137"/>
      <c r="C13" s="137"/>
      <c r="D13" s="137"/>
      <c r="E13" s="137"/>
      <c r="G13" s="137" t="s">
        <v>19</v>
      </c>
      <c r="H13" s="145"/>
      <c r="I13" s="145"/>
      <c r="J13" s="145"/>
      <c r="K13" s="145"/>
      <c r="L13" s="145"/>
      <c r="M13" s="145"/>
    </row>
    <row r="14" spans="1:15" ht="14.25" hidden="1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hidden="1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hidden="1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hidden="1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hidden="1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hidden="1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hidden="1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hidden="1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85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5" t="str">
        <f>+Инвойс!E26</f>
        <v>20O639GA/202307AA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900</v>
      </c>
      <c r="F30" s="115" t="str">
        <f>+Инвойс!F30</f>
        <v>кг</v>
      </c>
      <c r="G30" s="106">
        <f>+Инвойс!G30</f>
        <v>17100</v>
      </c>
      <c r="H30" s="106">
        <f>+Инвойс!H30</f>
        <v>15750</v>
      </c>
      <c r="I30" s="108">
        <f>+Инвойс!I30</f>
        <v>0.4</v>
      </c>
      <c r="J30" s="13">
        <f>+Инвойс!J30</f>
        <v>6300</v>
      </c>
      <c r="K30" s="12">
        <v>0</v>
      </c>
      <c r="L30" s="12">
        <v>0</v>
      </c>
      <c r="M30" s="13">
        <f>+Инвойс!M30</f>
        <v>6300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160</v>
      </c>
      <c r="F31" s="115" t="str">
        <f>+Инвойс!F31</f>
        <v>кг</v>
      </c>
      <c r="G31" s="106">
        <f>+Инвойс!G31</f>
        <v>3040</v>
      </c>
      <c r="H31" s="106">
        <f>+Инвойс!H31</f>
        <v>2800</v>
      </c>
      <c r="I31" s="108">
        <f>+Инвойс!I31</f>
        <v>0.4</v>
      </c>
      <c r="J31" s="13">
        <f>+Инвойс!J31</f>
        <v>1120</v>
      </c>
      <c r="K31" s="12">
        <v>0</v>
      </c>
      <c r="L31" s="12">
        <v>0</v>
      </c>
      <c r="M31" s="13">
        <f>+Инвойс!M31</f>
        <v>1120</v>
      </c>
      <c r="O31" s="100"/>
      <c r="Q31" s="100"/>
    </row>
    <row r="32" spans="1:17" ht="15" x14ac:dyDescent="0.2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200</v>
      </c>
      <c r="F32" s="115" t="str">
        <f>+Инвойс!F32</f>
        <v>кг</v>
      </c>
      <c r="G32" s="106">
        <f>+Инвойс!G32</f>
        <v>1600</v>
      </c>
      <c r="H32" s="106">
        <f>+Инвойс!H32</f>
        <v>1400</v>
      </c>
      <c r="I32" s="108">
        <f>+Инвойс!I32</f>
        <v>1.05</v>
      </c>
      <c r="J32" s="13">
        <f>+Инвойс!J32</f>
        <v>1470</v>
      </c>
      <c r="K32" s="12">
        <v>0</v>
      </c>
      <c r="L32" s="12">
        <v>0</v>
      </c>
      <c r="M32" s="13">
        <f>+Инвойс!M32</f>
        <v>1470</v>
      </c>
      <c r="O32" s="100"/>
      <c r="Q32" s="100"/>
    </row>
    <row r="33" spans="1:17" ht="15" x14ac:dyDescent="0.2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100</v>
      </c>
      <c r="F33" s="115" t="str">
        <f>+Инвойс!F33</f>
        <v>кг</v>
      </c>
      <c r="G33" s="106">
        <f>+Инвойс!G33</f>
        <v>800</v>
      </c>
      <c r="H33" s="106">
        <f>+Инвойс!H33</f>
        <v>700</v>
      </c>
      <c r="I33" s="108">
        <f>+Инвойс!I33</f>
        <v>1.05</v>
      </c>
      <c r="J33" s="13">
        <f>+Инвойс!J33</f>
        <v>735</v>
      </c>
      <c r="K33" s="12">
        <v>0</v>
      </c>
      <c r="L33" s="12">
        <v>0</v>
      </c>
      <c r="M33" s="13">
        <f>+Инвойс!M33</f>
        <v>735</v>
      </c>
      <c r="O33" s="100"/>
      <c r="Q33" s="100"/>
    </row>
    <row r="34" spans="1:17" ht="14.25" x14ac:dyDescent="0.2">
      <c r="A34" s="150" t="s">
        <v>0</v>
      </c>
      <c r="B34" s="151"/>
      <c r="C34" s="14"/>
      <c r="D34" s="15"/>
      <c r="E34" s="64">
        <f>SUM(E30:E33)</f>
        <v>1360</v>
      </c>
      <c r="F34" s="15"/>
      <c r="G34" s="64">
        <f>SUM(G30:G33)</f>
        <v>22540</v>
      </c>
      <c r="H34" s="64">
        <f>SUM(H30:H33)</f>
        <v>20650</v>
      </c>
      <c r="I34" s="102"/>
      <c r="J34" s="17">
        <f>SUM(J30:J33)</f>
        <v>9625</v>
      </c>
      <c r="K34" s="16"/>
      <c r="L34" s="16"/>
      <c r="M34" s="17">
        <f>SUM(M30:M33)</f>
        <v>9625</v>
      </c>
      <c r="P34" s="66"/>
    </row>
    <row r="35" spans="1:17" ht="13.5" x14ac:dyDescent="0.25">
      <c r="A35" s="2" t="s">
        <v>17</v>
      </c>
      <c r="B35" s="3"/>
      <c r="C35" s="11"/>
      <c r="D35" s="11"/>
      <c r="E35" s="146" t="str">
        <f>Лист1!B3</f>
        <v>Девять тысяч шестьсот двадцать пять долларов США, 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s="18" customFormat="1" ht="15.75" x14ac:dyDescent="0.25">
      <c r="A39" s="131" t="s">
        <v>153</v>
      </c>
      <c r="B39" s="131"/>
      <c r="D39" s="18" t="str">
        <f>+Инвойс!D39</f>
        <v>АБДИЛАКИМОВ А.А</v>
      </c>
      <c r="E39" s="132"/>
      <c r="G39" s="129" t="s">
        <v>128</v>
      </c>
      <c r="H39" s="18" t="str">
        <f>Инвойс!G5</f>
        <v>ООО «ГРИН ВОРЛД»</v>
      </c>
      <c r="K39" s="133" t="s">
        <v>142</v>
      </c>
    </row>
    <row r="40" spans="1:17" ht="15" x14ac:dyDescent="0.25">
      <c r="A40" s="7"/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117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118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Инвойс!M34</f>
        <v>9625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Девять тысяч шестьсот двадцать пять долларов США, 00 центов.</v>
      </c>
      <c r="E3" s="31"/>
      <c r="H3" s="32"/>
      <c r="J3" s="32"/>
      <c r="K3" s="32"/>
      <c r="L3" s="32"/>
      <c r="M3" s="33" t="s">
        <v>32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Девять тысяч шестьсот двадцать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девять тысяч шестьсот двадцать пять долларов США, 00 центов.</v>
      </c>
    </row>
    <row r="6" spans="1:19" s="36" customFormat="1" x14ac:dyDescent="0.2">
      <c r="A6" s="38" t="s">
        <v>35</v>
      </c>
      <c r="B6" s="36" t="str">
        <f>CONCATENATE(A8,A9,A10,A11,A12,B8,B9,C9)</f>
        <v>девять тысяч шестьсот двадцать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36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шестьсот двадцать пять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9625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96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">
      <c r="A28" s="54">
        <f>TRUNC(A29/10)</f>
        <v>962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9625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625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1" t="s">
        <v>79</v>
      </c>
      <c r="B44" s="181"/>
      <c r="C44" s="181"/>
      <c r="D44" s="181"/>
      <c r="E44" s="181"/>
      <c r="F44" s="181"/>
      <c r="G44" s="181"/>
      <c r="H44" s="181"/>
      <c r="I44" s="181"/>
      <c r="J44" s="176" t="s">
        <v>80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81</v>
      </c>
      <c r="H46" s="175"/>
      <c r="I46" s="175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83</v>
      </c>
      <c r="B100" s="176"/>
      <c r="C100" s="176"/>
      <c r="D100" s="176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2025-09-09T13:38:11Z</cp:lastPrinted>
  <dcterms:created xsi:type="dcterms:W3CDTF">1996-10-14T23:33:28Z</dcterms:created>
  <dcterms:modified xsi:type="dcterms:W3CDTF">2025-09-09T13:38:12Z</dcterms:modified>
</cp:coreProperties>
</file>