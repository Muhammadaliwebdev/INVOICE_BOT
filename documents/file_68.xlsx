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7F932DE-31D5-43AF-9F61-3EB47F142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<sst xmlns="http://schemas.openxmlformats.org/spreadsheetml/2006/main" count="211" uniqueCount="164">
  <si>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</si>
  <si>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</si>
  <si>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</si>
  <si>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</si>
  <si>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</si>
  <si>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</si>
  <si>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</si>
  <si>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</si>
  <si>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</si>
  <si>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</si>
  <si>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</si>
  <si>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</si>
  <si>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</si>
  <si>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</si>
  <si>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</si>
  <si>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</si>
  <si>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</si>
  <si>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</si>
  <si>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</si>
  <si>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</si>
  <si>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</si>
  <si>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</si>
  <si>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</si>
  <si>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</si>
  <si>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</si>
  <si>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</si>
  <si>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</si>
  <si>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</si>
  <si>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</si>
  <si>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</si>
  <si>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</si>
  <si>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</si>
  <si>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</si>
  <si>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</si>
  <si>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</si>
  <si>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</si>
  <si>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</si>
  <si>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</si>
  <si>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</si>
  <si>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</si>
  <si>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</si>
  <si>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</si>
  <si>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</si>
  <si>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</si>
  <si>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</si>
  <si>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</si>
  <si>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</si>
  <si>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</si>
  <si>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</si>
  <si>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</si>
  <si>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</si>
  <si>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</si>
  <si>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</si>
  <si>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</si>
  <si>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</si>
  <si>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</si>
  <si>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</si>
  <si>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</si>
  <si>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</si>
  <si>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</si>
  <si>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</si>
  <si>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</si>
  <si>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</si>
  <si>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</si>
  <si>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</si>
  <si>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</si>
  <si>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</si>
  <si>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</si>
  <si>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</si>
  <si>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</si>
  <si>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</si>
  <si>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</si>
  <si>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</si>
  <si>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</si>
  <si>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</si>
  <si>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</si>
  <si>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</si>
  <si>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</si>
  <si>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</si>
  <si>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</si>
  <si>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</si>
  <si>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</si>
  <si>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</si>
  <si>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</si>
  <si>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</si>
  <si>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</si>
  <si>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</si>
  <si>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</si>
  <si>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</si>
  <si>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</si>
  <si>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</si>
  <si>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</si>
  <si>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</si>
  <si>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</si>
  <si>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</si>
  <si>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</si>
  <si>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</si>
  <si>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</si>
  <si>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</si>
  <si>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</si>
  <si>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</si>
  <si>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</si>
  <si>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</si>
  <si>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</si>
  <si>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</si>
  <si>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</si>
  <si>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</si>
  <si>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</si>
  <si>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</si>
  <si>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</si>
  <si>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</si>
  <si>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</si>
  <si>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</si>
  <si>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</si>
  <si>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</si>
  <si>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</si>
  <si>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</si>
  <si>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</si>
  <si>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</si>
  <si>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</si>
  <si>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</si>
  <si>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</si>
  <si>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</si>
  <si>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</si>
  <si>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</si>
  <si>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</si>
  <si>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</si>
  <si>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</si>
  <si>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</si>
  <si>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</si>
  <si>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</si>
  <si>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</si>
  <si>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</si>
  <si>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</si>
  <si>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</si>
  <si>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</si>
  <si>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</si>
  <si>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</si>
  <si>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</si>
  <si>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</si>
  <si>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</si>
  <si>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</si>
  <si>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</si>
  <si>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</si>
  <si>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</si>
  <si>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</si>
  <si>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</si>
  <si>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</si>
  <si>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</si>
  <si>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</si>
  <si>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</si>
  <si>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</si>
  <si>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</si>
  <si>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</si>
  <si>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</si>
  <si>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</si>
  <si>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</si>
  <si>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</si>
  <si>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</si>
  <si>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</si>
  <si>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UFG-M-9 от </t>
  </si>
  <si>
    <t xml:space="preserve"> 26.08.2025г.</t>
  </si>
  <si>
    <t>40170PBA/406083BA</t>
  </si>
  <si>
    <t xml:space="preserve">СПЕЦИФИКАЦИЯ № UFG-M-9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</si>
</sst>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8" customHeight="1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874</v>
      </c>
      <c r="F30" s="110" t="s">
        <v>27</v>
      </c>
      <c r="G30" s="106">
        <v>22724</v>
      </c>
      <c r="H30" s="106">
        <v>21151</v>
      </c>
      <c r="I30" s="108">
        <v>0.25</v>
      </c>
      <c r="J30" s="13">
        <f t="shared" ref="J30" si="0">H30*I30</f>
        <v>5287.75</v>
      </c>
      <c r="K30" s="12">
        <v>0</v>
      </c>
      <c r="L30" s="12">
        <v>0</v>
      </c>
      <c r="M30" s="13">
        <f t="shared" ref="M30" si="1">J30</f>
        <v>5287.75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874</v>
      </c>
      <c r="F31" s="15"/>
      <c r="G31" s="64">
        <f>SUM(G30:G30)</f>
        <v>22724</v>
      </c>
      <c r="H31" s="64">
        <f>SUM(H30:H30)</f>
        <v>21151</v>
      </c>
      <c r="I31" s="102"/>
      <c r="J31" s="17">
        <f>SUM(J30:J30)</f>
        <v>5287.75</v>
      </c>
      <c r="K31" s="16"/>
      <c r="L31" s="16"/>
      <c r="M31" s="17">
        <f>SUM(M30:M30)</f>
        <v>5287.75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восемьдесят семь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5" sqref="F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UFG-M-9 от  26.08.2025г.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874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22724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26.08.2025г.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40170PBA/406083BA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E43" sqref="E4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40170PBA/406083BA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UFG-M-9 от  26.08.2025г.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874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22724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874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C31" sqref="C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26.08.2025г.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40170PBA/406083BA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874</v>
      </c>
      <c r="F30" s="116" t="str">
        <f>+Инвойс!F30</f>
        <v>кг</v>
      </c>
      <c r="G30" s="106">
        <f>+Инвойс!G30</f>
        <v>22724</v>
      </c>
      <c r="H30" s="106">
        <f>+Инвойс!H30</f>
        <v>21151</v>
      </c>
      <c r="I30" s="108">
        <f>+Инвойс!I30</f>
        <v>0.25</v>
      </c>
      <c r="J30" s="13">
        <f>+Инвойс!J30</f>
        <v>5287.75</v>
      </c>
      <c r="K30" s="12">
        <v>0</v>
      </c>
      <c r="L30" s="12">
        <v>0</v>
      </c>
      <c r="M30" s="13">
        <f>+Инвойс!M30</f>
        <v>5287.75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874</v>
      </c>
      <c r="F31" s="15"/>
      <c r="G31" s="64">
        <f>SUM(G30:G30)</f>
        <v>22724</v>
      </c>
      <c r="H31" s="64">
        <f>SUM(H30:H30)</f>
        <v>21151</v>
      </c>
      <c r="I31" s="102"/>
      <c r="J31" s="17">
        <f>SUM(J30:J30)</f>
        <v>5287.75</v>
      </c>
      <c r="K31" s="16"/>
      <c r="L31" s="16"/>
      <c r="M31" s="17">
        <f>SUM(M30:M30)</f>
        <v>5287.75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восемьдесят семь долларов США, 75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5287.75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восемьдесят семь долларов США, 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45895</v>
      </c>
      <c r="O3" s="178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восемьдесят семь долларов США, 75 центов. (в т.ч. НДС - 357,79)</v>
      </c>
      <c r="H4" s="32"/>
      <c r="I4" s="32"/>
      <c r="J4" s="32"/>
      <c r="K4" s="179" t="str">
        <f ca="1">CONCATENATE(" «  ",P3,"  »  ",Q3,"  ",R3," г.")</f>
        <v xml:space="preserve"> «  26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восемьдесят семь долларов США, 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восемьдесят семь долларов США, 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восемьдесят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5287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5287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287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2025-08-26T16:43:58Z</cp:lastPrinted>
  <dcterms:created xsi:type="dcterms:W3CDTF">1996-10-14T23:33:28Z</dcterms:created>
  <dcterms:modified xsi:type="dcterms:W3CDTF">2025-08-26T16:44:06Z</dcterms:modified>
</cp:coreProperties>
</file>