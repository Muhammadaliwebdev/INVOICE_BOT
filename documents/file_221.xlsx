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4B860A3-360E-4F87-9CEF-BB0617A62F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<sst xmlns="http://schemas.openxmlformats.org/spreadsheetml/2006/main" count="201" uniqueCount="163">
  <si>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</si>
  <si>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</si>
  <si>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</si>
  <si>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</si>
  <si>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</si>
  <si>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</si>
  <si>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</si>
  <si>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</si>
  <si>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</si>
  <si>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</si>
  <si>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</si>
  <si>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</si>
  <si>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</si>
  <si>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</si>
  <si>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</si>
  <si>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</si>
  <si>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</si>
  <si>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</si>
  <si>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</si>
  <si>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</si>
  <si>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</si>
  <si>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</si>
  <si>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</si>
  <si>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</si>
  <si>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</si>
  <si>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</si>
  <si>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</si>
  <si>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</si>
  <si>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</si>
  <si>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</si>
  <si>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</si>
  <si>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</si>
  <si>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</si>
  <si>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</si>
  <si>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</si>
  <si>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</si>
  <si>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</si>
  <si>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</si>
  <si>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</si>
  <si>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</si>
  <si>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</si>
  <si>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</si>
  <si>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</si>
  <si>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</si>
  <si>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</si>
  <si>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</si>
  <si>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</si>
  <si>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</si>
  <si>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</si>
  <si>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</si>
  <si>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</si>
  <si>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</si>
  <si>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</si>
  <si>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</si>
  <si>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</si>
  <si>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</si>
  <si>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</si>
  <si>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</si>
  <si>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</si>
  <si>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</si>
  <si>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</si>
  <si>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</si>
  <si>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</si>
  <si>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</si>
  <si>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</si>
  <si>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</si>
  <si>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</si>
  <si>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</si>
  <si>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</si>
  <si>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</si>
  <si>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</si>
  <si>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</si>
  <si>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</si>
  <si>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</si>
  <si>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</si>
  <si>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</si>
  <si>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</si>
  <si>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</si>
  <si>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</si>
  <si>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</si>
  <si>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</si>
  <si>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</si>
  <si>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</si>
  <si>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</si>
  <si>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</si>
  <si>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</si>
  <si>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</si>
  <si>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</si>
  <si>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</si>
  <si>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</si>
  <si>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</si>
  <si>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</si>
  <si>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</si>
  <si>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</si>
  <si>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</si>
  <si>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</si>
  <si>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</si>
  <si>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</si>
  <si>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</si>
  <si>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</si>
  <si>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</si>
  <si>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</si>
  <si>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</si>
  <si>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</si>
  <si>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</si>
  <si>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</si>
  <si>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</si>
  <si>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</si>
  <si>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</si>
  <si>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</si>
  <si>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</si>
  <si>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</si>
  <si>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</si>
  <si>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</si>
  <si>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</si>
  <si>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</si>
  <si>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</si>
  <si>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</si>
  <si>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</si>
  <si>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</si>
  <si>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</si>
  <si>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</si>
  <si>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</si>
  <si>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</si>
  <si>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</si>
  <si>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</si>
  <si>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</si>
  <si>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</si>
  <si>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</si>
  <si>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</si>
  <si>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</si>
  <si>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</si>
  <si>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</si>
  <si>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</si>
  <si>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</si>
  <si>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</si>
  <si>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</si>
  <si>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</si>
  <si>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</si>
  <si>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</si>
  <si>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</si>
  <si>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</si>
  <si>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</si>
  <si>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</si>
  <si>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</si>
  <si>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</si>
  <si>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</si>
  <si>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</si>
  <si>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</si>
  <si>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</si>
  <si>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</si>
  <si>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</si>
  <si>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</si>
  <si>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</si>
  <si>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</si>
  <si>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</si>
  <si>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</si>
  <si>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</si>
  <si>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BEZ-A-87 от </t>
  </si>
  <si>
    <t xml:space="preserve"> 13.08.2025г.</t>
  </si>
  <si>
    <t>DAP - с Амандык , Республика Казахстан</t>
  </si>
  <si>
    <t>01894BLA/016513BA</t>
  </si>
  <si>
    <t xml:space="preserve">СПЕЦИФИКАЦИЯ № BEZ-A-87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</si>
</sst>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158</v>
      </c>
      <c r="D1" s="133"/>
      <c r="E1" s="133"/>
      <c r="F1" s="132" t="s">
        <v>159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119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160</v>
      </c>
      <c r="D24" s="18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161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910</v>
      </c>
      <c r="F30" s="110" t="s">
        <v>27</v>
      </c>
      <c r="G30" s="106">
        <v>22750</v>
      </c>
      <c r="H30" s="106">
        <v>21112</v>
      </c>
      <c r="I30" s="108">
        <v>0.2</v>
      </c>
      <c r="J30" s="13">
        <f t="shared" ref="J30" si="0">H30*I30</f>
        <v>4222.4000000000005</v>
      </c>
      <c r="K30" s="12">
        <v>0</v>
      </c>
      <c r="L30" s="12">
        <v>0</v>
      </c>
      <c r="M30" s="13">
        <f t="shared" ref="M30" si="1">J30</f>
        <v>4222.4000000000005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910</v>
      </c>
      <c r="F31" s="15"/>
      <c r="G31" s="64">
        <f>SUM(G30:G30)</f>
        <v>22750</v>
      </c>
      <c r="H31" s="64">
        <f>SUM(H30:H30)</f>
        <v>21112</v>
      </c>
      <c r="I31" s="102"/>
      <c r="J31" s="17">
        <f>SUM(J30:J30)</f>
        <v>4222.4000000000005</v>
      </c>
      <c r="K31" s="16"/>
      <c r="L31" s="16"/>
      <c r="M31" s="17">
        <f>SUM(M30:M30)</f>
        <v>4222.4000000000005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двести двадцать два доллара США,40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G37" sqref="G3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13.08.2025г.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BEZ-A-87 от  13.08.2025г.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910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22750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"Уралкомплект" 10412130 - т/п Оренбургский
460027, Оренбургская обл., г. Оренбург, ул. Донгузская, д. 62А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13.08.2025г.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01894BLA/016513BA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7" zoomScaleNormal="100" workbookViewId="0">
      <selection activeCell="K32" sqref="K32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01894BLA/016513BA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13.08.2025г.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BEZ-A-87 от  13.08.2025г.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910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22750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910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topLeftCell="A13" zoomScale="85" zoomScaleNormal="85" workbookViewId="0">
      <selection activeCell="S28" sqref="R28:S29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32" t="str">
        <f>+Инвойс!F1</f>
        <v xml:space="preserve"> 13.08.2025г.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01894BLA/016513BA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6.4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910</v>
      </c>
      <c r="F30" s="116" t="str">
        <f>+Инвойс!F30</f>
        <v>кг</v>
      </c>
      <c r="G30" s="106">
        <f>+Инвойс!G30</f>
        <v>22750</v>
      </c>
      <c r="H30" s="106">
        <f>+Инвойс!H30</f>
        <v>21112</v>
      </c>
      <c r="I30" s="108">
        <f>+Инвойс!I30</f>
        <v>0.2</v>
      </c>
      <c r="J30" s="13">
        <f>+Инвойс!J30</f>
        <v>4222.4000000000005</v>
      </c>
      <c r="K30" s="12">
        <v>0</v>
      </c>
      <c r="L30" s="12">
        <v>0</v>
      </c>
      <c r="M30" s="13">
        <f>+Инвойс!M30</f>
        <v>4222.4000000000005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910</v>
      </c>
      <c r="F31" s="15"/>
      <c r="G31" s="64">
        <f>SUM(G30:G30)</f>
        <v>22750</v>
      </c>
      <c r="H31" s="64">
        <f>SUM(H30:H30)</f>
        <v>21112</v>
      </c>
      <c r="I31" s="102"/>
      <c r="J31" s="17">
        <f>SUM(J30:J30)</f>
        <v>4222.4000000000005</v>
      </c>
      <c r="K31" s="16"/>
      <c r="L31" s="16"/>
      <c r="M31" s="17">
        <f>SUM(M30:M30)</f>
        <v>4222.4000000000005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двести двадцать два доллара США,40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4222.4000000000005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двадцать два доллара США,40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45882</v>
      </c>
      <c r="O3" s="176"/>
      <c r="P3">
        <f ca="1">DAY(N3)</f>
        <v>13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двадцать два доллара США,40 центов. (в т.ч. НДС - 357,79)</v>
      </c>
      <c r="H4" s="32"/>
      <c r="I4" s="32"/>
      <c r="J4" s="32"/>
      <c r="K4" s="177" t="str">
        <f ca="1">CONCATENATE(" «  ",P3,"  »  ",Q3,"  ",R3," г.")</f>
        <v xml:space="preserve"> «  13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двадцать два доллара США,40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двадцать два доллара США,40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двести двадцать два доллара США,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40 центов.</v>
      </c>
      <c r="D12" s="47"/>
      <c r="E12" s="48"/>
      <c r="M12" s="50">
        <f ca="1">TODAY()</f>
        <v>45882</v>
      </c>
    </row>
    <row r="13" spans="1:19" s="43" customFormat="1" x14ac:dyDescent="0.25">
      <c r="A13" s="49"/>
      <c r="D13" s="51"/>
      <c r="E13" s="52">
        <f>TRUNC(E2)</f>
        <v>4222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5">
      <c r="A29" s="54">
        <f>E13</f>
        <v>4222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222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40</v>
      </c>
      <c r="C31" s="59">
        <f>TRUNC(A31/10)</f>
        <v>4</v>
      </c>
      <c r="E31" s="56" t="str">
        <f>IF(OR(C31=1,C31=0),"",IF(C31=2,E35,IF(C31=3,E36,IF(C31=4,E37,IF(C31=5,E38,IF(C31=6,E39,IF(C31=7,E40,IF(C31=8,E41,E42))))))))</f>
        <v xml:space="preserve">сорок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2025-08-13T13:32:20Z</cp:lastPrinted>
  <dcterms:created xsi:type="dcterms:W3CDTF">1996-10-14T23:33:28Z</dcterms:created>
  <dcterms:modified xsi:type="dcterms:W3CDTF">2025-08-13T13:32:30Z</dcterms:modified>
</cp:coreProperties>
</file>