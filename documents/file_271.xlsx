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6B5B5DFB-C032-473E-95CC-7A19855125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<sst xmlns="http://schemas.openxmlformats.org/spreadsheetml/2006/main" count="209" uniqueCount="163">
  <si>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</si>
  <si>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</si>
  <si>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</si>
  <si>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</si>
  <si>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</si>
  <si>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</si>
  <si>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</si>
  <si>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</si>
  <si>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</si>
  <si>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</si>
  <si>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</si>
  <si>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</si>
  <si>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</si>
  <si>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</si>
  <si>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</si>
  <si>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</si>
  <si>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</si>
  <si>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</si>
  <si>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</si>
  <si>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</si>
  <si>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</si>
  <si>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</si>
  <si>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</si>
  <si>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</si>
  <si>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</si>
  <si>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</si>
  <si>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</si>
  <si>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</si>
  <si>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</si>
  <si>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</si>
  <si>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</si>
  <si>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</si>
  <si>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</si>
  <si>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</si>
  <si>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</si>
  <si>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</si>
  <si>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</si>
  <si>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</si>
  <si>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</si>
  <si>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</si>
  <si>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</si>
  <si>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</si>
  <si>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</si>
  <si>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</si>
  <si>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</si>
  <si>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</si>
  <si>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</si>
  <si>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</si>
  <si>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</si>
  <si>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</si>
  <si>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</si>
  <si>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</si>
  <si>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</si>
  <si>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</si>
  <si>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</si>
  <si>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</si>
  <si>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</si>
  <si>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</si>
  <si>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</si>
  <si>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</si>
  <si>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</si>
  <si>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</si>
  <si>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</si>
  <si>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</si>
  <si>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</si>
  <si>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</si>
  <si>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</si>
  <si>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</si>
  <si>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</si>
  <si>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</si>
  <si>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</si>
  <si>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</si>
  <si>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</si>
  <si>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</si>
  <si>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</si>
  <si>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</si>
  <si>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</si>
  <si>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</si>
  <si>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</si>
  <si>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</si>
  <si>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</si>
  <si>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</si>
  <si>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</si>
  <si>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</si>
  <si>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</si>
  <si>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</si>
  <si>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</si>
  <si>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</si>
  <si>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</si>
  <si>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</si>
  <si>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</si>
  <si>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</si>
  <si>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</si>
  <si>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</si>
  <si>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</si>
  <si>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</si>
  <si>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</si>
  <si>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</si>
  <si>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</si>
  <si>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</si>
  <si>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</si>
  <si>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</si>
  <si>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</si>
  <si>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</si>
  <si>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</si>
  <si>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</si>
  <si>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</si>
  <si>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</si>
  <si>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</si>
  <si>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</si>
  <si>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</si>
  <si>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</si>
  <si>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</si>
  <si>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</si>
  <si>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</si>
  <si>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</si>
  <si>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</si>
  <si>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</si>
  <si>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</si>
  <si>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</si>
  <si>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</si>
  <si>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</si>
  <si>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</si>
  <si>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</si>
  <si>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</si>
  <si>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</si>
  <si>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</si>
  <si>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</si>
  <si>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</si>
  <si>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</si>
  <si>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</si>
  <si>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</si>
  <si>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</si>
  <si>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</si>
  <si>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</si>
  <si>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</si>
  <si>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</si>
  <si>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</si>
  <si>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</si>
  <si>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</si>
  <si>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</si>
  <si>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</si>
  <si>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</si>
  <si>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</si>
  <si>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</si>
  <si>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</si>
  <si>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</si>
  <si>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</si>
  <si>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</si>
  <si>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</si>
  <si>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</si>
  <si>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</si>
  <si>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</si>
  <si>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</si>
  <si>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</si>
  <si>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</si>
  <si>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</si>
  <si>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</si>
  <si>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</si>
  <si>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 29.08.2025г.</t>
  </si>
  <si>
    <t xml:space="preserve">ИНВОЙС № VG-N-40 от </t>
  </si>
  <si>
    <t xml:space="preserve">СПЕЦИФИКАЦИЯ № VG-N-40 от </t>
  </si>
  <si>
    <t>30680YBA/301167BA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</si>
</sst>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171674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160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140</v>
      </c>
      <c r="B5" s="154"/>
      <c r="C5" s="154"/>
      <c r="D5" s="154"/>
      <c r="E5" s="154"/>
      <c r="F5" s="6"/>
      <c r="G5" s="147" t="s">
        <v>150</v>
      </c>
      <c r="H5" s="147"/>
      <c r="I5" s="147"/>
      <c r="J5" s="147"/>
      <c r="K5" s="147"/>
      <c r="L5" s="147"/>
      <c r="M5" s="147"/>
    </row>
    <row r="6" spans="1:15" ht="13.8" x14ac:dyDescent="0.25">
      <c r="A6" s="142" t="s">
        <v>141</v>
      </c>
      <c r="B6" s="141"/>
      <c r="C6" s="141"/>
      <c r="D6" s="141"/>
      <c r="E6" s="141"/>
      <c r="F6" s="7"/>
      <c r="G6" s="140" t="s">
        <v>151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1" t="s">
        <v>148</v>
      </c>
      <c r="B7" s="141"/>
      <c r="C7" s="141"/>
      <c r="D7" s="141"/>
      <c r="E7" s="141"/>
      <c r="F7" s="63"/>
      <c r="G7" s="140" t="s">
        <v>152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144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156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140</v>
      </c>
      <c r="B14" s="154"/>
      <c r="C14" s="154"/>
      <c r="D14" s="154"/>
      <c r="E14" s="154"/>
      <c r="F14" s="6"/>
      <c r="G14" s="147" t="s">
        <v>150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">
        <v>141</v>
      </c>
      <c r="B15" s="141"/>
      <c r="C15" s="141"/>
      <c r="D15" s="141"/>
      <c r="E15" s="141"/>
      <c r="F15" s="7"/>
      <c r="G15" s="140" t="s">
        <v>151</v>
      </c>
      <c r="H15" s="140"/>
      <c r="I15" s="140"/>
      <c r="J15" s="140"/>
      <c r="K15" s="140"/>
      <c r="L15" s="140"/>
      <c r="M15" s="140"/>
    </row>
    <row r="16" spans="1:15" ht="13.8" x14ac:dyDescent="0.25">
      <c r="A16" s="141" t="s">
        <v>148</v>
      </c>
      <c r="B16" s="141"/>
      <c r="C16" s="141"/>
      <c r="D16" s="141"/>
      <c r="E16" s="141"/>
      <c r="F16" s="63"/>
      <c r="G16" s="140" t="s">
        <v>152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144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156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7" t="s">
        <v>121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6" x14ac:dyDescent="0.3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">
        <v>162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970</v>
      </c>
      <c r="F30" s="115" t="s">
        <v>27</v>
      </c>
      <c r="G30" s="106">
        <v>23000</v>
      </c>
      <c r="H30" s="106">
        <v>21254</v>
      </c>
      <c r="I30" s="108">
        <v>0.25</v>
      </c>
      <c r="J30" s="13">
        <f t="shared" ref="J30" si="0">H30*I30</f>
        <v>5313.5</v>
      </c>
      <c r="K30" s="12">
        <v>0</v>
      </c>
      <c r="L30" s="12">
        <v>0</v>
      </c>
      <c r="M30" s="13">
        <f t="shared" ref="M30" si="1">J30</f>
        <v>5313.5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5313.5</v>
      </c>
      <c r="K31" s="16"/>
      <c r="L31" s="16"/>
      <c r="M31" s="17">
        <f>SUM(M30:M30)</f>
        <v>5313.5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триста тринадцать долларов США, 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146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D37" sqref="D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VG-N-40 от  29.08.2025г.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29.08.2025г.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30680YBA/301167BA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G26" sqref="G26:H2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30680YBA/301167BA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29.08.2025г.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VG-N-40 от  29.08.2025г.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970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3">
      <c r="B20" s="83"/>
      <c r="E20" s="122"/>
      <c r="F20" s="117"/>
      <c r="G20" s="162"/>
      <c r="H20" s="162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2"/>
      <c r="H22" s="162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2"/>
      <c r="H24" s="162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2"/>
      <c r="H26" s="162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2"/>
      <c r="H28" s="162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2"/>
      <c r="H30" s="162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2"/>
      <c r="H32" s="162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2"/>
      <c r="H34" s="162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2"/>
      <c r="H36" s="162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2"/>
      <c r="H38" s="162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2"/>
      <c r="H42" s="162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4"/>
      <c r="H44" s="164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970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2" zoomScale="70" zoomScaleNormal="70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161</v>
      </c>
      <c r="C1" s="171"/>
      <c r="D1" s="171"/>
      <c r="E1" s="171"/>
      <c r="F1" s="152" t="str">
        <f>+Инвойс!F1</f>
        <v xml:space="preserve"> 29.08.2025г.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GR-VT-01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>ООО «VISTOTRADE»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42" t="str">
        <f>+Инвойс!A6</f>
        <v xml:space="preserve">Республика Узбекистан. Кашкадарьинская область, 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Г. Гулам, МФУ, улица Гузара, дом 14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«KAPITAL BANK» МФО: 01158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р/с: 20208840407263267001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SWIFT: KACHUZ22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ИНН: 312236782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>ООО «VISTOTRADE»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tr">
        <f>+Инвойс!A15</f>
        <v xml:space="preserve">Республика Узбекистан. Кашкадарьинская область, 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Г. Гулам, МФУ, улица Гузара, дом 14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«KAPITAL BANK» МФО: 01158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р/с: 20208840407263267001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SWIFT: KACHUZ22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ИНН: 312236782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tr">
        <f>+Инвойс!E26</f>
        <v>30680YBA/301167BA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6.4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970</v>
      </c>
      <c r="F30" s="115" t="str">
        <f>+Инвойс!F30</f>
        <v>кг</v>
      </c>
      <c r="G30" s="106">
        <f>+Инвойс!G30</f>
        <v>23000</v>
      </c>
      <c r="H30" s="106">
        <f>+Инвойс!H30</f>
        <v>21254</v>
      </c>
      <c r="I30" s="108">
        <f>+Инвойс!I30</f>
        <v>0.25</v>
      </c>
      <c r="J30" s="13">
        <f>+Инвойс!J30</f>
        <v>5313.5</v>
      </c>
      <c r="K30" s="12">
        <v>0</v>
      </c>
      <c r="L30" s="12">
        <v>0</v>
      </c>
      <c r="M30" s="13">
        <f>+Инвойс!M30</f>
        <v>5313.5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5313.5</v>
      </c>
      <c r="K31" s="16"/>
      <c r="L31" s="16"/>
      <c r="M31" s="17">
        <f>SUM(M30:M30)</f>
        <v>5313.5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триста тринадцать долларов США, 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0" t="s">
        <v>147</v>
      </c>
      <c r="B36" s="130"/>
      <c r="D36" s="18" t="str">
        <f>+Инвойс!D36</f>
        <v>Авазов К.Ф</v>
      </c>
      <c r="E36" s="131"/>
      <c r="G36" s="128" t="s">
        <v>130</v>
      </c>
      <c r="H36" s="18" t="str">
        <f>Инвойс!G5</f>
        <v>ООО «ГРИН ВОРЛД»</v>
      </c>
      <c r="K36" s="132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3"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128</v>
      </c>
    </row>
    <row r="5" spans="1:10" ht="39.6" x14ac:dyDescent="0.25">
      <c r="A5" s="125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5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5" t="s">
        <v>119</v>
      </c>
    </row>
    <row r="10" spans="1:10" x14ac:dyDescent="0.25">
      <c r="A10" s="125"/>
      <c r="E10" s="18" t="s">
        <v>134</v>
      </c>
      <c r="J10" s="25" t="s">
        <v>135</v>
      </c>
    </row>
    <row r="11" spans="1:10" ht="52.8" x14ac:dyDescent="0.25">
      <c r="A11" s="125" t="s">
        <v>158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5" t="s">
        <v>120</v>
      </c>
    </row>
    <row r="15" spans="1:10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5313.5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тринадцать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45899</v>
      </c>
      <c r="O3" s="177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триста тринадцать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30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тринадцать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тринадцать долларов США, 50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тринадцать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5313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5313</v>
      </c>
      <c r="B29" s="47">
        <f>TRUNC(RIGHT(A29))</f>
        <v>3</v>
      </c>
      <c r="C29" s="51">
        <f>IF(B28=1,B29+10,IF(B29=0,0,B29))</f>
        <v>13</v>
      </c>
      <c r="D29" s="43" t="str">
        <f>IF(AND(C29&gt;9,C29&lt;16),IF(C29=10,D34,IF(C29=11,D35,IF(C29=12,D36,IF(C29=13,D37,IF(C29=14,D38,IF(C29=15,D39,)))))),"")</f>
        <v xml:space="preserve">тринадцать </v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313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2025-08-30T10:18:50Z</cp:lastPrinted>
  <dcterms:created xsi:type="dcterms:W3CDTF">1996-10-14T23:33:28Z</dcterms:created>
  <dcterms:modified xsi:type="dcterms:W3CDTF">2025-08-30T10:18:57Z</dcterms:modified>
</cp:coreProperties>
</file>