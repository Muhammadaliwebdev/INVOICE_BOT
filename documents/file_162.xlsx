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74B9A73-05FA-455A-9BC3-EAB5389843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<sst xmlns="http://schemas.openxmlformats.org/spreadsheetml/2006/main" count="201" uniqueCount="163">
  <si>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</si>
  <si>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</si>
  <si>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</si>
  <si>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</si>
  <si>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</si>
  <si>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</si>
  <si>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</si>
  <si>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</si>
  <si>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</si>
  <si>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</si>
  <si>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</si>
  <si>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</si>
  <si>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</si>
  <si>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</si>
  <si>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</si>
  <si>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</si>
  <si>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</si>
  <si>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</si>
  <si>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</si>
  <si>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</si>
  <si>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</si>
  <si>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</si>
  <si>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</si>
  <si>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</si>
  <si>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</si>
  <si>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</si>
  <si>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</si>
  <si>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</si>
  <si>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</si>
  <si>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</si>
  <si>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</si>
  <si>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</si>
  <si>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</si>
  <si>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</si>
  <si>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</si>
  <si>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</si>
  <si>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</si>
  <si>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</si>
  <si>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</si>
  <si>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</si>
  <si>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</si>
  <si>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</si>
  <si>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</si>
  <si>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</si>
  <si>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</si>
  <si>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</si>
  <si>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</si>
  <si>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</si>
  <si>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</si>
  <si>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</si>
  <si>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</si>
  <si>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</si>
  <si>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</si>
  <si>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</si>
  <si>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</si>
  <si>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</si>
  <si>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</si>
  <si>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</si>
  <si>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</si>
  <si>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</si>
  <si>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</si>
  <si>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</si>
  <si>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</si>
  <si>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</si>
  <si>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</si>
  <si>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</si>
  <si>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</si>
  <si>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</si>
  <si>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</si>
  <si>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</si>
  <si>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</si>
  <si>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</si>
  <si>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</si>
  <si>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</si>
  <si>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</si>
  <si>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</si>
  <si>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</si>
  <si>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</si>
  <si>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</si>
  <si>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</si>
  <si>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</si>
  <si>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</si>
  <si>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</si>
  <si>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</si>
  <si>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</si>
  <si>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</si>
  <si>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</si>
  <si>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</si>
  <si>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</si>
  <si>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</si>
  <si>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</si>
  <si>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</si>
  <si>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</si>
  <si>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</si>
  <si>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</si>
  <si>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</si>
  <si>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</si>
  <si>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</si>
  <si>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</si>
  <si>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</si>
  <si>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</si>
  <si>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</si>
  <si>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</si>
  <si>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</si>
  <si>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</si>
  <si>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</si>
  <si>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</si>
  <si>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</si>
  <si>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</si>
  <si>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</si>
  <si>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</si>
  <si>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</si>
  <si>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</si>
  <si>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</si>
  <si>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</si>
  <si>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</si>
  <si>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</si>
  <si>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</si>
  <si>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</si>
  <si>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</si>
  <si>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</si>
  <si>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</si>
  <si>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</si>
  <si>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</si>
  <si>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</si>
  <si>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</si>
  <si>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</si>
  <si>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</si>
  <si>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</si>
  <si>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</si>
  <si>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</si>
  <si>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</si>
  <si>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</si>
  <si>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</si>
  <si>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</si>
  <si>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</si>
  <si>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</si>
  <si>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</si>
  <si>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</si>
  <si>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</si>
  <si>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</si>
  <si>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</si>
  <si>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</si>
  <si>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</si>
  <si>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</si>
  <si>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</si>
  <si>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</si>
  <si>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</si>
  <si>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</si>
  <si>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</si>
  <si>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</si>
  <si>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</si>
  <si>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</si>
  <si>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</si>
  <si>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</si>
  <si>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</si>
  <si>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</si>
  <si>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11.08.2025г.</t>
  </si>
  <si>
    <t>DAP - с Амандык , Республика Казахстан</t>
  </si>
  <si>
    <t xml:space="preserve">ИНВОЙС № BEZ-A-62 от </t>
  </si>
  <si>
    <t>X061EX750/BX792550</t>
  </si>
  <si>
    <t xml:space="preserve">      г.Оренбург/г.Казань/г.Москва/г.Набережные Челны/г.Пермь/г. Новосибирск /г.Красноярск/г.Челябинск/г.Екатеринбург/</t>
  </si>
  <si>
    <t xml:space="preserve">СПЕЦИФИКАЦИЯ № BEZ-A-62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</si>
</sst>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3" t="s">
        <v>159</v>
      </c>
      <c r="D1" s="133"/>
      <c r="E1" s="133"/>
      <c r="F1" s="132" t="s">
        <v>157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">
        <v>147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">
        <v>148</v>
      </c>
      <c r="B5" s="134"/>
      <c r="C5" s="134"/>
      <c r="D5" s="134"/>
      <c r="E5" s="134"/>
      <c r="F5" s="6"/>
      <c r="G5" s="136" t="s">
        <v>137</v>
      </c>
      <c r="H5" s="136"/>
      <c r="I5" s="136"/>
      <c r="J5" s="136"/>
      <c r="K5" s="136"/>
      <c r="L5" s="136"/>
      <c r="M5" s="136"/>
    </row>
    <row r="6" spans="1:15" ht="15" x14ac:dyDescent="0.25">
      <c r="A6" s="125" t="s">
        <v>149</v>
      </c>
      <c r="B6" s="125"/>
      <c r="C6" s="125"/>
      <c r="D6" s="125"/>
      <c r="E6" s="125"/>
      <c r="F6" s="7"/>
      <c r="G6" s="138" t="s">
        <v>138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5" t="s">
        <v>150</v>
      </c>
      <c r="B7" s="125"/>
      <c r="C7" s="125"/>
      <c r="D7" s="125"/>
      <c r="E7" s="125"/>
      <c r="F7" s="63"/>
      <c r="G7" s="138" t="s">
        <v>139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5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153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154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">
        <v>148</v>
      </c>
      <c r="B14" s="134"/>
      <c r="C14" s="134"/>
      <c r="D14" s="134"/>
      <c r="E14" s="134"/>
      <c r="F14" s="6"/>
      <c r="G14" s="136" t="s">
        <v>124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25" t="s">
        <v>149</v>
      </c>
      <c r="B15" s="125"/>
      <c r="C15" s="125"/>
      <c r="D15" s="125"/>
      <c r="E15" s="125"/>
      <c r="F15" s="7"/>
      <c r="G15" s="138" t="s">
        <v>125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150</v>
      </c>
      <c r="B16" s="125"/>
      <c r="C16" s="125"/>
      <c r="D16" s="125"/>
      <c r="E16" s="125"/>
      <c r="F16" s="63"/>
      <c r="G16" s="138" t="s">
        <v>126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152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154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1" t="s">
        <v>118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75" x14ac:dyDescent="0.25">
      <c r="A24" s="20" t="s">
        <v>22</v>
      </c>
      <c r="C24" s="18" t="s">
        <v>158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30" x14ac:dyDescent="0.2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155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F17" sqref="F17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161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BEZ-A-62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X061EX750/BX792550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2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0" t="s">
        <v>96</v>
      </c>
      <c r="C2" s="16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1" t="str">
        <f>+Инвойс!E26</f>
        <v>X061EX750/BX792550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BEZ-A-62 от  11.08.2025г.</v>
      </c>
      <c r="I15" s="163"/>
      <c r="J15" s="163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4"/>
      <c r="H20" s="164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4"/>
      <c r="H22" s="164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4"/>
      <c r="H24" s="164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4"/>
      <c r="H26" s="164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4"/>
      <c r="H28" s="164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4"/>
      <c r="H30" s="164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4"/>
      <c r="H32" s="164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4"/>
      <c r="H34" s="164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4"/>
      <c r="H36" s="164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4"/>
      <c r="H38" s="164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4"/>
      <c r="H42" s="164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6"/>
      <c r="H44" s="166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7">
        <f>+F18+F20+F22+F24+F26+F28+F30+F32+F34+F36+F38+F40+F42</f>
        <v>1000</v>
      </c>
      <c r="E47" s="168"/>
    </row>
    <row r="48" spans="2:10" ht="17.25" customHeight="1" x14ac:dyDescent="0.25">
      <c r="B48" s="165" t="s">
        <v>105</v>
      </c>
      <c r="C48" s="165"/>
      <c r="D48" s="165"/>
      <c r="E48" s="165"/>
    </row>
    <row r="49" spans="2:5" ht="21.75" customHeight="1" x14ac:dyDescent="0.25">
      <c r="B49" s="165"/>
      <c r="C49" s="165"/>
      <c r="D49" s="165"/>
      <c r="E49" s="165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B2" sqref="B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162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5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5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5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5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5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5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5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5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5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5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25">
      <c r="A22" s="1" t="s">
        <v>132</v>
      </c>
      <c r="C22" s="65"/>
      <c r="F22" s="1"/>
    </row>
    <row r="23" spans="1:17" ht="26.25" hidden="1" customHeight="1" x14ac:dyDescent="0.2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tr">
        <f>+Инвойс!E26</f>
        <v>X061EX750/BX792550</v>
      </c>
      <c r="F26" s="153"/>
      <c r="G26" s="153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156</v>
      </c>
      <c r="B36" s="7"/>
      <c r="D36" s="25" t="s">
        <v>155</v>
      </c>
      <c r="E36" s="24"/>
      <c r="G36" s="129" t="s">
        <v>144</v>
      </c>
      <c r="H36" t="str">
        <f>Инвойс!G5</f>
        <v>ООО ТД «РЕСУРС»</v>
      </c>
      <c r="K36" s="130" t="s">
        <v>145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116</v>
      </c>
    </row>
    <row r="3" spans="1:1" ht="51" x14ac:dyDescent="0.2">
      <c r="A3" s="131" t="s">
        <v>136</v>
      </c>
    </row>
    <row r="5" spans="1:1" ht="38.25" x14ac:dyDescent="0.2">
      <c r="A5" s="126" t="s">
        <v>117</v>
      </c>
    </row>
    <row r="7" spans="1:1" ht="51" x14ac:dyDescent="0.2">
      <c r="A7" s="126" t="s">
        <v>118</v>
      </c>
    </row>
    <row r="9" spans="1:1" ht="51" x14ac:dyDescent="0.2">
      <c r="A9" s="126" t="s">
        <v>119</v>
      </c>
    </row>
    <row r="10" spans="1:1" x14ac:dyDescent="0.2">
      <c r="A10" s="126"/>
    </row>
    <row r="11" spans="1:1" ht="51" x14ac:dyDescent="0.2">
      <c r="A11" s="126" t="s">
        <v>120</v>
      </c>
    </row>
    <row r="13" spans="1:1" ht="51" x14ac:dyDescent="0.2">
      <c r="A13" s="126" t="s">
        <v>121</v>
      </c>
    </row>
    <row r="15" spans="1:1" ht="38.25" x14ac:dyDescent="0.2">
      <c r="A15" s="126" t="s">
        <v>122</v>
      </c>
    </row>
    <row r="17" spans="1:1" ht="38.25" x14ac:dyDescent="0.2">
      <c r="A17" s="126" t="s">
        <v>123</v>
      </c>
    </row>
    <row r="19" spans="1:1" ht="38.25" x14ac:dyDescent="0.2">
      <c r="A19" s="128" t="s">
        <v>131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Инвойс!M31</f>
        <v>4240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2025-08-11T04:03:58Z</cp:lastPrinted>
  <dcterms:created xsi:type="dcterms:W3CDTF">1996-10-14T23:33:28Z</dcterms:created>
  <dcterms:modified xsi:type="dcterms:W3CDTF">2025-08-11T04:04:01Z</dcterms:modified>
</cp:coreProperties>
</file>