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8C354A-40CA-4AAA-96E4-A141D693E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<sst xmlns="http://schemas.openxmlformats.org/spreadsheetml/2006/main" count="198" uniqueCount="162">
  <si>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</si>
  <si>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</si>
  <si>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</si>
  <si>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</si>
  <si>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</si>
  <si>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</si>
  <si>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</si>
  <si>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</si>
  <si>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</si>
  <si>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</si>
  <si>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</si>
  <si>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</si>
  <si>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</si>
  <si>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</si>
  <si>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</si>
  <si>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</si>
  <si>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</si>
  <si>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</si>
  <si>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</si>
  <si>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</si>
  <si>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</si>
  <si>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</si>
  <si>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</si>
  <si>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</si>
  <si>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</si>
  <si>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</si>
  <si>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</si>
  <si>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</si>
  <si>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</si>
  <si>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</si>
  <si>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</si>
  <si>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</si>
  <si>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</si>
  <si>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</si>
  <si>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</si>
  <si>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</si>
  <si>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</si>
  <si>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</si>
  <si>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</si>
  <si>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</si>
  <si>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</si>
  <si>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</si>
  <si>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</si>
  <si>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</si>
  <si>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</si>
  <si>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</si>
  <si>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</si>
  <si>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</si>
  <si>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</si>
  <si>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</si>
  <si>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</si>
  <si>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</si>
  <si>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</si>
  <si>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</si>
  <si>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</si>
  <si>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</si>
  <si>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</si>
  <si>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</si>
  <si>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</si>
  <si>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</si>
  <si>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</si>
  <si>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</si>
  <si>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</si>
  <si>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</si>
  <si>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</si>
  <si>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</si>
  <si>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</si>
  <si>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</si>
  <si>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</si>
  <si>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</si>
  <si>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</si>
  <si>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</si>
  <si>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</si>
  <si>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</si>
  <si>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</si>
  <si>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</si>
  <si>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</si>
  <si>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</si>
  <si>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</si>
  <si>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</si>
  <si>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</si>
  <si>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</si>
  <si>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</si>
  <si>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</si>
  <si>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</si>
  <si>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</si>
  <si>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</si>
  <si>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</si>
  <si>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</si>
  <si>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</si>
  <si>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</si>
  <si>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</si>
  <si>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</si>
  <si>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</si>
  <si>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</si>
  <si>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</si>
  <si>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</si>
  <si>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</si>
  <si>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</si>
  <si>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</si>
  <si>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</si>
  <si>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</si>
  <si>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</si>
  <si>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</si>
  <si>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</si>
  <si>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</si>
  <si>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</si>
  <si>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</si>
  <si>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</si>
  <si>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</si>
  <si>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</si>
  <si>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</si>
  <si>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</si>
  <si>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</si>
  <si>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</si>
  <si>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</si>
  <si>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</si>
  <si>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</si>
  <si>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</si>
  <si>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</si>
  <si>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</si>
  <si>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</si>
  <si>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</si>
  <si>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</si>
  <si>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</si>
  <si>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</si>
  <si>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</si>
  <si>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</si>
  <si>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</si>
  <si>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</si>
  <si>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</si>
  <si>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</si>
  <si>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</si>
  <si>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</si>
  <si>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</si>
  <si>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</si>
  <si>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Сливы свежие</t>
  </si>
  <si>
    <t>0809400501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</si>
  <si>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</si>
  <si>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</si>
  <si>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</si>
  <si>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</si>
  <si>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</si>
  <si>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</si>
  <si>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</si>
  <si>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</si>
  <si>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</si>
  <si>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к контракту № ЕХ1507 от 15.07.2025 года</t>
  </si>
  <si>
    <t>ООО «ТД «РЕСУРС»</t>
  </si>
  <si>
    <t>OOO «CLASS EKSPORT»</t>
  </si>
  <si>
    <t>Республика Узбекистан, Сурхандарьинская Область,</t>
  </si>
  <si>
    <r>
      <t xml:space="preserve">Р/с N </t>
    </r>
    <r>
      <rPr>
        <sz val="11"/>
        <color indexed="8"/>
        <rFont val="Times New Roman"/>
        <family val="1"/>
        <charset val="204"/>
      </rPr>
      <t>20208840907251022001   (USD)</t>
    </r>
    <r>
      <rPr>
        <sz val="11"/>
        <rFont val="Times New Roman"/>
        <family val="1"/>
        <charset val="204"/>
      </rPr>
      <t xml:space="preserve">     ИНН: 312180467</t>
    </r>
  </si>
  <si>
    <t xml:space="preserve">в ЦО АКБ“МИКРОКРЕДИТБАНК” МФО: 00433 </t>
  </si>
  <si>
    <t>Электронная почта: аgrо_hоlding@bk.ru</t>
  </si>
  <si>
    <t>Мухамедрахимов А.К</t>
  </si>
  <si>
    <t xml:space="preserve">Ангорский район,Навруз МФЙ, ул Хаким Ат Термизий, д-218 </t>
  </si>
  <si>
    <t>Директор:  OOO «CLASS EKSPORT»</t>
  </si>
  <si>
    <t xml:space="preserve">ИНВОЙС № CZ-M-9 от </t>
  </si>
  <si>
    <t xml:space="preserve"> 15.08.2025г.</t>
  </si>
  <si>
    <t>DAP - с Амандык , Республика Казахстан</t>
  </si>
  <si>
    <t>80K057AB/803249BA</t>
  </si>
  <si>
    <t xml:space="preserve">СПЕЦИФИКАЦИЯ № CZ-M-9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</si>
</sst>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1455965</xdr:colOff>
      <xdr:row>36</xdr:row>
      <xdr:rowOff>138472</xdr:rowOff>
    </xdr:from>
    <xdr:to>
      <xdr:col>5</xdr:col>
      <xdr:colOff>66087</xdr:colOff>
      <xdr:row>52</xdr:row>
      <xdr:rowOff>81642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2912017-0644-8320-C552-FE1601123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3358" y="20726079"/>
          <a:ext cx="2787515" cy="2691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108857</xdr:colOff>
      <xdr:row>36</xdr:row>
      <xdr:rowOff>163285</xdr:rowOff>
    </xdr:from>
    <xdr:to>
      <xdr:col>7</xdr:col>
      <xdr:colOff>613031</xdr:colOff>
      <xdr:row>41</xdr:row>
      <xdr:rowOff>6804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27F0363-8CB0-3782-AD74-5A41734EE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3643" y="20750892"/>
          <a:ext cx="1497495" cy="79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112059</xdr:colOff>
      <xdr:row>37</xdr:row>
      <xdr:rowOff>67234</xdr:rowOff>
    </xdr:from>
    <xdr:to>
      <xdr:col>1</xdr:col>
      <xdr:colOff>2061579</xdr:colOff>
      <xdr:row>48</xdr:row>
      <xdr:rowOff>89647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530214C-0030-40C6-8DC0-22DB5E141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7" y="19666322"/>
          <a:ext cx="1949520" cy="1882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1877786</xdr:colOff>
      <xdr:row>37</xdr:row>
      <xdr:rowOff>13607</xdr:rowOff>
    </xdr:from>
    <xdr:to>
      <xdr:col>3</xdr:col>
      <xdr:colOff>112421</xdr:colOff>
      <xdr:row>39</xdr:row>
      <xdr:rowOff>174083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92882B7-C4F9-46F8-A5DF-BC4BCDEC7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6374" y="19612695"/>
          <a:ext cx="1047312" cy="556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157</v>
      </c>
      <c r="D1" s="150"/>
      <c r="E1" s="150"/>
      <c r="F1" s="149" t="s">
        <v>158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147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149</v>
      </c>
      <c r="B5" s="151"/>
      <c r="C5" s="151"/>
      <c r="D5" s="151"/>
      <c r="E5" s="151"/>
      <c r="F5" s="6"/>
      <c r="G5" s="144" t="s">
        <v>148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155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149</v>
      </c>
      <c r="B14" s="151"/>
      <c r="C14" s="151"/>
      <c r="D14" s="151"/>
      <c r="E14" s="151"/>
      <c r="F14" s="6"/>
      <c r="G14" s="144" t="s">
        <v>126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127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155</v>
      </c>
      <c r="B16" s="125"/>
      <c r="C16" s="125"/>
      <c r="D16" s="125"/>
      <c r="E16" s="125"/>
      <c r="F16" s="63"/>
      <c r="G16" s="139" t="s">
        <v>128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130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131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132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119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112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13.8" x14ac:dyDescent="0.25">
      <c r="A30" s="127">
        <v>1</v>
      </c>
      <c r="B30" s="101" t="s">
        <v>136</v>
      </c>
      <c r="C30" s="107" t="s">
        <v>137</v>
      </c>
      <c r="D30" s="109" t="s">
        <v>114</v>
      </c>
      <c r="E30" s="101">
        <v>1859</v>
      </c>
      <c r="F30" s="110" t="s">
        <v>27</v>
      </c>
      <c r="G30" s="106">
        <v>22680</v>
      </c>
      <c r="H30" s="106">
        <v>20077</v>
      </c>
      <c r="I30" s="108">
        <v>0.4</v>
      </c>
      <c r="J30" s="13">
        <f t="shared" ref="J30" si="0">H30*I30</f>
        <v>8030.8</v>
      </c>
      <c r="K30" s="12">
        <v>0</v>
      </c>
      <c r="L30" s="12">
        <v>0</v>
      </c>
      <c r="M30" s="13">
        <f t="shared" ref="M30" si="1">J30</f>
        <v>8030.8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1859</v>
      </c>
      <c r="F31" s="15"/>
      <c r="G31" s="64">
        <f>SUM(G30:G30)</f>
        <v>22680</v>
      </c>
      <c r="H31" s="64">
        <f>SUM(H30:H30)</f>
        <v>20077</v>
      </c>
      <c r="I31" s="102"/>
      <c r="J31" s="17">
        <f>SUM(J30:J30)</f>
        <v>8030.8</v>
      </c>
      <c r="K31" s="16"/>
      <c r="L31" s="16"/>
      <c r="M31" s="17">
        <f>SUM(M30:M30)</f>
        <v>8030.8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Восемь тысяч тридцать долларов США, 80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111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154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F35" sqref="F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«CLASS EKSPORT»</v>
      </c>
    </row>
    <row r="3" spans="1:11" ht="11.25" customHeight="1" x14ac:dyDescent="0.2">
      <c r="B3" s="70" t="str">
        <f>+Инвойс!A6</f>
        <v>Республика Узбекистан, Сурхандарьинская Область,</v>
      </c>
    </row>
    <row r="4" spans="1:11" ht="11.25" customHeight="1" x14ac:dyDescent="0.2">
      <c r="B4" s="70" t="str">
        <f>+Инвойс!A7</f>
        <v xml:space="preserve">Ангорский район,Навруз МФЙ, ул Хаким Ат Термизий, д-218 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«ТД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110</v>
      </c>
    </row>
    <row r="15" spans="1:11" ht="7.5" hidden="1" customHeight="1" x14ac:dyDescent="0.2"/>
    <row r="16" spans="1:11" ht="12" customHeight="1" x14ac:dyDescent="0.2">
      <c r="B16" s="70" t="s">
        <v>107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115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CZ-M-9 от  15.08.2025г.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108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1859</v>
      </c>
      <c r="D30" s="103" t="str">
        <f>+Инвойс!D30</f>
        <v>Дер. ящик</v>
      </c>
      <c r="E30" s="103"/>
      <c r="F30" s="103" t="str">
        <f>+Инвойс!B30</f>
        <v>Сливы свежие</v>
      </c>
      <c r="G30" s="104" t="str">
        <f>+Инвойс!C30</f>
        <v>0809400501</v>
      </c>
      <c r="H30" s="103"/>
      <c r="I30" s="105">
        <f>+Инвойс!G30</f>
        <v>22680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116</v>
      </c>
      <c r="D49" s="157" t="str">
        <f>+C22</f>
        <v xml:space="preserve"> 15.08.2025г.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80K057AB/803249BA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4" sqref="G24:H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80K057AB/803249BA</v>
      </c>
      <c r="C14" s="166"/>
      <c r="D14" s="166"/>
      <c r="E14" s="166"/>
      <c r="F14" s="166"/>
      <c r="G14" s="166"/>
      <c r="H14" s="167" t="s">
        <v>109</v>
      </c>
      <c r="I14" s="167"/>
      <c r="J14" s="88" t="str">
        <f>+Инвойс!F1</f>
        <v xml:space="preserve"> 15.08.2025г.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CZ-M-9 от  15.08.2025г.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1859</v>
      </c>
      <c r="G18" s="160" t="str">
        <f>+CMR!F30</f>
        <v>Сливы свежие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58" t="str">
        <f>+Инвойс!C30</f>
        <v>0809400501</v>
      </c>
      <c r="H19" s="159"/>
      <c r="I19" s="122" t="s">
        <v>103</v>
      </c>
      <c r="J19" s="120">
        <f>+Инвойс!G30</f>
        <v>22680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1859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3" zoomScale="85" zoomScaleNormal="85" workbookViewId="0">
      <selection activeCell="S31" sqref="S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161</v>
      </c>
      <c r="C1" s="169"/>
      <c r="D1" s="169"/>
      <c r="E1" s="169"/>
      <c r="F1" s="149" t="str">
        <f>+Инвойс!F1</f>
        <v xml:space="preserve"> 15.08.2025г.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ЕХ1507 от 15.07.2025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«CLASS EKSPORT»</v>
      </c>
      <c r="B5" s="151"/>
      <c r="C5" s="151"/>
      <c r="D5" s="151"/>
      <c r="E5" s="151"/>
      <c r="F5" s="6"/>
      <c r="G5" s="144" t="str">
        <f>+Инвойс!G5</f>
        <v>ООО «ТД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Сурхандарьинская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 xml:space="preserve">Ангорский район,Навруз МФЙ, ул Хаким Ат Термизий, д-218 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20208840907251022001   (USD)     ИНН: 312180467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ЦО АКБ“МИКРОКРЕДИТБАНК” МФО: 00433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Электронная почта: аgrо_hоlding@bk.ru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/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«CLASS EKSPORT»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Сурхандарьинская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 xml:space="preserve">Ангорский район,Навруз МФЙ, ул Хаким Ат Термизий, д-218 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20208840907251022001   (USD)     ИНН: 312180467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ЦО АКБ“МИКРОКРЕДИТБАНК” МФО: 00433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Электронная почта: аgrо_hоlding@bk.ru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/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134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117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80K057AB/803249BA</v>
      </c>
      <c r="F26" s="138"/>
      <c r="G26" s="138"/>
      <c r="J26" s="21"/>
    </row>
    <row r="27" spans="1:17" ht="34.5" customHeight="1" x14ac:dyDescent="0.25">
      <c r="A27" s="67" t="s">
        <v>135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13.8" x14ac:dyDescent="0.25">
      <c r="A30" s="127">
        <f>+Инвойс!A30</f>
        <v>1</v>
      </c>
      <c r="B30" s="101" t="str">
        <f>+Инвойс!B30</f>
        <v>Сливы свежие</v>
      </c>
      <c r="C30" s="107" t="str">
        <f>+Инвойс!C30</f>
        <v>0809400501</v>
      </c>
      <c r="D30" s="115" t="str">
        <f>+Инвойс!D30</f>
        <v>Дер. ящик</v>
      </c>
      <c r="E30" s="101">
        <f>+Инвойс!E30</f>
        <v>1859</v>
      </c>
      <c r="F30" s="116" t="str">
        <f>+Инвойс!F30</f>
        <v>кг</v>
      </c>
      <c r="G30" s="106">
        <f>+Инвойс!G30</f>
        <v>22680</v>
      </c>
      <c r="H30" s="106">
        <f>+Инвойс!H30</f>
        <v>20077</v>
      </c>
      <c r="I30" s="108">
        <f>+Инвойс!I30</f>
        <v>0.4</v>
      </c>
      <c r="J30" s="13">
        <f>+Инвойс!J30</f>
        <v>8030.8</v>
      </c>
      <c r="K30" s="12">
        <v>0</v>
      </c>
      <c r="L30" s="12">
        <v>0</v>
      </c>
      <c r="M30" s="13">
        <f>+Инвойс!M30</f>
        <v>8030.8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1859</v>
      </c>
      <c r="F31" s="15"/>
      <c r="G31" s="64">
        <f>SUM(G30:G30)</f>
        <v>22680</v>
      </c>
      <c r="H31" s="64">
        <f>SUM(H30:H30)</f>
        <v>20077</v>
      </c>
      <c r="I31" s="102"/>
      <c r="J31" s="17">
        <f>SUM(J30:J30)</f>
        <v>8030.8</v>
      </c>
      <c r="K31" s="16"/>
      <c r="L31" s="16"/>
      <c r="M31" s="17">
        <f>SUM(M30:M30)</f>
        <v>8030.8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Восемь тысяч тридцать долларов США, 80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tr">
        <f>+Инвойс!D36</f>
        <v>Мухамедрахимов А.К</v>
      </c>
      <c r="E36" s="24"/>
      <c r="G36" s="129" t="s">
        <v>145</v>
      </c>
      <c r="H36" t="str">
        <f>Инвойс!G5</f>
        <v>ООО «ТД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5" sqref="A5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118</v>
      </c>
    </row>
    <row r="3" spans="1:1" ht="52.8" x14ac:dyDescent="0.25">
      <c r="A3" s="131" t="s">
        <v>138</v>
      </c>
    </row>
    <row r="5" spans="1:1" ht="39.6" x14ac:dyDescent="0.25">
      <c r="A5" s="126" t="s">
        <v>119</v>
      </c>
    </row>
    <row r="7" spans="1:1" ht="52.8" x14ac:dyDescent="0.25">
      <c r="A7" s="126" t="s">
        <v>120</v>
      </c>
    </row>
    <row r="9" spans="1:1" ht="52.8" x14ac:dyDescent="0.25">
      <c r="A9" s="126" t="s">
        <v>121</v>
      </c>
    </row>
    <row r="10" spans="1:1" x14ac:dyDescent="0.25">
      <c r="A10" s="126"/>
    </row>
    <row r="11" spans="1:1" ht="52.8" x14ac:dyDescent="0.25">
      <c r="A11" s="126" t="s">
        <v>122</v>
      </c>
    </row>
    <row r="13" spans="1:1" ht="52.8" x14ac:dyDescent="0.25">
      <c r="A13" s="126" t="s">
        <v>123</v>
      </c>
    </row>
    <row r="15" spans="1:1" ht="39.6" x14ac:dyDescent="0.25">
      <c r="A15" s="126" t="s">
        <v>124</v>
      </c>
    </row>
    <row r="17" spans="1:1" ht="39.6" x14ac:dyDescent="0.25">
      <c r="A17" s="126" t="s">
        <v>125</v>
      </c>
    </row>
    <row r="19" spans="1:1" ht="39.6" x14ac:dyDescent="0.25">
      <c r="A19" s="128" t="s">
        <v>133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8030.8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Восемь тысяч тридцать долларов США, 80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45884</v>
      </c>
      <c r="O3" s="176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Восемь тысяч тридцать долларов США, 80 центов. (в т.ч. НДС - 357,79)</v>
      </c>
      <c r="H4" s="32"/>
      <c r="I4" s="32"/>
      <c r="J4" s="32"/>
      <c r="K4" s="177" t="str">
        <f ca="1">CONCATENATE(" «  ",P3,"  »  ",Q3,"  ",R3," г.")</f>
        <v xml:space="preserve"> «  15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восемь тысяч тридцать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восемь тысяч тридцать долларов США, 80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восемь тысяч </v>
      </c>
      <c r="D10" s="47"/>
      <c r="E10" s="48"/>
      <c r="F10" s="41" t="str">
        <f>PROPER(F9)</f>
        <v>В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тридцать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45884</v>
      </c>
    </row>
    <row r="13" spans="1:19" s="43" customFormat="1" x14ac:dyDescent="0.25">
      <c r="A13" s="49"/>
      <c r="D13" s="51"/>
      <c r="E13" s="52">
        <f>TRUNC(E2)</f>
        <v>8030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8</v>
      </c>
      <c r="B25" s="47">
        <f>TRUNC(RIGHT(A25))</f>
        <v>8</v>
      </c>
      <c r="C25" s="51">
        <f>IF(B24=1,B25+10,IF(B25=0,0,B25))</f>
        <v>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80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803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8030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2025-08-15T06:49:12Z</cp:lastPrinted>
  <dcterms:created xsi:type="dcterms:W3CDTF">1996-10-14T23:33:28Z</dcterms:created>
  <dcterms:modified xsi:type="dcterms:W3CDTF">2025-08-15T06:49:19Z</dcterms:modified>
</cp:coreProperties>
</file>