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H30" i="7" l="1"/>
  <c r="G30" i="7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E31" i="3" l="1"/>
  <c r="A12" i="3"/>
  <c r="C29" i="3"/>
  <c r="F29" i="3" s="1"/>
  <c r="B25" i="3"/>
  <c r="E25" i="3" s="1"/>
  <c r="A24" i="3"/>
  <c r="E27" i="3"/>
  <c r="E30" i="3"/>
  <c r="C27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<sst xmlns="http://schemas.openxmlformats.org/spreadsheetml/2006/main" count="217" uniqueCount="175">
  <si>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</si>
  <si>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</si>
  <si>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</si>
  <si>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</si>
  <si>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</si>
  <si>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</si>
  <si>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</si>
  <si>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</si>
  <si>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</si>
  <si>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</si>
  <si>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</si>
  <si>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</si>
  <si>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</si>
  <si>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</si>
  <si>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</si>
  <si>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</si>
  <si>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</si>
  <si>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</si>
  <si>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</si>
  <si>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</si>
  <si>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</si>
  <si>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</si>
  <si>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</si>
  <si>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</si>
  <si>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</si>
  <si>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</si>
  <si>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</si>
  <si>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</si>
  <si>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</si>
  <si>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</si>
  <si>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</si>
  <si>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</si>
  <si>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</si>
  <si>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</si>
  <si>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</si>
  <si>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</si>
  <si>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</si>
  <si>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</si>
  <si>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</si>
  <si>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</si>
  <si>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</si>
  <si>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</si>
  <si>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</si>
  <si>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</si>
  <si>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</si>
  <si>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</si>
  <si>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</si>
  <si>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</si>
  <si>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</si>
  <si>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</si>
  <si>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</si>
  <si>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</si>
  <si>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</si>
  <si>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</si>
  <si>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</si>
  <si>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</si>
  <si>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</si>
  <si>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</si>
  <si>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</si>
  <si>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</si>
  <si>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</si>
  <si>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</si>
  <si>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</si>
  <si>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</si>
  <si>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</si>
  <si>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</si>
  <si>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</si>
  <si>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</si>
  <si>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</si>
  <si>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</si>
  <si>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</si>
  <si>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</si>
  <si>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</si>
  <si>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</si>
  <si>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</si>
  <si>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</si>
  <si>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</si>
  <si>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</si>
  <si>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</si>
  <si>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</si>
  <si>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</si>
  <si>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</si>
  <si>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</si>
  <si>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</si>
  <si>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</si>
  <si>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</si>
  <si>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</si>
  <si>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</si>
  <si>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</si>
  <si>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</si>
  <si>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</si>
  <si>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</si>
  <si>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</si>
  <si>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</si>
  <si>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</si>
  <si>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</si>
  <si>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</si>
  <si>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</si>
  <si>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</si>
  <si>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</si>
  <si>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</si>
  <si>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</si>
  <si>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</si>
  <si>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</si>
  <si>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</si>
  <si>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</si>
  <si>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</si>
  <si>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</si>
  <si>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</si>
  <si>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</si>
  <si>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</si>
  <si>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</si>
  <si>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</si>
  <si>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</si>
  <si>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</si>
  <si>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</si>
  <si>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</si>
  <si>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</si>
  <si>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</si>
  <si>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</si>
  <si>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</si>
  <si>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</si>
  <si>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</si>
  <si>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</si>
  <si>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</si>
  <si>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</si>
  <si>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</si>
  <si>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</si>
  <si>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</si>
  <si>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</si>
  <si>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</si>
  <si>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</si>
  <si>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</si>
  <si>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</si>
  <si>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</si>
  <si>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</si>
  <si>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</si>
  <si>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</si>
  <si>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</si>
  <si>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</si>
  <si>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</si>
  <si>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</si>
  <si>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</si>
  <si>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</si>
  <si>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</si>
  <si>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</si>
  <si>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</si>
  <si>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0806101001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</si>
  <si>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</si>
  <si>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</si>
  <si>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</si>
  <si>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</si>
  <si>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</si>
  <si>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</si>
  <si>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</si>
  <si>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</si>
  <si>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</si>
  <si>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</si>
  <si>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</si>
  <si>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</si>
  <si>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</si>
  <si>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</si>
  <si>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</si>
  <si>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</si>
  <si>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</si>
  <si>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</si>
  <si>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</si>
  <si>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</si>
  <si>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</si>
  <si>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</si>
  <si>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</si>
  <si>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ИНВОЙС № D-826 от</t>
  </si>
  <si>
    <t>11.08.2025г.</t>
  </si>
  <si>
    <t>75207HAA/756195AA</t>
  </si>
  <si>
    <t>Спецификация № D-826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</si>
</sst>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295275</xdr:colOff>
      <xdr:row>38</xdr:row>
      <xdr:rowOff>19050</xdr:rowOff>
    </xdr:from>
    <xdr:to>
      <xdr:col>9</xdr:col>
      <xdr:colOff>114950</xdr:colOff>
      <xdr:row>48</xdr:row>
      <xdr:rowOff>47625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2260282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443744</xdr:colOff>
      <xdr:row>38</xdr:row>
      <xdr:rowOff>19050</xdr:rowOff>
    </xdr:from>
    <xdr:to>
      <xdr:col>12</xdr:col>
      <xdr:colOff>57150</xdr:colOff>
      <xdr:row>40</xdr:row>
      <xdr:rowOff>161925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3144" y="2260282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7" t="s">
        <v>171</v>
      </c>
      <c r="D1" s="127"/>
      <c r="E1" s="127"/>
      <c r="F1" s="126" t="s">
        <v>172</v>
      </c>
      <c r="G1" s="126"/>
      <c r="H1" s="12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8" t="s">
        <v>148</v>
      </c>
      <c r="D2" s="128"/>
      <c r="E2" s="128"/>
      <c r="F2" s="128"/>
      <c r="G2" s="128"/>
      <c r="H2" s="12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0" t="s">
        <v>19</v>
      </c>
      <c r="B4" s="130"/>
      <c r="C4" s="130"/>
      <c r="D4" s="130"/>
      <c r="E4" s="130"/>
      <c r="G4" s="130" t="s">
        <v>20</v>
      </c>
      <c r="H4" s="130"/>
      <c r="I4" s="130"/>
      <c r="J4" s="130"/>
      <c r="K4" s="130"/>
      <c r="L4" s="130"/>
      <c r="M4" s="130"/>
    </row>
    <row r="5" spans="1:15" ht="14.25" customHeight="1" x14ac:dyDescent="0.2">
      <c r="A5" s="129" t="s">
        <v>149</v>
      </c>
      <c r="B5" s="129"/>
      <c r="C5" s="129"/>
      <c r="D5" s="129"/>
      <c r="E5" s="129"/>
      <c r="F5" s="6"/>
      <c r="G5" s="131" t="s">
        <v>141</v>
      </c>
      <c r="H5" s="131"/>
      <c r="I5" s="131"/>
      <c r="J5" s="131"/>
      <c r="K5" s="131"/>
      <c r="L5" s="131"/>
      <c r="M5" s="131"/>
    </row>
    <row r="6" spans="1:15" ht="15" x14ac:dyDescent="0.25">
      <c r="A6" s="122" t="s">
        <v>150</v>
      </c>
      <c r="B6" s="122"/>
      <c r="C6" s="122"/>
      <c r="D6" s="122"/>
      <c r="E6" s="122"/>
      <c r="F6" s="7"/>
      <c r="G6" s="133" t="s">
        <v>142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">
        <v>151</v>
      </c>
      <c r="B7" s="122"/>
      <c r="C7" s="122"/>
      <c r="D7" s="122"/>
      <c r="E7" s="122"/>
      <c r="F7" s="63"/>
      <c r="G7" s="133" t="s">
        <v>143</v>
      </c>
      <c r="H7" s="133"/>
      <c r="I7" s="133"/>
      <c r="J7" s="133"/>
      <c r="K7" s="133"/>
      <c r="L7" s="133"/>
      <c r="M7" s="133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134" t="s">
        <v>144</v>
      </c>
      <c r="H8" s="134"/>
      <c r="I8" s="134"/>
      <c r="J8" s="134"/>
      <c r="K8" s="134"/>
      <c r="L8" s="134"/>
      <c r="M8" s="134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155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153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2" t="s">
        <v>156</v>
      </c>
      <c r="B12" s="132"/>
      <c r="C12" s="132"/>
      <c r="D12" s="132"/>
      <c r="E12" s="8"/>
      <c r="F12" s="7"/>
      <c r="G12" s="132"/>
      <c r="H12" s="132"/>
      <c r="I12" s="132"/>
      <c r="J12" s="132"/>
      <c r="K12" s="132"/>
      <c r="L12" s="132"/>
      <c r="M12" s="132"/>
    </row>
    <row r="13" spans="1:15" ht="24" customHeight="1" x14ac:dyDescent="0.25">
      <c r="A13" s="130" t="s">
        <v>31</v>
      </c>
      <c r="B13" s="130"/>
      <c r="C13" s="130"/>
      <c r="D13" s="130"/>
      <c r="E13" s="130"/>
      <c r="G13" s="130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29" t="s">
        <v>149</v>
      </c>
      <c r="B14" s="129"/>
      <c r="C14" s="129"/>
      <c r="D14" s="129"/>
      <c r="E14" s="129"/>
      <c r="F14" s="6"/>
      <c r="G14" s="131" t="s">
        <v>106</v>
      </c>
      <c r="H14" s="131"/>
      <c r="I14" s="131"/>
      <c r="J14" s="131"/>
      <c r="K14" s="131"/>
      <c r="L14" s="131"/>
      <c r="M14" s="131"/>
    </row>
    <row r="15" spans="1:15" ht="13.9" customHeight="1" x14ac:dyDescent="0.25">
      <c r="A15" s="122" t="s">
        <v>150</v>
      </c>
      <c r="B15" s="122"/>
      <c r="C15" s="122"/>
      <c r="D15" s="122"/>
      <c r="E15" s="122"/>
      <c r="F15" s="7"/>
      <c r="G15" s="133" t="s">
        <v>107</v>
      </c>
      <c r="H15" s="134"/>
      <c r="I15" s="134"/>
      <c r="J15" s="134"/>
      <c r="K15" s="134"/>
      <c r="L15" s="134"/>
      <c r="M15" s="134"/>
    </row>
    <row r="16" spans="1:15" ht="15" x14ac:dyDescent="0.25">
      <c r="A16" s="122" t="s">
        <v>151</v>
      </c>
      <c r="B16" s="122"/>
      <c r="C16" s="122"/>
      <c r="D16" s="122"/>
      <c r="E16" s="122"/>
      <c r="F16" s="63"/>
      <c r="G16" s="133" t="s">
        <v>108</v>
      </c>
      <c r="H16" s="133"/>
      <c r="I16" s="133"/>
      <c r="J16" s="133"/>
      <c r="K16" s="133"/>
      <c r="L16" s="133"/>
      <c r="M16" s="133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155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153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32" t="s">
        <v>156</v>
      </c>
      <c r="B21" s="132"/>
      <c r="C21" s="132"/>
      <c r="D21" s="13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45" t="s">
        <v>123</v>
      </c>
      <c r="D23" s="145"/>
      <c r="E23" s="145"/>
      <c r="F23" s="145"/>
      <c r="G23" s="145"/>
      <c r="H23" s="145"/>
      <c r="I23" s="145"/>
      <c r="J23" s="145"/>
      <c r="K23" s="145"/>
      <c r="L23" s="145"/>
      <c r="M23" s="145"/>
    </row>
    <row r="24" spans="1:17" ht="15.75" x14ac:dyDescent="0.25">
      <c r="A24" s="20" t="s">
        <v>22</v>
      </c>
      <c r="C24" s="18" t="s">
        <v>124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6" t="s">
        <v>173</v>
      </c>
      <c r="F26" s="147"/>
      <c r="G26" s="147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39" t="s">
        <v>1</v>
      </c>
      <c r="B28" s="139" t="s">
        <v>2</v>
      </c>
      <c r="C28" s="139" t="s">
        <v>3</v>
      </c>
      <c r="D28" s="139" t="s">
        <v>4</v>
      </c>
      <c r="E28" s="139" t="s">
        <v>5</v>
      </c>
      <c r="F28" s="139" t="s">
        <v>6</v>
      </c>
      <c r="G28" s="143" t="s">
        <v>7</v>
      </c>
      <c r="H28" s="144"/>
      <c r="I28" s="139" t="s">
        <v>8</v>
      </c>
      <c r="J28" s="110" t="s">
        <v>9</v>
      </c>
      <c r="K28" s="143" t="s">
        <v>10</v>
      </c>
      <c r="L28" s="144"/>
      <c r="M28" s="139" t="s">
        <v>11</v>
      </c>
    </row>
    <row r="29" spans="1:17" ht="32.25" x14ac:dyDescent="0.2">
      <c r="A29" s="140"/>
      <c r="B29" s="140"/>
      <c r="C29" s="140"/>
      <c r="D29" s="140"/>
      <c r="E29" s="140"/>
      <c r="F29" s="140"/>
      <c r="G29" s="110" t="s">
        <v>12</v>
      </c>
      <c r="H29" s="110" t="s">
        <v>13</v>
      </c>
      <c r="I29" s="140"/>
      <c r="J29" s="111" t="s">
        <v>14</v>
      </c>
      <c r="K29" s="10" t="s">
        <v>15</v>
      </c>
      <c r="L29" s="10" t="s">
        <v>16</v>
      </c>
      <c r="M29" s="140"/>
    </row>
    <row r="30" spans="1:17" ht="30" x14ac:dyDescent="0.2">
      <c r="A30" s="123">
        <v>1</v>
      </c>
      <c r="B30" s="100" t="s">
        <v>158</v>
      </c>
      <c r="C30" s="106" t="s">
        <v>147</v>
      </c>
      <c r="D30" s="108" t="s">
        <v>122</v>
      </c>
      <c r="E30" s="100">
        <v>2500</v>
      </c>
      <c r="F30" s="109" t="s">
        <v>27</v>
      </c>
      <c r="G30" s="105">
        <v>22710</v>
      </c>
      <c r="H30" s="105">
        <v>20960</v>
      </c>
      <c r="I30" s="107">
        <v>1.1000000000000001</v>
      </c>
      <c r="J30" s="13">
        <f t="shared" ref="J30" si="0">H30*I30</f>
        <v>23056.000000000004</v>
      </c>
      <c r="K30" s="12">
        <v>0</v>
      </c>
      <c r="L30" s="12">
        <v>0</v>
      </c>
      <c r="M30" s="13">
        <f t="shared" ref="M30" si="1">J30</f>
        <v>23056.000000000004</v>
      </c>
      <c r="O30" s="99"/>
      <c r="Q30" s="99"/>
    </row>
    <row r="31" spans="1:17" ht="14.25" x14ac:dyDescent="0.2">
      <c r="A31" s="141" t="s">
        <v>0</v>
      </c>
      <c r="B31" s="142"/>
      <c r="C31" s="14"/>
      <c r="D31" s="15"/>
      <c r="E31" s="64">
        <f>SUM(E30:E30)</f>
        <v>2500</v>
      </c>
      <c r="F31" s="15"/>
      <c r="G31" s="64">
        <f>SUM(G30:G30)</f>
        <v>22710</v>
      </c>
      <c r="H31" s="64">
        <f>SUM(H30:H30)</f>
        <v>20960</v>
      </c>
      <c r="I31" s="101"/>
      <c r="J31" s="17">
        <f>SUM(J30:J30)</f>
        <v>23056.000000000004</v>
      </c>
      <c r="K31" s="16"/>
      <c r="L31" s="16"/>
      <c r="M31" s="17">
        <f>SUM(M30:M30)</f>
        <v>23056.000000000004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7" t="str">
        <f>Лист1!B3</f>
        <v>Двадцать три тысячи пятьдесят шесть долларов США, 00 центов.</v>
      </c>
      <c r="F32" s="138"/>
      <c r="G32" s="138"/>
      <c r="H32" s="138"/>
      <c r="I32" s="138"/>
      <c r="J32" s="138"/>
      <c r="K32" s="138"/>
      <c r="L32" s="138"/>
      <c r="M32" s="138"/>
    </row>
    <row r="33" spans="1:14" ht="20.25" customHeight="1" x14ac:dyDescent="0.2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">
      <c r="A34" s="135" t="s">
        <v>120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J43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134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D-826 от11.08.2025г.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117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2500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22710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Код там. Поста 10412160 Оренбургская таможня т/п Соль-Илецкий, адрес 461504 г.Соль-Илецк, ул. Украинская, д.2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1" t="str">
        <f>+C22</f>
        <v>11.08.2025г.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75207HAA/756195AA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Normal="100" workbookViewId="0">
      <selection activeCell="F46" sqref="F46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4" t="s">
        <v>96</v>
      </c>
      <c r="C2" s="15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5" t="str">
        <f>+Инвойс!E26</f>
        <v>75207HAA/756195AA</v>
      </c>
      <c r="C14" s="155"/>
      <c r="D14" s="155"/>
      <c r="E14" s="155"/>
      <c r="F14" s="155"/>
      <c r="G14" s="155"/>
      <c r="H14" s="156" t="s">
        <v>118</v>
      </c>
      <c r="I14" s="156"/>
      <c r="J14" s="88" t="str">
        <f>+Инвойс!F1</f>
        <v>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57" t="str">
        <f>+CMR!B24</f>
        <v>ИНВОЙС № D-826 от11.08.2025г.</v>
      </c>
      <c r="I15" s="157"/>
      <c r="J15" s="15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2500</v>
      </c>
      <c r="G18" s="158" t="str">
        <f>+CMR!F30</f>
        <v>Виноград свежий столовых сортов</v>
      </c>
      <c r="H18" s="158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22710</v>
      </c>
    </row>
    <row r="20" spans="2:10" ht="13.5" customHeight="1" x14ac:dyDescent="0.25">
      <c r="B20" s="83"/>
      <c r="E20" s="120"/>
      <c r="F20" s="115"/>
      <c r="G20" s="158"/>
      <c r="H20" s="158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25">
      <c r="B22" s="83"/>
      <c r="E22" s="120"/>
      <c r="F22" s="115"/>
      <c r="G22" s="158"/>
      <c r="H22" s="158"/>
      <c r="I22" s="116"/>
      <c r="J22" s="117"/>
    </row>
    <row r="23" spans="2:10" ht="14.25" customHeight="1" x14ac:dyDescent="0.25">
      <c r="B23" s="83"/>
      <c r="E23" s="120"/>
      <c r="F23" s="118"/>
      <c r="G23" s="152"/>
      <c r="H23" s="153"/>
      <c r="I23" s="119"/>
      <c r="J23" s="117"/>
    </row>
    <row r="24" spans="2:10" ht="12.75" customHeight="1" x14ac:dyDescent="0.25">
      <c r="B24" s="87"/>
      <c r="E24" s="120"/>
      <c r="F24" s="115"/>
      <c r="G24" s="158"/>
      <c r="H24" s="158"/>
      <c r="I24" s="116"/>
      <c r="J24" s="117"/>
    </row>
    <row r="25" spans="2:10" ht="12.75" customHeight="1" x14ac:dyDescent="0.25">
      <c r="B25" s="87"/>
      <c r="E25" s="120"/>
      <c r="F25" s="118"/>
      <c r="G25" s="152"/>
      <c r="H25" s="153"/>
      <c r="I25" s="119"/>
      <c r="J25" s="117"/>
    </row>
    <row r="26" spans="2:10" ht="12" customHeight="1" x14ac:dyDescent="0.25">
      <c r="B26" s="87"/>
      <c r="E26" s="120"/>
      <c r="F26" s="115"/>
      <c r="G26" s="158"/>
      <c r="H26" s="158"/>
      <c r="I26" s="116"/>
      <c r="J26" s="117"/>
    </row>
    <row r="27" spans="2:10" ht="14.25" customHeight="1" x14ac:dyDescent="0.25">
      <c r="B27" s="87"/>
      <c r="E27" s="120"/>
      <c r="F27" s="118"/>
      <c r="G27" s="152"/>
      <c r="H27" s="153"/>
      <c r="I27" s="119"/>
      <c r="J27" s="117"/>
    </row>
    <row r="28" spans="2:10" ht="12.75" customHeight="1" x14ac:dyDescent="0.25">
      <c r="B28" s="87"/>
      <c r="E28" s="120"/>
      <c r="F28" s="115"/>
      <c r="G28" s="158"/>
      <c r="H28" s="158"/>
      <c r="I28" s="116"/>
      <c r="J28" s="117"/>
    </row>
    <row r="29" spans="2:10" ht="12.75" customHeight="1" x14ac:dyDescent="0.25">
      <c r="B29" s="87"/>
      <c r="E29" s="120"/>
      <c r="F29" s="118"/>
      <c r="G29" s="152"/>
      <c r="H29" s="153"/>
      <c r="I29" s="119"/>
      <c r="J29" s="117"/>
    </row>
    <row r="30" spans="2:10" ht="12.75" customHeight="1" x14ac:dyDescent="0.25">
      <c r="B30" s="87"/>
      <c r="E30" s="120"/>
      <c r="F30" s="115"/>
      <c r="G30" s="158"/>
      <c r="H30" s="158"/>
      <c r="I30" s="116"/>
      <c r="J30" s="117"/>
    </row>
    <row r="31" spans="2:10" ht="13.5" customHeight="1" x14ac:dyDescent="0.25">
      <c r="B31" s="87"/>
      <c r="E31" s="120"/>
      <c r="F31" s="118"/>
      <c r="G31" s="152"/>
      <c r="H31" s="153"/>
      <c r="I31" s="119"/>
      <c r="J31" s="117"/>
    </row>
    <row r="32" spans="2:10" ht="13.5" customHeight="1" x14ac:dyDescent="0.25">
      <c r="B32" s="87"/>
      <c r="E32" s="120"/>
      <c r="F32" s="115"/>
      <c r="G32" s="158"/>
      <c r="H32" s="158"/>
      <c r="I32" s="116"/>
      <c r="J32" s="117"/>
    </row>
    <row r="33" spans="2:10" ht="13.5" customHeight="1" x14ac:dyDescent="0.25">
      <c r="B33" s="87"/>
      <c r="E33" s="120"/>
      <c r="F33" s="118"/>
      <c r="G33" s="152"/>
      <c r="H33" s="153"/>
      <c r="I33" s="119"/>
      <c r="J33" s="117"/>
    </row>
    <row r="34" spans="2:10" ht="13.5" customHeight="1" x14ac:dyDescent="0.25">
      <c r="B34" s="87"/>
      <c r="E34" s="120"/>
      <c r="F34" s="115"/>
      <c r="G34" s="158"/>
      <c r="H34" s="158"/>
      <c r="I34" s="116"/>
      <c r="J34" s="117"/>
    </row>
    <row r="35" spans="2:10" ht="12.75" customHeight="1" x14ac:dyDescent="0.25">
      <c r="B35" s="87"/>
      <c r="E35" s="120"/>
      <c r="F35" s="118"/>
      <c r="G35" s="152"/>
      <c r="H35" s="153"/>
      <c r="I35" s="119"/>
      <c r="J35" s="117"/>
    </row>
    <row r="36" spans="2:10" x14ac:dyDescent="0.25">
      <c r="B36" s="87"/>
      <c r="E36" s="120"/>
      <c r="F36" s="115"/>
      <c r="G36" s="158"/>
      <c r="H36" s="158"/>
      <c r="I36" s="116"/>
      <c r="J36" s="117"/>
    </row>
    <row r="37" spans="2:10" ht="13.5" customHeight="1" x14ac:dyDescent="0.25">
      <c r="B37" s="87"/>
      <c r="E37" s="120"/>
      <c r="F37" s="118"/>
      <c r="G37" s="152"/>
      <c r="H37" s="153"/>
      <c r="I37" s="119"/>
      <c r="J37" s="117"/>
    </row>
    <row r="38" spans="2:10" x14ac:dyDescent="0.25">
      <c r="B38" s="87"/>
      <c r="E38" s="120"/>
      <c r="F38" s="115"/>
      <c r="G38" s="158"/>
      <c r="H38" s="158"/>
      <c r="I38" s="116"/>
      <c r="J38" s="117"/>
    </row>
    <row r="39" spans="2:10" ht="13.5" customHeight="1" x14ac:dyDescent="0.25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25">
      <c r="B40" s="87"/>
      <c r="E40" s="120"/>
      <c r="F40" s="115"/>
      <c r="G40" s="158"/>
      <c r="H40" s="158"/>
      <c r="I40" s="116"/>
      <c r="J40" s="117"/>
    </row>
    <row r="41" spans="2:10" ht="14.25" hidden="1" customHeight="1" x14ac:dyDescent="0.25">
      <c r="B41" s="87"/>
      <c r="E41" s="120"/>
      <c r="F41" s="118"/>
      <c r="G41" s="152"/>
      <c r="H41" s="153"/>
      <c r="I41" s="119"/>
      <c r="J41" s="117"/>
    </row>
    <row r="42" spans="2:10" hidden="1" x14ac:dyDescent="0.25">
      <c r="B42" s="87"/>
      <c r="E42" s="120"/>
      <c r="F42" s="115"/>
      <c r="G42" s="158"/>
      <c r="H42" s="158"/>
      <c r="I42" s="116"/>
      <c r="J42" s="117"/>
    </row>
    <row r="43" spans="2:10" x14ac:dyDescent="0.25">
      <c r="B43" s="87"/>
      <c r="E43" s="120"/>
      <c r="F43" s="118"/>
      <c r="G43" s="152"/>
      <c r="H43" s="153"/>
      <c r="I43" s="119"/>
      <c r="J43" s="117"/>
    </row>
    <row r="44" spans="2:10" ht="9" customHeight="1" x14ac:dyDescent="0.25">
      <c r="B44" s="87"/>
      <c r="E44" s="95"/>
      <c r="F44" s="92"/>
      <c r="G44" s="160"/>
      <c r="H44" s="160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1">
        <f>+F18+F20+F22+F24+F26+F28+F30+F32+F34+F36+F38+F40+F42</f>
        <v>2500</v>
      </c>
      <c r="E47" s="162"/>
    </row>
    <row r="48" spans="2:10" ht="17.25" customHeight="1" x14ac:dyDescent="0.25">
      <c r="B48" s="159" t="s">
        <v>105</v>
      </c>
      <c r="C48" s="159"/>
      <c r="D48" s="159"/>
      <c r="E48" s="159"/>
    </row>
    <row r="49" spans="2:5" ht="21.75" customHeight="1" x14ac:dyDescent="0.25">
      <c r="B49" s="159"/>
      <c r="C49" s="159"/>
      <c r="D49" s="159"/>
      <c r="E49" s="159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7" t="s">
        <v>174</v>
      </c>
      <c r="D1" s="127"/>
      <c r="E1" s="127"/>
      <c r="F1" s="126" t="str">
        <f>+Инвойс!F1</f>
        <v>11.08.2025г.</v>
      </c>
      <c r="G1" s="126"/>
      <c r="H1" s="12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8" t="str">
        <f>+Инвойс!C2</f>
        <v>к контракту № AGRO/EX/1802 от 18.02.2025г года</v>
      </c>
      <c r="D2" s="128"/>
      <c r="E2" s="128"/>
      <c r="F2" s="128"/>
      <c r="G2" s="128"/>
      <c r="H2" s="12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0" t="s">
        <v>19</v>
      </c>
      <c r="B4" s="130"/>
      <c r="C4" s="130"/>
      <c r="D4" s="130"/>
      <c r="E4" s="130"/>
      <c r="G4" s="130" t="s">
        <v>20</v>
      </c>
      <c r="H4" s="130"/>
      <c r="I4" s="130"/>
      <c r="J4" s="130"/>
      <c r="K4" s="130"/>
      <c r="L4" s="130"/>
      <c r="M4" s="130"/>
    </row>
    <row r="5" spans="1:15" ht="14.25" customHeight="1" x14ac:dyDescent="0.2">
      <c r="A5" s="129" t="str">
        <f>+Инвойс!A5</f>
        <v xml:space="preserve">LLC «AAZZ GROUP» </v>
      </c>
      <c r="B5" s="129"/>
      <c r="C5" s="129"/>
      <c r="D5" s="129"/>
      <c r="E5" s="129"/>
      <c r="F5" s="6"/>
      <c r="G5" s="131" t="str">
        <f>+Инвойс!G5</f>
        <v>ООО «Гарден Экспорт Новосибирск»</v>
      </c>
      <c r="H5" s="131"/>
      <c r="I5" s="131"/>
      <c r="J5" s="131"/>
      <c r="K5" s="131"/>
      <c r="L5" s="131"/>
      <c r="M5" s="131"/>
    </row>
    <row r="6" spans="1:15" ht="15" x14ac:dyDescent="0.25">
      <c r="A6" s="122" t="str">
        <f>+Инвойс!A6</f>
        <v xml:space="preserve">Респyблика Узбекистан, Хорезмская область, </v>
      </c>
      <c r="B6" s="122"/>
      <c r="C6" s="122"/>
      <c r="D6" s="122"/>
      <c r="E6" s="122"/>
      <c r="F6" s="7"/>
      <c r="G6" s="133" t="str">
        <f>+Инвойс!G6</f>
        <v>633100, Новосибирская область, м.р-н Новосибирский,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tr">
        <f>+Инвойс!A7</f>
        <v>Ургенчский р-н, Мевазор МФИ, улица Мустакиллик, д.6/2</v>
      </c>
      <c r="B7" s="122"/>
      <c r="C7" s="122"/>
      <c r="D7" s="122"/>
      <c r="E7" s="122"/>
      <c r="F7" s="63"/>
      <c r="G7" s="133" t="str">
        <f>+Инвойс!G7</f>
        <v>с.п. Толмачевский сельсовет, платф. 3307 км, д. 30, к.А1</v>
      </c>
      <c r="H7" s="134"/>
      <c r="I7" s="134"/>
      <c r="J7" s="134"/>
      <c r="K7" s="134"/>
      <c r="L7" s="134"/>
      <c r="M7" s="134"/>
    </row>
    <row r="8" spans="1:15" ht="15" customHeight="1" x14ac:dyDescent="0.25">
      <c r="A8" s="122" t="str">
        <f>+Инвойс!A8</f>
        <v xml:space="preserve">Р/с N 20208840907099612002  (USD)  </v>
      </c>
      <c r="B8" s="8"/>
      <c r="C8" s="8"/>
      <c r="D8" s="8"/>
      <c r="E8" s="8"/>
      <c r="F8" s="63"/>
      <c r="G8" s="133" t="str">
        <f>+Инвойс!G8</f>
        <v>Банк: Азия-Инвест Банк (АО) ИНН / КПП: 5410090342 /541001001</v>
      </c>
      <c r="H8" s="134"/>
      <c r="I8" s="134"/>
      <c r="J8" s="134"/>
      <c r="K8" s="134"/>
      <c r="L8" s="134"/>
      <c r="M8" s="134"/>
    </row>
    <row r="9" spans="1:15" ht="15" x14ac:dyDescent="0.25">
      <c r="A9" s="122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3" t="str">
        <f>+Инвойс!G9</f>
        <v>Р/Счет: 40702810700000003555 ; БИК:  044525234</v>
      </c>
      <c r="H9" s="134"/>
      <c r="I9" s="134"/>
      <c r="J9" s="134"/>
      <c r="K9" s="134"/>
      <c r="L9" s="134"/>
      <c r="M9" s="134"/>
      <c r="O9" s="7"/>
    </row>
    <row r="10" spans="1:15" ht="15" x14ac:dyDescent="0.25">
      <c r="A10" s="122" t="str">
        <f>+Инвойс!A10</f>
        <v>МФО: 00419 SWIFTCode: UZHOUZ22</v>
      </c>
      <c r="B10" s="122"/>
      <c r="C10" s="122"/>
      <c r="D10" s="122"/>
      <c r="E10" s="122"/>
      <c r="F10" s="7"/>
      <c r="G10" s="133" t="str">
        <f>+Инвойс!G10</f>
        <v>Корр.счет: 30101810445250000234  ОГРН:1215400044760</v>
      </c>
      <c r="H10" s="134"/>
      <c r="I10" s="134"/>
      <c r="J10" s="134"/>
      <c r="K10" s="134"/>
      <c r="L10" s="134"/>
      <c r="M10" s="134"/>
    </row>
    <row r="11" spans="1:15" ht="15" x14ac:dyDescent="0.25">
      <c r="A11" s="122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2" t="str">
        <f>+Инвойс!A12</f>
        <v>Адрес Банка: Республика Узбекистан,
г. Ташкент, ул. Мустакиллик, дом-15</v>
      </c>
      <c r="B12" s="132"/>
      <c r="C12" s="132"/>
      <c r="D12" s="132"/>
      <c r="E12" s="8"/>
      <c r="F12" s="7"/>
      <c r="G12" s="132"/>
      <c r="H12" s="132"/>
      <c r="I12" s="132"/>
      <c r="J12" s="132"/>
      <c r="K12" s="132"/>
      <c r="L12" s="132"/>
      <c r="M12" s="132"/>
    </row>
    <row r="13" spans="1:15" ht="24" customHeight="1" x14ac:dyDescent="0.25">
      <c r="A13" s="130" t="s">
        <v>31</v>
      </c>
      <c r="B13" s="130"/>
      <c r="C13" s="130"/>
      <c r="D13" s="130"/>
      <c r="E13" s="130"/>
      <c r="G13" s="130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29" t="str">
        <f>+Инвойс!A14</f>
        <v xml:space="preserve">LLC «AAZZ GROUP» </v>
      </c>
      <c r="B14" s="129"/>
      <c r="C14" s="129"/>
      <c r="D14" s="129"/>
      <c r="E14" s="129"/>
      <c r="F14" s="6"/>
      <c r="G14" s="131" t="str">
        <f>+Инвойс!G14</f>
        <v>OOO «Сармант-ЮГ»</v>
      </c>
      <c r="H14" s="131"/>
      <c r="I14" s="131"/>
      <c r="J14" s="131"/>
      <c r="K14" s="131"/>
      <c r="L14" s="131"/>
      <c r="M14" s="131"/>
    </row>
    <row r="15" spans="1:15" ht="13.9" customHeight="1" x14ac:dyDescent="0.25">
      <c r="A15" s="122" t="str">
        <f>+Инвойс!A15</f>
        <v xml:space="preserve">Респyблика Узбекистан, Хорезмская область, </v>
      </c>
      <c r="B15" s="122"/>
      <c r="C15" s="122"/>
      <c r="D15" s="122"/>
      <c r="E15" s="122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5" x14ac:dyDescent="0.25">
      <c r="A16" s="122" t="str">
        <f>+Инвойс!A16</f>
        <v>Ургенчский р-н, Мевазор МФИ, улица Мустакиллик, д.6/2</v>
      </c>
      <c r="B16" s="122"/>
      <c r="C16" s="122"/>
      <c r="D16" s="122"/>
      <c r="E16" s="122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22" t="str">
        <f>+Инвойс!A17</f>
        <v xml:space="preserve">Р/с N 20208840907099612002  (USD)  </v>
      </c>
      <c r="B17" s="8"/>
      <c r="C17" s="8"/>
      <c r="D17" s="8"/>
      <c r="E17" s="8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5" x14ac:dyDescent="0.25">
      <c r="A18" s="122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5" x14ac:dyDescent="0.25">
      <c r="A19" s="122" t="str">
        <f>+Инвойс!A19</f>
        <v>МФО: 00419 SWIFTCode: UZHOUZ22</v>
      </c>
      <c r="B19" s="122"/>
      <c r="C19" s="122"/>
      <c r="D19" s="122"/>
      <c r="E19" s="122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5" x14ac:dyDescent="0.25">
      <c r="A20" s="122" t="str">
        <f>+Инвойс!A20</f>
        <v xml:space="preserve">ИНН: 311440436; ОКЭД: 46690 </v>
      </c>
      <c r="B20" s="8"/>
      <c r="C20" s="8"/>
      <c r="D20" s="8"/>
      <c r="E20" s="8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38.25" customHeight="1" x14ac:dyDescent="0.25">
      <c r="A21" s="132" t="str">
        <f>+Инвойс!A21</f>
        <v>Адрес Банка: Республика Узбекистан,
г. Ташкент, ул. Мустакиллик, дом-15</v>
      </c>
      <c r="B21" s="132"/>
      <c r="C21" s="132"/>
      <c r="D21" s="13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165</v>
      </c>
      <c r="B23" s="68"/>
      <c r="C23" s="164" t="s">
        <v>166</v>
      </c>
      <c r="D23" s="164"/>
      <c r="E23" s="164"/>
      <c r="F23" s="164"/>
      <c r="G23" s="164"/>
      <c r="H23" s="164"/>
      <c r="I23" s="164"/>
      <c r="J23" s="164"/>
      <c r="K23" s="164"/>
      <c r="L23" s="164"/>
      <c r="M23" s="164"/>
    </row>
    <row r="24" spans="1:17" ht="15.75" x14ac:dyDescent="0.25">
      <c r="A24" s="20" t="s">
        <v>22</v>
      </c>
      <c r="C24" s="165" t="str">
        <f>+Инвойс!C24</f>
        <v>DAP - г. Оренбург, Российская Федерация (согласно Incoterms 2010)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6" t="str">
        <f>+Инвойс!E26</f>
        <v>75207HAA/756195AA</v>
      </c>
      <c r="F26" s="147"/>
      <c r="G26" s="147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39" t="s">
        <v>1</v>
      </c>
      <c r="B28" s="139" t="s">
        <v>2</v>
      </c>
      <c r="C28" s="139" t="s">
        <v>3</v>
      </c>
      <c r="D28" s="139" t="s">
        <v>4</v>
      </c>
      <c r="E28" s="139" t="s">
        <v>5</v>
      </c>
      <c r="F28" s="139" t="s">
        <v>6</v>
      </c>
      <c r="G28" s="143" t="s">
        <v>7</v>
      </c>
      <c r="H28" s="144"/>
      <c r="I28" s="139" t="s">
        <v>8</v>
      </c>
      <c r="J28" s="110" t="s">
        <v>9</v>
      </c>
      <c r="K28" s="143" t="s">
        <v>10</v>
      </c>
      <c r="L28" s="144"/>
      <c r="M28" s="139" t="s">
        <v>11</v>
      </c>
    </row>
    <row r="29" spans="1:17" ht="32.25" x14ac:dyDescent="0.2">
      <c r="A29" s="140"/>
      <c r="B29" s="140"/>
      <c r="C29" s="140"/>
      <c r="D29" s="140"/>
      <c r="E29" s="140"/>
      <c r="F29" s="140"/>
      <c r="G29" s="110" t="s">
        <v>12</v>
      </c>
      <c r="H29" s="110" t="s">
        <v>13</v>
      </c>
      <c r="I29" s="140"/>
      <c r="J29" s="111" t="s">
        <v>14</v>
      </c>
      <c r="K29" s="10" t="s">
        <v>15</v>
      </c>
      <c r="L29" s="10" t="s">
        <v>16</v>
      </c>
      <c r="M29" s="140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2500</v>
      </c>
      <c r="F30" s="109" t="str">
        <f>+Инвойс!F30</f>
        <v>кг</v>
      </c>
      <c r="G30" s="105">
        <f>+Инвойс!G30</f>
        <v>22710</v>
      </c>
      <c r="H30" s="105">
        <f>+Инвойс!H30</f>
        <v>20960</v>
      </c>
      <c r="I30" s="107">
        <f>+Инвойс!I30</f>
        <v>1.1000000000000001</v>
      </c>
      <c r="J30" s="13">
        <f>+Инвойс!J30</f>
        <v>23056.000000000004</v>
      </c>
      <c r="K30" s="12">
        <v>0</v>
      </c>
      <c r="L30" s="12">
        <v>0</v>
      </c>
      <c r="M30" s="13">
        <f>+Инвойс!M30</f>
        <v>23056.000000000004</v>
      </c>
      <c r="O30" s="99"/>
      <c r="Q30" s="99"/>
    </row>
    <row r="31" spans="1:17" ht="15" x14ac:dyDescent="0.2">
      <c r="A31" s="141" t="s">
        <v>0</v>
      </c>
      <c r="B31" s="142"/>
      <c r="C31" s="14"/>
      <c r="D31" s="15"/>
      <c r="E31" s="64">
        <f>SUM(E30:E30)</f>
        <v>2500</v>
      </c>
      <c r="F31" s="15"/>
      <c r="G31" s="105">
        <f>+Инвойс!G31</f>
        <v>22710</v>
      </c>
      <c r="H31" s="105">
        <f>+Инвойс!H31</f>
        <v>20960</v>
      </c>
      <c r="I31" s="101"/>
      <c r="J31" s="13">
        <f>+Инвойс!J31</f>
        <v>23056.000000000004</v>
      </c>
      <c r="K31" s="16"/>
      <c r="L31" s="16"/>
      <c r="M31" s="13">
        <f>+Инвойс!M31</f>
        <v>23056.000000000004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7" t="str">
        <f>Лист1!B3</f>
        <v>Двадцать три тысячи пятьдесят шесть долларов США, 00 центов.</v>
      </c>
      <c r="F32" s="138"/>
      <c r="G32" s="138"/>
      <c r="H32" s="138"/>
      <c r="I32" s="138"/>
      <c r="J32" s="138"/>
      <c r="K32" s="138"/>
      <c r="L32" s="138"/>
      <c r="M32" s="138"/>
    </row>
    <row r="33" spans="1:14" ht="20.25" customHeight="1" x14ac:dyDescent="0.2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 x14ac:dyDescent="0.25">
      <c r="A36" s="7" t="s">
        <v>167</v>
      </c>
      <c r="B36" s="7"/>
      <c r="D36" s="25" t="s">
        <v>157</v>
      </c>
      <c r="E36" s="24"/>
      <c r="G36" s="124" t="s">
        <v>168</v>
      </c>
      <c r="L36" s="25" t="s">
        <v>169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5" t="s">
        <v>170</v>
      </c>
    </row>
    <row r="53" spans="7:12" x14ac:dyDescent="0.2">
      <c r="G53" t="str">
        <f>+Инвойс!G14</f>
        <v>OOO «Сармант-ЮГ»</v>
      </c>
    </row>
  </sheetData>
  <mergeCells count="42"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</mergeCells>
  <pageMargins left="0.7" right="0.7" top="0.75" bottom="0.75" header="0.3" footer="0.3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sqref="A1:K2"/>
    </sheetView>
  </sheetViews>
  <sheetFormatPr defaultRowHeight="12.75" x14ac:dyDescent="0.2"/>
  <sheetData>
    <row r="1" spans="1:11" ht="28.5" customHeight="1" x14ac:dyDescent="0.2">
      <c r="A1" s="145" t="s">
        <v>123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x14ac:dyDescent="0.2">
      <c r="A2" s="18" t="s">
        <v>124</v>
      </c>
    </row>
    <row r="5" spans="1:11" ht="12.75" customHeight="1" x14ac:dyDescent="0.2">
      <c r="A5" s="145" t="s">
        <v>159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</row>
    <row r="6" spans="1:11" x14ac:dyDescent="0.2">
      <c r="A6" s="18" t="s">
        <v>125</v>
      </c>
    </row>
    <row r="9" spans="1:11" x14ac:dyDescent="0.2">
      <c r="A9" s="145" t="s">
        <v>114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</row>
    <row r="10" spans="1:11" x14ac:dyDescent="0.2">
      <c r="A10" s="18" t="s">
        <v>115</v>
      </c>
    </row>
    <row r="13" spans="1:11" x14ac:dyDescent="0.2">
      <c r="A13" s="145" t="s">
        <v>126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</row>
    <row r="14" spans="1:11" x14ac:dyDescent="0.2">
      <c r="A14" s="18" t="s">
        <v>127</v>
      </c>
    </row>
    <row r="17" spans="1:14" x14ac:dyDescent="0.2">
      <c r="A17" s="145" t="s">
        <v>128</v>
      </c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M17" s="70" t="s">
        <v>135</v>
      </c>
    </row>
    <row r="18" spans="1:14" x14ac:dyDescent="0.2">
      <c r="A18" s="18" t="s">
        <v>129</v>
      </c>
      <c r="M18" s="70" t="s">
        <v>136</v>
      </c>
    </row>
    <row r="20" spans="1:14" x14ac:dyDescent="0.2">
      <c r="N20" s="166" t="s">
        <v>137</v>
      </c>
    </row>
    <row r="21" spans="1:14" x14ac:dyDescent="0.2">
      <c r="A21" s="145" t="s">
        <v>130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N21" s="151"/>
    </row>
    <row r="22" spans="1:14" x14ac:dyDescent="0.2">
      <c r="A22" s="18" t="s">
        <v>131</v>
      </c>
    </row>
    <row r="25" spans="1:14" x14ac:dyDescent="0.2">
      <c r="A25" s="145" t="s">
        <v>132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</row>
    <row r="26" spans="1:14" x14ac:dyDescent="0.2">
      <c r="A26" s="18" t="s">
        <v>133</v>
      </c>
    </row>
    <row r="29" spans="1:14" x14ac:dyDescent="0.2">
      <c r="A29" s="145" t="s">
        <v>138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</row>
    <row r="30" spans="1:14" x14ac:dyDescent="0.2">
      <c r="A30" s="18" t="s">
        <v>160</v>
      </c>
    </row>
    <row r="32" spans="1:14" x14ac:dyDescent="0.2">
      <c r="A32" s="165" t="s">
        <v>161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</row>
    <row r="33" spans="1:11" x14ac:dyDescent="0.2">
      <c r="A33" s="18" t="s">
        <v>162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5" t="s">
        <v>163</v>
      </c>
      <c r="B35" s="165"/>
      <c r="C35" s="165"/>
      <c r="D35" s="165"/>
      <c r="E35" s="165"/>
      <c r="F35" s="165"/>
      <c r="G35" s="165"/>
      <c r="H35" s="165"/>
      <c r="I35" s="165"/>
      <c r="J35" s="165"/>
      <c r="K35" s="165"/>
    </row>
    <row r="36" spans="1:11" x14ac:dyDescent="0.2">
      <c r="A36" s="18" t="s">
        <v>164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75" x14ac:dyDescent="0.25">
      <c r="E2" s="27">
        <f>Инвойс!M31</f>
        <v>23056.000000000004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три тысячи пятьдесят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45880</v>
      </c>
      <c r="O3" s="170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три тысячи пятьдесят шесть долларов США, 00 центов. (в т.ч. НДС - 357,79)</v>
      </c>
      <c r="H4" s="32"/>
      <c r="I4" s="32"/>
      <c r="J4" s="32"/>
      <c r="K4" s="171" t="str">
        <f ca="1">CONCATENATE(" «  ",P3,"  »  ",Q3,"  ",R3," г.")</f>
        <v xml:space="preserve"> «  11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три тысячи пятьдесят шесть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три тысячи пятьдесят шесть долларов США, 00 центов. (в т.ч. НДС - 357,79)</v>
      </c>
      <c r="C6"/>
      <c r="D6"/>
      <c r="E6"/>
      <c r="H6" s="39"/>
    </row>
    <row r="7" spans="1:19" x14ac:dyDescent="0.2">
      <c r="D7" s="33"/>
      <c r="H7" s="172" t="s">
        <v>38</v>
      </c>
      <c r="I7" s="172"/>
      <c r="J7" s="17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2"/>
      <c r="I8" s="172"/>
      <c r="J8" s="17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2"/>
      <c r="I9" s="172"/>
      <c r="J9" s="17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три тысячи </v>
      </c>
      <c r="D10" s="47"/>
      <c r="E10" s="48"/>
      <c r="F10" s="41" t="str">
        <f>PROPER(F9)</f>
        <v>Д</v>
      </c>
      <c r="G10" s="42"/>
      <c r="H10" s="172"/>
      <c r="I10" s="172"/>
      <c r="J10" s="17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пятьдесят шесть долларов США, </v>
      </c>
      <c r="D11" s="47"/>
      <c r="E11" s="48"/>
      <c r="H11" s="172"/>
      <c r="I11" s="172"/>
      <c r="J11" s="17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23056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23</v>
      </c>
      <c r="B25" s="47">
        <f>TRUNC(RIGHT(A25))</f>
        <v>3</v>
      </c>
      <c r="C25" s="51">
        <f>IF(B24=1,B25+10,IF(B25=0,0,B25))</f>
        <v>3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23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230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2305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23056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8" t="s">
        <v>85</v>
      </c>
      <c r="B100" s="168"/>
      <c r="C100" s="168"/>
      <c r="D100" s="16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2025-08-10T20:43:15Z</cp:lastPrinted>
  <dcterms:created xsi:type="dcterms:W3CDTF">1996-10-14T23:33:28Z</dcterms:created>
  <dcterms:modified xsi:type="dcterms:W3CDTF">2025-08-10T20:43:16Z</dcterms:modified>
</cp:coreProperties>
</file>