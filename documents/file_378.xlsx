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A57F895E-4FF5-4F37-AECB-8948A275A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M31" i="2" s="1"/>
  <c r="A20" i="7"/>
  <c r="A11" i="7"/>
  <c r="J30" i="2" l="1"/>
  <c r="M30" i="2" s="1"/>
  <c r="D37" i="7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<sst xmlns="http://schemas.openxmlformats.org/spreadsheetml/2006/main" count="215" uniqueCount="165">
  <si>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</si>
  <si>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</si>
  <si>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</si>
  <si>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</si>
  <si>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</si>
  <si>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</si>
  <si>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</si>
  <si>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</si>
  <si>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</si>
  <si>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</si>
  <si>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</si>
  <si>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</si>
  <si>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</si>
  <si>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</si>
  <si>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</si>
  <si>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</si>
  <si>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</si>
  <si>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</si>
  <si>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</si>
  <si>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</si>
  <si>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</si>
  <si>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</si>
  <si>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</si>
  <si>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</si>
  <si>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</si>
  <si>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</si>
  <si>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</si>
  <si>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</si>
  <si>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</si>
  <si>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</si>
  <si>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</si>
  <si>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</si>
  <si>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</si>
  <si>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</si>
  <si>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</si>
  <si>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</si>
  <si>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</si>
  <si>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</si>
  <si>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</si>
  <si>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</si>
  <si>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</si>
  <si>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</si>
  <si>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</si>
  <si>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</si>
  <si>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</si>
  <si>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</si>
  <si>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</si>
  <si>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</si>
  <si>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</si>
  <si>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</si>
  <si>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</si>
  <si>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</si>
  <si>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</si>
  <si>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</si>
  <si>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</si>
  <si>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</si>
  <si>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</si>
  <si>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</si>
  <si>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</si>
  <si>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</si>
  <si>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</si>
  <si>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</si>
  <si>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</si>
  <si>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</si>
  <si>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</si>
  <si>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</si>
  <si>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</si>
  <si>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</si>
  <si>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</si>
  <si>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</si>
  <si>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</si>
  <si>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</si>
  <si>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</si>
  <si>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</si>
  <si>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</si>
  <si>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</si>
  <si>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</si>
  <si>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</si>
  <si>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</si>
  <si>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</si>
  <si>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</si>
  <si>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</si>
  <si>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</si>
  <si>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</si>
  <si>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</si>
  <si>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</si>
  <si>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</si>
  <si>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</si>
  <si>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</si>
  <si>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</si>
  <si>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</si>
  <si>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</si>
  <si>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</si>
  <si>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</si>
  <si>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</si>
  <si>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</si>
  <si>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</si>
  <si>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</si>
  <si>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</si>
  <si>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</si>
  <si>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</si>
  <si>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</si>
  <si>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</si>
  <si>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</si>
  <si>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</si>
  <si>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</si>
  <si>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</si>
  <si>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</si>
  <si>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</si>
  <si>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</si>
  <si>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</si>
  <si>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</si>
  <si>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</si>
  <si>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</si>
  <si>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</si>
  <si>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</si>
  <si>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</si>
  <si>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</si>
  <si>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</si>
  <si>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</si>
  <si>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</si>
  <si>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</si>
  <si>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</si>
  <si>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</si>
  <si>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</si>
  <si>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</si>
  <si>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</si>
  <si>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</si>
  <si>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</si>
  <si>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</si>
  <si>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</si>
  <si>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</si>
  <si>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</si>
  <si>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</si>
  <si>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</si>
  <si>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</si>
  <si>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</si>
  <si>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</si>
  <si>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</si>
  <si>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</si>
  <si>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</si>
  <si>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</si>
  <si>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</si>
  <si>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</si>
  <si>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</si>
  <si>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</si>
  <si>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</si>
  <si>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</si>
  <si>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</si>
  <si>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</si>
  <si>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</si>
  <si>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</si>
  <si>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</si>
  <si>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</si>
  <si>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</si>
  <si>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</si>
  <si>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</si>
  <si>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</si>
  <si>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</si>
  <si>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GWG-N-6 от </t>
  </si>
  <si>
    <t xml:space="preserve"> 02.09.2025г.</t>
  </si>
  <si>
    <t xml:space="preserve">СПЕЦИФИКАЦИЯ № GWG-N-6 от </t>
  </si>
  <si>
    <t>40N416YA/015920BA</t>
  </si>
  <si>
    <t>Навалом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</si>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</sst>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37</xdr:row>
      <xdr:rowOff>123264</xdr:rowOff>
    </xdr:from>
    <xdr:to>
      <xdr:col>3</xdr:col>
      <xdr:colOff>353616</xdr:colOff>
      <xdr:row>52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37</xdr:row>
      <xdr:rowOff>145677</xdr:rowOff>
    </xdr:from>
    <xdr:to>
      <xdr:col>9</xdr:col>
      <xdr:colOff>746872</xdr:colOff>
      <xdr:row>49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100851</xdr:rowOff>
    </xdr:from>
    <xdr:to>
      <xdr:col>2</xdr:col>
      <xdr:colOff>526676</xdr:colOff>
      <xdr:row>50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121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142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162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5" t="s">
        <v>27</v>
      </c>
      <c r="G30" s="106">
        <v>22690</v>
      </c>
      <c r="H30" s="106">
        <v>21034</v>
      </c>
      <c r="I30" s="108">
        <v>0.25</v>
      </c>
      <c r="J30" s="13">
        <f t="shared" ref="J30:J31" si="0">H30*I30</f>
        <v>5258.5</v>
      </c>
      <c r="K30" s="12">
        <v>0</v>
      </c>
      <c r="L30" s="12">
        <v>0</v>
      </c>
      <c r="M30" s="13">
        <f t="shared" ref="M30:M31" si="1">J30</f>
        <v>5258.5</v>
      </c>
      <c r="O30" s="100"/>
      <c r="Q30" s="100"/>
    </row>
    <row r="31" spans="1:17" ht="13.8" x14ac:dyDescent="0.25">
      <c r="A31" s="127">
        <v>2</v>
      </c>
      <c r="B31" s="101" t="s">
        <v>124</v>
      </c>
      <c r="C31" s="107" t="s">
        <v>125</v>
      </c>
      <c r="D31" s="109" t="s">
        <v>163</v>
      </c>
      <c r="E31" s="101" t="s">
        <v>164</v>
      </c>
      <c r="F31" s="115" t="s">
        <v>27</v>
      </c>
      <c r="G31" s="106">
        <v>40</v>
      </c>
      <c r="H31" s="106">
        <v>40</v>
      </c>
      <c r="I31" s="108">
        <v>0.25</v>
      </c>
      <c r="J31" s="13">
        <f t="shared" si="0"/>
        <v>10</v>
      </c>
      <c r="K31" s="12">
        <v>0</v>
      </c>
      <c r="L31" s="12">
        <v>0</v>
      </c>
      <c r="M31" s="13">
        <f t="shared" si="1"/>
        <v>10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920</v>
      </c>
      <c r="F32" s="15"/>
      <c r="G32" s="64">
        <f>SUM(G30:G31)</f>
        <v>22730</v>
      </c>
      <c r="H32" s="64">
        <f>SUM(H30:H31)</f>
        <v>21074</v>
      </c>
      <c r="I32" s="102"/>
      <c r="J32" s="17">
        <f>SUM(J30:J31)</f>
        <v>5268.5</v>
      </c>
      <c r="K32" s="16"/>
      <c r="L32" s="16"/>
      <c r="M32" s="17">
        <f>SUM(M30:M31)</f>
        <v>5268.5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двести шестьдесят восемь долларов США, 50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109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2" sqref="B32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GWG-N-6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22690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40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"ОМАС" 10610050 - т/п Омский 
644117, Омская обл., г. Омск, ул. 3-я Молодежная, д. 6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40N416YA/015920BA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40N416YA/015920BA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GWG-N-6 от  02.09.2025г.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22690</v>
      </c>
    </row>
    <row r="20" spans="2:10" ht="13.5" customHeight="1" x14ac:dyDescent="0.3">
      <c r="B20" s="83"/>
      <c r="E20" s="122"/>
      <c r="F20" s="117" t="str">
        <f>+Инвойс!E31</f>
        <v>-</v>
      </c>
      <c r="G20" s="165" t="str">
        <f>+CMR!F31</f>
        <v>Дыни свежие</v>
      </c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59" t="str">
        <f>+Инвойс!C31</f>
        <v>0807190001</v>
      </c>
      <c r="H21" s="160"/>
      <c r="I21" s="121" t="s">
        <v>103</v>
      </c>
      <c r="J21" s="119">
        <f>+Инвойс!G31</f>
        <v>40</v>
      </c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v>920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4" t="str">
        <f>+Инвойс!F1</f>
        <v xml:space="preserve"> 02.09.2025г.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40N416YA/015920BA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22690</v>
      </c>
      <c r="H30" s="106">
        <f>+Инвойс!H30</f>
        <v>21034</v>
      </c>
      <c r="I30" s="108">
        <f>+Инвойс!I30</f>
        <v>0.25</v>
      </c>
      <c r="J30" s="13">
        <f>+Инвойс!J30</f>
        <v>5258.5</v>
      </c>
      <c r="K30" s="12">
        <v>0</v>
      </c>
      <c r="L30" s="12">
        <v>0</v>
      </c>
      <c r="M30" s="13">
        <f>+Инвойс!M30</f>
        <v>5258.5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40</v>
      </c>
      <c r="H31" s="106">
        <f>+Инвойс!H31</f>
        <v>40</v>
      </c>
      <c r="I31" s="108">
        <f>+Инвойс!I31</f>
        <v>0.25</v>
      </c>
      <c r="J31" s="13">
        <f>+Инвойс!J31</f>
        <v>10</v>
      </c>
      <c r="K31" s="12">
        <v>0</v>
      </c>
      <c r="L31" s="12">
        <v>0</v>
      </c>
      <c r="M31" s="13">
        <f>+Инвойс!M31</f>
        <v>10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920</v>
      </c>
      <c r="F32" s="15"/>
      <c r="G32" s="64">
        <f>SUM(G30:G31)</f>
        <v>22730</v>
      </c>
      <c r="H32" s="64">
        <f>SUM(H30:H31)</f>
        <v>21074</v>
      </c>
      <c r="I32" s="102"/>
      <c r="J32" s="17">
        <f>SUM(J30:J31)</f>
        <v>5268.5</v>
      </c>
      <c r="K32" s="16"/>
      <c r="L32" s="16"/>
      <c r="M32" s="17">
        <f>SUM(M30:M31)</f>
        <v>5268.5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двести шестьдесят восемь долларов США, 50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s="18" customFormat="1" ht="15.6" x14ac:dyDescent="0.3">
      <c r="A37" s="131" t="s">
        <v>157</v>
      </c>
      <c r="B37" s="131"/>
      <c r="D37" s="18" t="str">
        <f>+Инвойс!D37</f>
        <v>Тиловбеков Б.Э.</v>
      </c>
      <c r="E37" s="132"/>
      <c r="G37" s="129" t="s">
        <v>128</v>
      </c>
      <c r="H37" s="18" t="str">
        <f>Инвойс!G5</f>
        <v>ООО «ГРИН ВОРЛД»</v>
      </c>
      <c r="K37" s="133" t="s">
        <v>138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115" zoomScaleNormal="11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5268.5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шестьдесят восемь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шестьдесят восемь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шестьдесят восемь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шестьдесят восемь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восемь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5268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5268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2025-09-02T14:20:48Z</cp:lastPrinted>
  <dcterms:created xsi:type="dcterms:W3CDTF">1996-10-14T23:33:28Z</dcterms:created>
  <dcterms:modified xsi:type="dcterms:W3CDTF">2025-09-02T14:20:51Z</dcterms:modified>
</cp:coreProperties>
</file>