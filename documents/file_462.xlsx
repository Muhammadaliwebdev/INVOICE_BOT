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01A174-F84B-46A1-B4C2-E47B4CA26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J31" i="2" l="1"/>
  <c r="M31" i="2" s="1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<sst xmlns="http://schemas.openxmlformats.org/spreadsheetml/2006/main" count="217" uniqueCount="165">
  <si>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</si>
  <si>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</si>
  <si>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</si>
  <si>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</si>
  <si>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</si>
  <si>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</si>
  <si>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</si>
  <si>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</si>
  <si>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</si>
  <si>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</si>
  <si>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</si>
  <si>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</si>
  <si>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</si>
  <si>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</si>
  <si>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</si>
  <si>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</si>
  <si>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</si>
  <si>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</si>
  <si>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</si>
  <si>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</si>
  <si>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</si>
  <si>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</si>
  <si>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</si>
  <si>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</si>
  <si>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</si>
  <si>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</si>
  <si>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</si>
  <si>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</si>
  <si>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</si>
  <si>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</si>
  <si>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</si>
  <si>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</si>
  <si>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</si>
  <si>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</si>
  <si>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</si>
  <si>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</si>
  <si>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</si>
  <si>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</si>
  <si>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</si>
  <si>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</si>
  <si>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</si>
  <si>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</si>
  <si>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</si>
  <si>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</si>
  <si>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</si>
  <si>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</si>
  <si>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</si>
  <si>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</si>
  <si>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</si>
  <si>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</si>
  <si>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</si>
  <si>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</si>
  <si>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</si>
  <si>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</si>
  <si>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</si>
  <si>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</si>
  <si>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</si>
  <si>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</si>
  <si>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</si>
  <si>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</si>
  <si>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</si>
  <si>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</si>
  <si>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</si>
  <si>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</si>
  <si>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</si>
  <si>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</si>
  <si>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</si>
  <si>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</si>
  <si>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</si>
  <si>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</si>
  <si>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</si>
  <si>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</si>
  <si>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</si>
  <si>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</si>
  <si>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</si>
  <si>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</si>
  <si>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</si>
  <si>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</si>
  <si>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</si>
  <si>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</si>
  <si>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</si>
  <si>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</si>
  <si>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</si>
  <si>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</si>
  <si>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</si>
  <si>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</si>
  <si>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</si>
  <si>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</si>
  <si>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</si>
  <si>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</si>
  <si>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</si>
  <si>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</si>
  <si>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</si>
  <si>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</si>
  <si>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</si>
  <si>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</si>
  <si>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</si>
  <si>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</si>
  <si>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</si>
  <si>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</si>
  <si>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</si>
  <si>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</si>
  <si>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</si>
  <si>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</si>
  <si>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</si>
  <si>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</si>
  <si>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</si>
  <si>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</si>
  <si>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</si>
  <si>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</si>
  <si>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</si>
  <si>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</si>
  <si>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</si>
  <si>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</si>
  <si>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</si>
  <si>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</si>
  <si>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</si>
  <si>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</si>
  <si>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</si>
  <si>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</si>
  <si>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</si>
  <si>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</si>
  <si>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</si>
  <si>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</si>
  <si>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</si>
  <si>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</si>
  <si>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</si>
  <si>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</si>
  <si>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</si>
  <si>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</si>
  <si>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</si>
  <si>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</si>
  <si>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</si>
  <si>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</si>
  <si>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</si>
  <si>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</si>
  <si>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</si>
  <si>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</si>
  <si>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</si>
  <si>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</si>
  <si>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</si>
  <si>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</si>
  <si>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</si>
  <si>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</si>
  <si>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</si>
  <si>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</si>
  <si>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</si>
  <si>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</si>
  <si>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</si>
  <si>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</si>
  <si>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</si>
  <si>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</si>
  <si>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</si>
  <si>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</si>
  <si>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</si>
  <si>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</si>
  <si>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</si>
  <si>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</si>
  <si>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</si>
  <si>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UFG-M-74 от </t>
  </si>
  <si>
    <t xml:space="preserve"> 07.09.2025г.</t>
  </si>
  <si>
    <t>80221XBA/808655AA</t>
  </si>
  <si>
    <t>навалом</t>
  </si>
  <si>
    <t>-</t>
  </si>
  <si>
    <t xml:space="preserve">СПЕЦИФИКАЦИЯ № UFG-M-74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</si>
</sst>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37</xdr:row>
      <xdr:rowOff>67235</xdr:rowOff>
    </xdr:from>
    <xdr:to>
      <xdr:col>9</xdr:col>
      <xdr:colOff>421901</xdr:colOff>
      <xdr:row>48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147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135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143</v>
      </c>
      <c r="B6" s="141"/>
      <c r="C6" s="141"/>
      <c r="D6" s="141"/>
      <c r="E6" s="141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149</v>
      </c>
      <c r="B7" s="141"/>
      <c r="C7" s="141"/>
      <c r="D7" s="141"/>
      <c r="E7" s="141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145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3" t="s">
        <v>141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135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143</v>
      </c>
      <c r="B15" s="141"/>
      <c r="C15" s="141"/>
      <c r="D15" s="141"/>
      <c r="E15" s="141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149</v>
      </c>
      <c r="B16" s="141"/>
      <c r="C16" s="141"/>
      <c r="D16" s="141"/>
      <c r="E16" s="141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145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43" t="s">
        <v>141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154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157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125</v>
      </c>
      <c r="C30" s="107" t="s">
        <v>126</v>
      </c>
      <c r="D30" s="109" t="s">
        <v>111</v>
      </c>
      <c r="E30" s="101">
        <v>1010</v>
      </c>
      <c r="F30" s="115" t="s">
        <v>27</v>
      </c>
      <c r="G30" s="106">
        <v>22180</v>
      </c>
      <c r="H30" s="106">
        <v>21473</v>
      </c>
      <c r="I30" s="108">
        <v>0.25</v>
      </c>
      <c r="J30" s="13">
        <f t="shared" ref="J30:J31" si="0">H30*I30</f>
        <v>5368.25</v>
      </c>
      <c r="K30" s="12">
        <v>0</v>
      </c>
      <c r="L30" s="12">
        <v>0</v>
      </c>
      <c r="M30" s="13">
        <f t="shared" ref="M30:M31" si="1">J30</f>
        <v>5368.25</v>
      </c>
      <c r="O30" s="100"/>
      <c r="Q30" s="100"/>
    </row>
    <row r="31" spans="1:17" ht="13.8" x14ac:dyDescent="0.25">
      <c r="A31" s="126">
        <v>2</v>
      </c>
      <c r="B31" s="101" t="s">
        <v>125</v>
      </c>
      <c r="C31" s="107" t="s">
        <v>126</v>
      </c>
      <c r="D31" s="109" t="s">
        <v>162</v>
      </c>
      <c r="E31" s="101" t="s">
        <v>163</v>
      </c>
      <c r="F31" s="115" t="s">
        <v>27</v>
      </c>
      <c r="G31" s="106">
        <v>320</v>
      </c>
      <c r="H31" s="106">
        <v>320</v>
      </c>
      <c r="I31" s="108">
        <v>0.25</v>
      </c>
      <c r="J31" s="13">
        <f t="shared" si="0"/>
        <v>80</v>
      </c>
      <c r="K31" s="12">
        <v>0</v>
      </c>
      <c r="L31" s="12">
        <v>0</v>
      </c>
      <c r="M31" s="13">
        <f t="shared" si="1"/>
        <v>80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1010</v>
      </c>
      <c r="F32" s="15"/>
      <c r="G32" s="64">
        <f>SUM(G30:G31)</f>
        <v>22500</v>
      </c>
      <c r="H32" s="64">
        <f>SUM(H30:H31)</f>
        <v>21793</v>
      </c>
      <c r="I32" s="102"/>
      <c r="J32" s="17">
        <f>SUM(J30:J31)</f>
        <v>5448.25</v>
      </c>
      <c r="K32" s="16"/>
      <c r="L32" s="16"/>
      <c r="M32" s="17">
        <f>SUM(M30:M31)</f>
        <v>5448.25</v>
      </c>
      <c r="P32" s="66"/>
    </row>
    <row r="33" spans="1:14" ht="13.8" x14ac:dyDescent="0.3">
      <c r="A33" s="2" t="s">
        <v>17</v>
      </c>
      <c r="B33" s="3"/>
      <c r="C33" s="11"/>
      <c r="D33" s="11"/>
      <c r="E33" s="148" t="str">
        <f>Лист1!B3</f>
        <v>Пять тысяч четыреста сорок восемь долларов США, 25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3.8" x14ac:dyDescent="0.25">
      <c r="A37" s="7" t="s">
        <v>28</v>
      </c>
      <c r="B37" s="7"/>
      <c r="D37" s="25" t="s">
        <v>152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3" sqref="G33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UFG-M-74 от  07.09.2025г.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1010</v>
      </c>
      <c r="D30" s="103" t="str">
        <f>+Инвойс!D30</f>
        <v>Пласт. ящик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22180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320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г.Челябинский таможенный пост г.Челябинск ул. Енисейская, 87А код поста 10504080   ООО "ГРИН ВОРЛД" 
RU/0237/2 от 27.12.2024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07.09.2025г.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80221XBA/808655AA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G44" sqref="G44:H4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80221XBA/808655AA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UFG-M-74 от  07.09.2025г.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1010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22180</v>
      </c>
    </row>
    <row r="20" spans="2:10" ht="13.5" customHeight="1" x14ac:dyDescent="0.3">
      <c r="B20" s="83"/>
      <c r="E20" s="122"/>
      <c r="F20" s="117" t="str">
        <f>+Инвойс!E31</f>
        <v>-</v>
      </c>
      <c r="G20" s="162" t="str">
        <f>+CMR!F31</f>
        <v>Дыни свежие</v>
      </c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навалом</v>
      </c>
      <c r="G21" s="160" t="str">
        <f>+Инвойс!C31</f>
        <v>0807190001</v>
      </c>
      <c r="H21" s="161"/>
      <c r="I21" s="121" t="s">
        <v>103</v>
      </c>
      <c r="J21" s="119">
        <f>+Инвойс!G31</f>
        <v>320</v>
      </c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v>1010</v>
      </c>
      <c r="E47" s="141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3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164</v>
      </c>
      <c r="C1" s="170"/>
      <c r="D1" s="170"/>
      <c r="E1" s="170"/>
      <c r="F1" s="152" t="str">
        <f>+Инвойс!F1</f>
        <v xml:space="preserve"> 07.09.2025г.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37" t="s">
        <v>115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80221XBA/808655AA</v>
      </c>
      <c r="F26" s="139"/>
      <c r="G26" s="139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13.8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Пласт. ящик</v>
      </c>
      <c r="E30" s="101">
        <f>+Инвойс!E30</f>
        <v>1010</v>
      </c>
      <c r="F30" s="115" t="str">
        <f>+Инвойс!F30</f>
        <v>кг</v>
      </c>
      <c r="G30" s="106">
        <f>+Инвойс!G30</f>
        <v>22180</v>
      </c>
      <c r="H30" s="106">
        <f>+Инвойс!H30</f>
        <v>21473</v>
      </c>
      <c r="I30" s="108">
        <f>+Инвойс!I30</f>
        <v>0.25</v>
      </c>
      <c r="J30" s="13">
        <f>+Инвойс!J30</f>
        <v>5368.25</v>
      </c>
      <c r="K30" s="12">
        <v>0</v>
      </c>
      <c r="L30" s="12">
        <v>0</v>
      </c>
      <c r="M30" s="13">
        <f>+Инвойс!M30</f>
        <v>5368.25</v>
      </c>
      <c r="O30" s="100"/>
      <c r="Q30" s="100"/>
    </row>
    <row r="31" spans="1:17" ht="13.8" x14ac:dyDescent="0.25">
      <c r="A31" s="126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320</v>
      </c>
      <c r="H31" s="106">
        <f>+Инвойс!H31</f>
        <v>320</v>
      </c>
      <c r="I31" s="108">
        <f>+Инвойс!I31</f>
        <v>0.25</v>
      </c>
      <c r="J31" s="13">
        <f>+Инвойс!J31</f>
        <v>80</v>
      </c>
      <c r="K31" s="12">
        <v>0</v>
      </c>
      <c r="L31" s="12">
        <v>0</v>
      </c>
      <c r="M31" s="13">
        <f>+Инвойс!M31</f>
        <v>80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1010</v>
      </c>
      <c r="F32" s="15"/>
      <c r="G32" s="64">
        <f>SUM(G30:G31)</f>
        <v>22500</v>
      </c>
      <c r="H32" s="64">
        <f>SUM(H30:H31)</f>
        <v>21793</v>
      </c>
      <c r="I32" s="102"/>
      <c r="J32" s="17">
        <f>SUM(J30:J31)</f>
        <v>5448.25</v>
      </c>
      <c r="K32" s="16"/>
      <c r="L32" s="16"/>
      <c r="M32" s="17">
        <f>SUM(M30:M31)</f>
        <v>5448.25</v>
      </c>
      <c r="P32" s="66"/>
    </row>
    <row r="33" spans="1:14" ht="13.8" x14ac:dyDescent="0.3">
      <c r="A33" s="2" t="s">
        <v>17</v>
      </c>
      <c r="B33" s="3"/>
      <c r="C33" s="11"/>
      <c r="D33" s="11"/>
      <c r="E33" s="148" t="str">
        <f>Лист1!B3</f>
        <v>Пять тысяч четыреста сорок восемь долларов США, 25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6" x14ac:dyDescent="0.3">
      <c r="A37" s="130" t="s">
        <v>153</v>
      </c>
      <c r="B37" s="130"/>
      <c r="D37" s="18" t="str">
        <f>+Инвойс!D37</f>
        <v>ЭШТЕМИРОВ Х.Х</v>
      </c>
      <c r="E37" s="131"/>
      <c r="G37" s="128" t="s">
        <v>128</v>
      </c>
      <c r="H37" s="18" t="str">
        <f>Инвойс!G5</f>
        <v>ООО «ГРИН ВОРЛД»</v>
      </c>
      <c r="K37" s="132" t="s">
        <v>142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127</v>
      </c>
    </row>
    <row r="5" spans="1:10" ht="92.4" x14ac:dyDescent="0.25">
      <c r="A5" s="125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5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157</v>
      </c>
      <c r="J10" s="25" t="s">
        <v>132</v>
      </c>
    </row>
    <row r="11" spans="1:10" ht="52.8" x14ac:dyDescent="0.25">
      <c r="A11" s="125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Инвойс!M32</f>
        <v>5448.25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сорок восемь долларов США, 25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45907</v>
      </c>
      <c r="O3" s="176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четыреста сорок восемь долларов США, 25 центов. (в т.ч. НДС - 357,79)</v>
      </c>
      <c r="H4" s="32"/>
      <c r="I4" s="32"/>
      <c r="J4" s="32"/>
      <c r="K4" s="177" t="str">
        <f ca="1">CONCATENATE(" «  ",P3,"  »  ",Q3,"  ",R3," г.")</f>
        <v xml:space="preserve"> «  7  »  сентября  2025 г.</v>
      </c>
      <c r="L4" s="177"/>
      <c r="M4" s="177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сорок восемь долларов США, 25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сорок восемь долларов США, 25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сорок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5448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5448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448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2025-09-07T08:07:19Z</cp:lastPrinted>
  <dcterms:created xsi:type="dcterms:W3CDTF">1996-10-14T23:33:28Z</dcterms:created>
  <dcterms:modified xsi:type="dcterms:W3CDTF">2025-09-07T08:07:23Z</dcterms:modified>
</cp:coreProperties>
</file>