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F1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<sst xmlns="http://schemas.openxmlformats.org/spreadsheetml/2006/main" count="207" uniqueCount="165">
  <si>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</si>
  <si>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</si>
  <si>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</si>
  <si>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</si>
  <si>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</si>
  <si>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</si>
  <si>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</si>
  <si>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</si>
  <si>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</si>
  <si>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</si>
  <si>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</si>
  <si>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</si>
  <si>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</si>
  <si>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</si>
  <si>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</si>
  <si>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</si>
  <si>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</si>
  <si>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</si>
  <si>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</si>
  <si>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</si>
  <si>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</si>
  <si>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</si>
  <si>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</si>
  <si>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</si>
  <si>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</si>
  <si>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</si>
  <si>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</si>
  <si>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</si>
  <si>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</si>
  <si>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</si>
  <si>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</si>
  <si>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</si>
  <si>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</si>
  <si>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</si>
  <si>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</si>
  <si>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</si>
  <si>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</si>
  <si>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</si>
  <si>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</si>
  <si>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</si>
  <si>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</si>
  <si>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</si>
  <si>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</si>
  <si>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</si>
  <si>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</si>
  <si>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</si>
  <si>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</si>
  <si>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</si>
  <si>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</si>
  <si>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</si>
  <si>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</si>
  <si>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</si>
  <si>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</si>
  <si>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</si>
  <si>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</si>
  <si>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</si>
  <si>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</si>
  <si>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</si>
  <si>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</si>
  <si>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</si>
  <si>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</si>
  <si>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</si>
  <si>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</si>
  <si>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</si>
  <si>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</si>
  <si>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</si>
  <si>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</si>
  <si>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</si>
  <si>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</si>
  <si>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</si>
  <si>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</si>
  <si>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</si>
  <si>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</si>
  <si>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</si>
  <si>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</si>
  <si>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</si>
  <si>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</si>
  <si>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</si>
  <si>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</si>
  <si>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</si>
  <si>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</si>
  <si>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</si>
  <si>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</si>
  <si>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</si>
  <si>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</si>
  <si>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</si>
  <si>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</si>
  <si>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</si>
  <si>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</si>
  <si>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</si>
  <si>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</si>
  <si>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</si>
  <si>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</si>
  <si>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</si>
  <si>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</si>
  <si>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</si>
  <si>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</si>
  <si>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</si>
  <si>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</si>
  <si>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</si>
  <si>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</si>
  <si>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</si>
  <si>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</si>
  <si>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</si>
  <si>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</si>
  <si>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</si>
  <si>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</si>
  <si>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</si>
  <si>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</si>
  <si>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</si>
  <si>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</si>
  <si>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</si>
  <si>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</si>
  <si>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</si>
  <si>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</si>
  <si>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</si>
  <si>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</si>
  <si>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</si>
  <si>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</si>
  <si>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</si>
  <si>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</si>
  <si>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</si>
  <si>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</si>
  <si>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</si>
  <si>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</si>
  <si>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</si>
  <si>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</si>
  <si>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</si>
  <si>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</si>
  <si>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</si>
  <si>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</si>
  <si>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</si>
  <si>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</si>
  <si>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</si>
  <si>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</si>
  <si>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</si>
  <si>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</si>
  <si>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</si>
  <si>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</si>
  <si>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</si>
  <si>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</si>
  <si>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</si>
  <si>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</si>
  <si>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</si>
  <si>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</si>
  <si>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</si>
  <si>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</si>
  <si>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</si>
  <si>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</si>
  <si>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</si>
  <si>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</si>
  <si>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</si>
  <si>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</si>
  <si>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</si>
  <si>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</si>
  <si>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</si>
  <si>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</si>
  <si>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</si>
  <si>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12.08.2025г.</t>
  </si>
  <si>
    <t xml:space="preserve">ИНВОЙС № BEZ-N-31 от </t>
  </si>
  <si>
    <t xml:space="preserve">СПЕЦИФИКАЦИЯ № BEZ-N-31 от </t>
  </si>
  <si>
    <t>80262CBA/803413AA</t>
  </si>
  <si>
    <t>DAP - с Амандык , Республика Казахстан</t>
  </si>
  <si>
    <t>Навалом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</si>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</sst>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38</xdr:row>
      <xdr:rowOff>22411</xdr:rowOff>
    </xdr:from>
    <xdr:to>
      <xdr:col>4</xdr:col>
      <xdr:colOff>159123</xdr:colOff>
      <xdr:row>48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40</xdr:row>
      <xdr:rowOff>20172</xdr:rowOff>
    </xdr:from>
    <xdr:to>
      <xdr:col>12</xdr:col>
      <xdr:colOff>149486</xdr:colOff>
      <xdr:row>43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38</xdr:row>
      <xdr:rowOff>98613</xdr:rowOff>
    </xdr:from>
    <xdr:to>
      <xdr:col>9</xdr:col>
      <xdr:colOff>159123</xdr:colOff>
      <xdr:row>50</xdr:row>
      <xdr:rowOff>93658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38</xdr:row>
      <xdr:rowOff>56030</xdr:rowOff>
    </xdr:from>
    <xdr:to>
      <xdr:col>3</xdr:col>
      <xdr:colOff>268941</xdr:colOff>
      <xdr:row>51</xdr:row>
      <xdr:rowOff>11870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topLeftCell="A14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9" t="s">
        <v>159</v>
      </c>
      <c r="D1" s="149"/>
      <c r="E1" s="149"/>
      <c r="F1" s="148" t="s">
        <v>158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137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161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911</v>
      </c>
      <c r="F30" s="115" t="s">
        <v>27</v>
      </c>
      <c r="G30" s="106">
        <v>21250</v>
      </c>
      <c r="H30" s="106">
        <v>19610</v>
      </c>
      <c r="I30" s="108">
        <v>0.2</v>
      </c>
      <c r="J30" s="13">
        <f t="shared" ref="J30:J31" si="0">H30*I30</f>
        <v>3922</v>
      </c>
      <c r="K30" s="12">
        <v>0</v>
      </c>
      <c r="L30" s="12">
        <v>0</v>
      </c>
      <c r="M30" s="13">
        <f t="shared" ref="M30:M31" si="1">J30</f>
        <v>3922</v>
      </c>
      <c r="O30" s="100"/>
      <c r="Q30" s="100"/>
    </row>
    <row r="31" spans="1:17" ht="13.8" x14ac:dyDescent="0.25">
      <c r="A31" s="126">
        <v>2</v>
      </c>
      <c r="B31" s="101" t="s">
        <v>135</v>
      </c>
      <c r="C31" s="107" t="s">
        <v>136</v>
      </c>
      <c r="D31" s="109" t="s">
        <v>163</v>
      </c>
      <c r="E31" s="101" t="s">
        <v>164</v>
      </c>
      <c r="F31" s="115" t="s">
        <v>27</v>
      </c>
      <c r="G31" s="106">
        <v>1950</v>
      </c>
      <c r="H31" s="106">
        <v>1950</v>
      </c>
      <c r="I31" s="108">
        <v>0.2</v>
      </c>
      <c r="J31" s="13">
        <f t="shared" si="0"/>
        <v>390</v>
      </c>
      <c r="K31" s="12">
        <v>0</v>
      </c>
      <c r="L31" s="12">
        <v>0</v>
      </c>
      <c r="M31" s="13">
        <f t="shared" si="1"/>
        <v>390</v>
      </c>
      <c r="O31" s="100"/>
      <c r="Q31" s="100"/>
    </row>
    <row r="32" spans="1:17" ht="13.8" x14ac:dyDescent="0.25">
      <c r="A32" s="146" t="s">
        <v>0</v>
      </c>
      <c r="B32" s="147"/>
      <c r="C32" s="14"/>
      <c r="D32" s="15"/>
      <c r="E32" s="64">
        <f>SUM(E30:E31)</f>
        <v>911</v>
      </c>
      <c r="F32" s="15"/>
      <c r="G32" s="64">
        <f>SUM(G30:G31)</f>
        <v>23200</v>
      </c>
      <c r="H32" s="64">
        <f>SUM(H30:H31)</f>
        <v>21560</v>
      </c>
      <c r="I32" s="102"/>
      <c r="J32" s="17">
        <f>SUM(J30:J31)</f>
        <v>4312</v>
      </c>
      <c r="K32" s="16"/>
      <c r="L32" s="16"/>
      <c r="M32" s="17">
        <f>SUM(M30:M31)</f>
        <v>4312</v>
      </c>
      <c r="P32" s="66"/>
    </row>
    <row r="33" spans="1:14" ht="13.8" x14ac:dyDescent="0.3">
      <c r="A33" s="2" t="s">
        <v>17</v>
      </c>
      <c r="B33" s="3"/>
      <c r="C33" s="11"/>
      <c r="D33" s="11"/>
      <c r="E33" s="144" t="str">
        <f>Лист1!B3</f>
        <v>Четыре тысячи триста двенадцать долларов США, 00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ht="25.5" customHeight="1" x14ac:dyDescent="0.25">
      <c r="A35" s="139" t="s">
        <v>110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7" spans="1:14" ht="13.8" x14ac:dyDescent="0.25">
      <c r="A37" s="7" t="s">
        <v>28</v>
      </c>
      <c r="B37" s="7"/>
      <c r="D37" s="25" t="s">
        <v>156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25" sqref="B25:D2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BEZ-N-31 от  12.08.2025г.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911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21250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1950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12.08.2025г.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80262CBA/803413AA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="70" zoomScaleNormal="70" workbookViewId="0">
      <selection activeCell="D47" sqref="D47:E4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80262CBA/803413AA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BEZ-N-31 от  12.08.2025г.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911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21250</v>
      </c>
    </row>
    <row r="20" spans="2:10" ht="13.5" customHeight="1" x14ac:dyDescent="0.3">
      <c r="B20" s="83"/>
      <c r="E20" s="122"/>
      <c r="F20" s="117" t="str">
        <f>+Инвойс!E31</f>
        <v>-</v>
      </c>
      <c r="G20" s="159" t="str">
        <f>+CMR!F31</f>
        <v>Дыни свежие</v>
      </c>
      <c r="H20" s="159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Навалом</v>
      </c>
      <c r="G21" s="157" t="str">
        <f>+Инвойс!C31</f>
        <v>0807190001</v>
      </c>
      <c r="H21" s="158"/>
      <c r="I21" s="121" t="s">
        <v>103</v>
      </c>
      <c r="J21" s="119">
        <f>+Инвойс!G31</f>
        <v>1950</v>
      </c>
    </row>
    <row r="22" spans="2:10" ht="12.75" customHeight="1" x14ac:dyDescent="0.3">
      <c r="B22" s="83"/>
      <c r="E22" s="122"/>
      <c r="F22" s="117"/>
      <c r="G22" s="159"/>
      <c r="H22" s="159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59"/>
      <c r="H24" s="159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59"/>
      <c r="H26" s="159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59"/>
      <c r="H28" s="159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59"/>
      <c r="H30" s="159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59"/>
      <c r="H32" s="159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59"/>
      <c r="H34" s="159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59"/>
      <c r="H36" s="159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59"/>
      <c r="H38" s="159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59"/>
      <c r="H42" s="159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1"/>
      <c r="H44" s="161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v>911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8" t="s">
        <v>160</v>
      </c>
      <c r="C1" s="168"/>
      <c r="D1" s="168"/>
      <c r="E1" s="168"/>
      <c r="F1" s="148" t="str">
        <f>+Инвойс!F1</f>
        <v xml:space="preserve"> 12.08.2025г.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3.8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80262CBA/803413AA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4.6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911</v>
      </c>
      <c r="F30" s="115" t="str">
        <f>+Инвойс!F30</f>
        <v>кг</v>
      </c>
      <c r="G30" s="106">
        <f>+Инвойс!G30</f>
        <v>21250</v>
      </c>
      <c r="H30" s="106">
        <f>+Инвойс!H30</f>
        <v>19610</v>
      </c>
      <c r="I30" s="108">
        <f>+Инвойс!I30</f>
        <v>0.2</v>
      </c>
      <c r="J30" s="13">
        <f>+Инвойс!J30</f>
        <v>3922</v>
      </c>
      <c r="K30" s="12">
        <v>0</v>
      </c>
      <c r="L30" s="12">
        <v>0</v>
      </c>
      <c r="M30" s="13">
        <f>+Инвойс!M30</f>
        <v>3922</v>
      </c>
      <c r="O30" s="100"/>
      <c r="Q30" s="100"/>
    </row>
    <row r="31" spans="1:17" ht="13.8" x14ac:dyDescent="0.25">
      <c r="A31" s="126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1950</v>
      </c>
      <c r="H31" s="106">
        <f>+Инвойс!H31</f>
        <v>1950</v>
      </c>
      <c r="I31" s="108">
        <f>+Инвойс!I31</f>
        <v>0.2</v>
      </c>
      <c r="J31" s="13">
        <f>+Инвойс!J31</f>
        <v>390</v>
      </c>
      <c r="K31" s="12">
        <v>0</v>
      </c>
      <c r="L31" s="12">
        <v>0</v>
      </c>
      <c r="M31" s="13">
        <f>+Инвойс!M31</f>
        <v>390</v>
      </c>
      <c r="O31" s="100"/>
      <c r="Q31" s="100"/>
    </row>
    <row r="32" spans="1:17" ht="13.8" x14ac:dyDescent="0.25">
      <c r="A32" s="146" t="s">
        <v>0</v>
      </c>
      <c r="B32" s="147"/>
      <c r="C32" s="14"/>
      <c r="D32" s="15"/>
      <c r="E32" s="64">
        <f>SUM(E30:E31)</f>
        <v>911</v>
      </c>
      <c r="F32" s="15"/>
      <c r="G32" s="64">
        <f>SUM(G30:G31)</f>
        <v>23200</v>
      </c>
      <c r="H32" s="64">
        <f>SUM(H30:H31)</f>
        <v>21560</v>
      </c>
      <c r="I32" s="102"/>
      <c r="J32" s="17">
        <f>SUM(J30:J31)</f>
        <v>4312</v>
      </c>
      <c r="K32" s="16"/>
      <c r="L32" s="16"/>
      <c r="M32" s="17">
        <f>SUM(M30:M31)</f>
        <v>4312</v>
      </c>
      <c r="P32" s="66"/>
    </row>
    <row r="33" spans="1:14" ht="13.8" x14ac:dyDescent="0.3">
      <c r="A33" s="2" t="s">
        <v>17</v>
      </c>
      <c r="B33" s="3"/>
      <c r="C33" s="11"/>
      <c r="D33" s="11"/>
      <c r="E33" s="144" t="str">
        <f>Лист1!B3</f>
        <v>Четыре тысячи триста двенадцать долларов США, 00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ht="25.5" customHeight="1" x14ac:dyDescent="0.25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7" spans="1:14" ht="15.6" x14ac:dyDescent="0.3">
      <c r="A37" s="7" t="s">
        <v>157</v>
      </c>
      <c r="B37" s="7"/>
      <c r="D37" s="25" t="s">
        <v>156</v>
      </c>
      <c r="E37" s="24"/>
      <c r="G37" s="128" t="s">
        <v>145</v>
      </c>
      <c r="H37" t="str">
        <f>Инвойс!G5</f>
        <v>ООО ТД «РЕСУРС»</v>
      </c>
      <c r="K37" s="129" t="s">
        <v>146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Инвойс!M32</f>
        <v>4312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триста двенадцать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45881</v>
      </c>
      <c r="O3" s="175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триста двенадцать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12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триста двенадцать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триста двенадцать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двенадцать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4312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431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4312</v>
      </c>
      <c r="B29" s="47">
        <f>TRUNC(RIGHT(A29))</f>
        <v>2</v>
      </c>
      <c r="C29" s="51">
        <f>IF(B28=1,B29+10,IF(B29=0,0,B29))</f>
        <v>12</v>
      </c>
      <c r="D29" s="43" t="str">
        <f>IF(AND(C29&gt;9,C29&lt;16),IF(C29=10,D34,IF(C29=11,D35,IF(C29=12,D36,IF(C29=13,D37,IF(C29=14,D38,IF(C29=15,D39,)))))),"")</f>
        <v xml:space="preserve">двенадцать </v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312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2025-08-12T09:53:00Z</cp:lastPrinted>
  <dcterms:created xsi:type="dcterms:W3CDTF">1996-10-14T23:33:28Z</dcterms:created>
  <dcterms:modified xsi:type="dcterms:W3CDTF">2025-08-12T09:53:03Z</dcterms:modified>
</cp:coreProperties>
</file>