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<sst xmlns="http://schemas.openxmlformats.org/spreadsheetml/2006/main" count="209" uniqueCount="163">
  <si>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</si>
  <si>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</si>
  <si>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</si>
  <si>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</si>
  <si>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</si>
  <si>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</si>
  <si>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</si>
  <si>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</si>
  <si>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</si>
  <si>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</si>
  <si>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</si>
  <si>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</si>
  <si>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</si>
  <si>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</si>
  <si>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</si>
  <si>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</si>
  <si>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</si>
  <si>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</si>
  <si>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</si>
  <si>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</si>
  <si>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</si>
  <si>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</si>
  <si>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</si>
  <si>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</si>
  <si>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</si>
  <si>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</si>
  <si>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</si>
  <si>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</si>
  <si>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</si>
  <si>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</si>
  <si>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</si>
  <si>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</si>
  <si>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</si>
  <si>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</si>
  <si>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</si>
  <si>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</si>
  <si>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</si>
  <si>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</si>
  <si>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</si>
  <si>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</si>
  <si>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</si>
  <si>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</si>
  <si>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</si>
  <si>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</si>
  <si>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</si>
  <si>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</si>
  <si>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</si>
  <si>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</si>
  <si>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</si>
  <si>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</si>
  <si>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</si>
  <si>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</si>
  <si>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</si>
  <si>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</si>
  <si>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</si>
  <si>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</si>
  <si>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</si>
  <si>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</si>
  <si>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</si>
  <si>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</si>
  <si>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</si>
  <si>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</si>
  <si>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</si>
  <si>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</si>
  <si>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</si>
  <si>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</si>
  <si>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</si>
  <si>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</si>
  <si>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</si>
  <si>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</si>
  <si>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</si>
  <si>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</si>
  <si>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</si>
  <si>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</si>
  <si>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</si>
  <si>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</si>
  <si>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</si>
  <si>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</si>
  <si>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</si>
  <si>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</si>
  <si>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</si>
  <si>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</si>
  <si>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</si>
  <si>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</si>
  <si>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</si>
  <si>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</si>
  <si>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</si>
  <si>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</si>
  <si>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</si>
  <si>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</si>
  <si>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</si>
  <si>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</si>
  <si>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</si>
  <si>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</si>
  <si>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</si>
  <si>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</si>
  <si>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</si>
  <si>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</si>
  <si>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</si>
  <si>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</si>
  <si>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</si>
  <si>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</si>
  <si>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</si>
  <si>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</si>
  <si>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</si>
  <si>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</si>
  <si>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</si>
  <si>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</si>
  <si>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</si>
  <si>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</si>
  <si>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</si>
  <si>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</si>
  <si>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</si>
  <si>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</si>
  <si>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</si>
  <si>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</si>
  <si>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</si>
  <si>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</si>
  <si>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</si>
  <si>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</si>
  <si>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</si>
  <si>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</si>
  <si>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</si>
  <si>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</si>
  <si>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</si>
  <si>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</si>
  <si>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</si>
  <si>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</si>
  <si>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</si>
  <si>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</si>
  <si>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</si>
  <si>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</si>
  <si>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</si>
  <si>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</si>
  <si>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</si>
  <si>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</si>
  <si>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</si>
  <si>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</si>
  <si>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</si>
  <si>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</si>
  <si>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</si>
  <si>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</si>
  <si>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</si>
  <si>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</si>
  <si>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</si>
  <si>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</si>
  <si>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</si>
  <si>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</si>
  <si>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</si>
  <si>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</si>
  <si>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</si>
  <si>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</si>
  <si>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</si>
  <si>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</si>
  <si>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</si>
  <si>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</si>
  <si>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</si>
  <si>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</si>
  <si>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</si>
  <si>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VG-N-21 от </t>
  </si>
  <si>
    <t xml:space="preserve"> 27.08.2025г.</t>
  </si>
  <si>
    <t>75Q673UA/757739AA</t>
  </si>
  <si>
    <t xml:space="preserve">СПЕЦИФИКАЦИЯ № VG-N-21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</si>
</sst>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7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140</v>
      </c>
      <c r="B5" s="155"/>
      <c r="C5" s="155"/>
      <c r="D5" s="155"/>
      <c r="E5" s="155"/>
      <c r="F5" s="6"/>
      <c r="G5" s="148" t="s">
        <v>150</v>
      </c>
      <c r="H5" s="148"/>
      <c r="I5" s="148"/>
      <c r="J5" s="148"/>
      <c r="K5" s="148"/>
      <c r="L5" s="148"/>
      <c r="M5" s="148"/>
    </row>
    <row r="6" spans="1:15" ht="15" x14ac:dyDescent="0.25">
      <c r="A6" s="143" t="s">
        <v>141</v>
      </c>
      <c r="B6" s="142"/>
      <c r="C6" s="142"/>
      <c r="D6" s="142"/>
      <c r="E6" s="142"/>
      <c r="F6" s="7"/>
      <c r="G6" s="141" t="s">
        <v>151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148</v>
      </c>
      <c r="B7" s="142"/>
      <c r="C7" s="142"/>
      <c r="D7" s="142"/>
      <c r="E7" s="142"/>
      <c r="F7" s="63"/>
      <c r="G7" s="141" t="s">
        <v>152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156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140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151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148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4" t="s">
        <v>156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118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124</v>
      </c>
      <c r="C30" s="107" t="s">
        <v>123</v>
      </c>
      <c r="D30" s="109" t="s">
        <v>111</v>
      </c>
      <c r="E30" s="101">
        <v>2370</v>
      </c>
      <c r="F30" s="110" t="s">
        <v>27</v>
      </c>
      <c r="G30" s="106">
        <v>22700</v>
      </c>
      <c r="H30" s="106">
        <v>21041</v>
      </c>
      <c r="I30" s="108">
        <v>1.25</v>
      </c>
      <c r="J30" s="13">
        <f t="shared" ref="J30" si="0">H30*I30</f>
        <v>26301.25</v>
      </c>
      <c r="K30" s="12">
        <v>0</v>
      </c>
      <c r="L30" s="12">
        <v>0</v>
      </c>
      <c r="M30" s="13">
        <f t="shared" ref="M30" si="1">J30</f>
        <v>26301.25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2370</v>
      </c>
      <c r="F31" s="15"/>
      <c r="G31" s="64">
        <f>SUM(G30:G30)</f>
        <v>22700</v>
      </c>
      <c r="H31" s="64">
        <f>SUM(H30:H30)</f>
        <v>21041</v>
      </c>
      <c r="I31" s="102"/>
      <c r="J31" s="17">
        <f>SUM(J30:J30)</f>
        <v>26301.25</v>
      </c>
      <c r="K31" s="16"/>
      <c r="L31" s="16"/>
      <c r="M31" s="17">
        <f>SUM(M30:M30)</f>
        <v>26301.25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Двадцать шесть тысяч триста один доллар США,25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VG-N-21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2370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75Q673UA/757739AA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75Q673UA/757739AA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VG-N-21 от  27.08.2025г.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2370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22700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2370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162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GR-VT-01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ООО «VISTOTRADE»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 xml:space="preserve">Республика Узбекистан. Кашкадарьинская область, 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Г. Гулам, МФУ, улица Гузара, дом 14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«KAPITAL BANK» МФО: 01158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р/с: 20208840407263267001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ИНН: 312236782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ООО «VISTOTRADE»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 xml:space="preserve">Республика Узбекистан. Кашкадарьинская область, 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Г. Гулам, МФУ, улица Гузара, дом 14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«KAPITAL BANK» МФО: 01158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р/с: 20208840407263267001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ИНН: 312236782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126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75Q673UA/757739AA</v>
      </c>
      <c r="F26" s="140"/>
      <c r="G26" s="140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2370</v>
      </c>
      <c r="F30" s="116" t="str">
        <f>+Инвойс!F30</f>
        <v>кг</v>
      </c>
      <c r="G30" s="106">
        <f>+Инвойс!G30</f>
        <v>22700</v>
      </c>
      <c r="H30" s="106">
        <f>+Инвойс!H30</f>
        <v>21041</v>
      </c>
      <c r="I30" s="108">
        <f>+Инвойс!I30</f>
        <v>1.25</v>
      </c>
      <c r="J30" s="13">
        <f>+Инвойс!J30</f>
        <v>26301.25</v>
      </c>
      <c r="K30" s="12">
        <v>0</v>
      </c>
      <c r="L30" s="12">
        <v>0</v>
      </c>
      <c r="M30" s="13">
        <f>+Инвойс!M30</f>
        <v>26301.25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2370</v>
      </c>
      <c r="F31" s="15"/>
      <c r="G31" s="64">
        <f>SUM(G30:G30)</f>
        <v>22700</v>
      </c>
      <c r="H31" s="64">
        <f>SUM(H30:H30)</f>
        <v>21041</v>
      </c>
      <c r="I31" s="102"/>
      <c r="J31" s="17">
        <f>SUM(J30:J30)</f>
        <v>26301.25</v>
      </c>
      <c r="K31" s="16"/>
      <c r="L31" s="16"/>
      <c r="M31" s="17">
        <f>SUM(M30:M30)</f>
        <v>26301.25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Двадцать шесть тысяч триста один доллар США,25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125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26301.25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шесть тысяч триста один доллар США,25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шесть тысяч триста один доллар США,25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шесть тысяч триста один доллар США,25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шесть тысяч триста один доллар США,25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шесть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один доллар США,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26301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26</v>
      </c>
      <c r="B25" s="47">
        <f>TRUNC(RIGHT(A25))</f>
        <v>6</v>
      </c>
      <c r="C25" s="51">
        <f>IF(B24=1,B25+10,IF(B25=0,0,B25))</f>
        <v>6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шесть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26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263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2630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26301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301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2025-08-27T07:40:05Z</cp:lastPrinted>
  <dcterms:created xsi:type="dcterms:W3CDTF">1996-10-14T23:33:28Z</dcterms:created>
  <dcterms:modified xsi:type="dcterms:W3CDTF">2025-08-27T07:40:06Z</dcterms:modified>
</cp:coreProperties>
</file>