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003779A-333D-485B-A205-CABDA9ACF8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4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4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<sst xmlns="http://schemas.openxmlformats.org/spreadsheetml/2006/main" count="201" uniqueCount="163">
  <si>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</si>
  <si>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</si>
  <si>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</si>
  <si>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</si>
  <si>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</si>
  <si>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</si>
  <si>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</si>
  <si>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</si>
  <si>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</si>
  <si>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</si>
  <si>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</si>
  <si>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</si>
  <si>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</si>
  <si>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</si>
  <si>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</si>
  <si>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</si>
  <si>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</si>
  <si>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</si>
  <si>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</si>
  <si>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</si>
  <si>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</si>
  <si>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</si>
  <si>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</si>
  <si>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</si>
  <si>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</si>
  <si>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</si>
  <si>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</si>
  <si>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</si>
  <si>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</si>
  <si>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</si>
  <si>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</si>
  <si>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</si>
  <si>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</si>
  <si>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</si>
  <si>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</si>
  <si>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</si>
  <si>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</si>
  <si>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</si>
  <si>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</si>
  <si>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</si>
  <si>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</si>
  <si>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</si>
  <si>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</si>
  <si>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</si>
  <si>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</si>
  <si>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</si>
  <si>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</si>
  <si>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</si>
  <si>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</si>
  <si>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</si>
  <si>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</si>
  <si>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</si>
  <si>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</si>
  <si>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</si>
  <si>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</si>
  <si>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</si>
  <si>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</si>
  <si>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</si>
  <si>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</si>
  <si>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</si>
  <si>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</si>
  <si>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</si>
  <si>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</si>
  <si>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</si>
  <si>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</si>
  <si>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</si>
  <si>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</si>
  <si>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</si>
  <si>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</si>
  <si>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</si>
  <si>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</si>
  <si>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</si>
  <si>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</si>
  <si>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</si>
  <si>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</si>
  <si>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</si>
  <si>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</si>
  <si>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</si>
  <si>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</si>
  <si>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</si>
  <si>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</si>
  <si>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</si>
  <si>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</si>
  <si>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</si>
  <si>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</si>
  <si>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</si>
  <si>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</si>
  <si>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</si>
  <si>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</si>
  <si>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</si>
  <si>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</si>
  <si>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</si>
  <si>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</si>
  <si>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</si>
  <si>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</si>
  <si>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</si>
  <si>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</si>
  <si>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</si>
  <si>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</si>
  <si>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</si>
  <si>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</si>
  <si>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</si>
  <si>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</si>
  <si>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</si>
  <si>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</si>
  <si>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</si>
  <si>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</si>
  <si>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</si>
  <si>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</si>
  <si>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</si>
  <si>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</si>
  <si>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</si>
  <si>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</si>
  <si>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</si>
  <si>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</si>
  <si>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</si>
  <si>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</si>
  <si>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</si>
  <si>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</si>
  <si>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</si>
  <si>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</si>
  <si>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</si>
  <si>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</si>
  <si>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</si>
  <si>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</si>
  <si>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</si>
  <si>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</si>
  <si>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</si>
  <si>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</si>
  <si>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</si>
  <si>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</si>
  <si>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</si>
  <si>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</si>
  <si>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</si>
  <si>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</si>
  <si>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</si>
  <si>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</si>
  <si>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</si>
  <si>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</si>
  <si>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</si>
  <si>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</si>
  <si>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</si>
  <si>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</si>
  <si>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</si>
  <si>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</si>
  <si>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</si>
  <si>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</si>
  <si>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</si>
  <si>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</si>
  <si>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</si>
  <si>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</si>
  <si>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</si>
  <si>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</si>
  <si>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</si>
  <si>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</si>
  <si>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</si>
  <si>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</si>
  <si>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</si>
  <si>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BEZ-A-89 от </t>
  </si>
  <si>
    <t xml:space="preserve"> 13.08.2025г.</t>
  </si>
  <si>
    <t>DAP - с Амандык , Республика Казахстан</t>
  </si>
  <si>
    <t>50S016AA/500418AA</t>
  </si>
  <si>
    <t xml:space="preserve">СПЕЦИФИКАЦИЯ № BEZ-A-89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</si>
</sst>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158</v>
      </c>
      <c r="D1" s="133"/>
      <c r="E1" s="133"/>
      <c r="F1" s="132" t="s">
        <v>159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148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149</v>
      </c>
      <c r="B5" s="134"/>
      <c r="C5" s="134"/>
      <c r="D5" s="134"/>
      <c r="E5" s="134"/>
      <c r="F5" s="6"/>
      <c r="G5" s="136" t="s">
        <v>138</v>
      </c>
      <c r="H5" s="136"/>
      <c r="I5" s="136"/>
      <c r="J5" s="136"/>
      <c r="K5" s="136"/>
      <c r="L5" s="136"/>
      <c r="M5" s="136"/>
    </row>
    <row r="6" spans="1:15" ht="13.8" x14ac:dyDescent="0.25">
      <c r="A6" s="125" t="s">
        <v>150</v>
      </c>
      <c r="B6" s="125"/>
      <c r="C6" s="125"/>
      <c r="D6" s="125"/>
      <c r="E6" s="125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5" t="s">
        <v>151</v>
      </c>
      <c r="B7" s="125"/>
      <c r="C7" s="125"/>
      <c r="D7" s="125"/>
      <c r="E7" s="125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">
        <v>149</v>
      </c>
      <c r="B14" s="134"/>
      <c r="C14" s="134"/>
      <c r="D14" s="134"/>
      <c r="E14" s="134"/>
      <c r="F14" s="6"/>
      <c r="G14" s="136" t="s">
        <v>125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5" t="s">
        <v>150</v>
      </c>
      <c r="B15" s="125"/>
      <c r="C15" s="125"/>
      <c r="D15" s="125"/>
      <c r="E15" s="125"/>
      <c r="F15" s="7"/>
      <c r="G15" s="138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151</v>
      </c>
      <c r="B16" s="125"/>
      <c r="C16" s="125"/>
      <c r="D16" s="125"/>
      <c r="E16" s="125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1" t="s">
        <v>118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6" x14ac:dyDescent="0.3">
      <c r="A24" s="20" t="s">
        <v>22</v>
      </c>
      <c r="C24" s="18" t="s">
        <v>160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">
        <v>161</v>
      </c>
      <c r="F26" s="153"/>
      <c r="G26" s="153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980</v>
      </c>
      <c r="F30" s="110" t="s">
        <v>27</v>
      </c>
      <c r="G30" s="106">
        <v>23000</v>
      </c>
      <c r="H30" s="106">
        <v>21236</v>
      </c>
      <c r="I30" s="108">
        <v>0.2</v>
      </c>
      <c r="J30" s="13">
        <f t="shared" ref="J30" si="0">H30*I30</f>
        <v>4247.2</v>
      </c>
      <c r="K30" s="12">
        <v>0</v>
      </c>
      <c r="L30" s="12">
        <v>0</v>
      </c>
      <c r="M30" s="13">
        <f t="shared" ref="M30" si="1">J30</f>
        <v>4247.2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980</v>
      </c>
      <c r="F31" s="15"/>
      <c r="G31" s="64">
        <f>SUM(G30:G30)</f>
        <v>23000</v>
      </c>
      <c r="H31" s="64">
        <f>SUM(H30:H30)</f>
        <v>21236</v>
      </c>
      <c r="I31" s="102"/>
      <c r="J31" s="17">
        <f>SUM(J30:J30)</f>
        <v>4247.2</v>
      </c>
      <c r="K31" s="16"/>
      <c r="L31" s="16"/>
      <c r="M31" s="17">
        <f>SUM(M30:M30)</f>
        <v>4247.2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двести сорок семь долларов США, 20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K31" sqref="K31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13.08.2025г.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BEZ-A-89 от  13.08.2025г.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980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13.08.2025г.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50S016AA/500418AA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L32" sqref="L31:L32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50S016AA/500418AA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13.08.2025г.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BEZ-A-89 от  13.08.2025г.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980</v>
      </c>
      <c r="G18" s="164" t="str">
        <f>+CMR!F30</f>
        <v>Дыни свежие</v>
      </c>
      <c r="H18" s="164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4"/>
      <c r="H20" s="164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4"/>
      <c r="H22" s="164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4"/>
      <c r="H24" s="164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4"/>
      <c r="H26" s="164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4"/>
      <c r="H28" s="164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4"/>
      <c r="H30" s="164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4"/>
      <c r="H32" s="164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4"/>
      <c r="H34" s="164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4"/>
      <c r="H36" s="164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4"/>
      <c r="H38" s="164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4"/>
      <c r="H42" s="164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6"/>
      <c r="H44" s="166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980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EACC-D609-4F9A-87C5-D88DE665CFD1}">
  <sheetPr>
    <pageSetUpPr fitToPage="1"/>
  </sheetPr>
  <dimension ref="A1:Q42"/>
  <sheetViews>
    <sheetView topLeftCell="A10" zoomScale="85" zoomScaleNormal="85" workbookViewId="0">
      <selection activeCell="M28" sqref="M28:M29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32" t="str">
        <f>+Инвойс!F1</f>
        <v xml:space="preserve"> 13.08.2025г.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tr">
        <f>+Инвойс!E26</f>
        <v>50S016AA/500418AA</v>
      </c>
      <c r="F26" s="153"/>
      <c r="G26" s="153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3.4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980</v>
      </c>
      <c r="F30" s="116" t="str">
        <f>+Инвойс!F30</f>
        <v>кг</v>
      </c>
      <c r="G30" s="106">
        <f>+Инвойс!G30</f>
        <v>23000</v>
      </c>
      <c r="H30" s="106">
        <f>+Инвойс!H30</f>
        <v>21236</v>
      </c>
      <c r="I30" s="108">
        <f>+Инвойс!I30</f>
        <v>0.2</v>
      </c>
      <c r="J30" s="13">
        <f>+Инвойс!J30</f>
        <v>4247.2</v>
      </c>
      <c r="K30" s="12">
        <v>0</v>
      </c>
      <c r="L30" s="12">
        <v>0</v>
      </c>
      <c r="M30" s="13">
        <f>+Инвойс!M30</f>
        <v>4247.2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980</v>
      </c>
      <c r="F31" s="15"/>
      <c r="G31" s="64">
        <f>SUM(G30:G30)</f>
        <v>23000</v>
      </c>
      <c r="H31" s="64">
        <f>SUM(H30:H30)</f>
        <v>21236</v>
      </c>
      <c r="I31" s="102"/>
      <c r="J31" s="17">
        <f>SUM(J30:J30)</f>
        <v>4247.2</v>
      </c>
      <c r="K31" s="16"/>
      <c r="L31" s="16"/>
      <c r="M31" s="17">
        <f>SUM(M30:M30)</f>
        <v>4247.2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двести сорок семь долларов США, 20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zoomScale="85" zoomScaleNormal="85" workbookViewId="0">
      <selection activeCell="A5" sqref="A5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117</v>
      </c>
    </row>
    <row r="3" spans="1:1" ht="52.8" x14ac:dyDescent="0.25">
      <c r="A3" s="131" t="s">
        <v>137</v>
      </c>
    </row>
    <row r="5" spans="1:1" ht="39.6" x14ac:dyDescent="0.25">
      <c r="A5" s="126" t="s">
        <v>118</v>
      </c>
    </row>
    <row r="7" spans="1:1" ht="52.8" x14ac:dyDescent="0.25">
      <c r="A7" s="126" t="s">
        <v>119</v>
      </c>
    </row>
    <row r="9" spans="1:1" ht="52.8" x14ac:dyDescent="0.25">
      <c r="A9" s="126" t="s">
        <v>120</v>
      </c>
    </row>
    <row r="10" spans="1:1" x14ac:dyDescent="0.25">
      <c r="A10" s="126"/>
    </row>
    <row r="11" spans="1:1" ht="52.8" x14ac:dyDescent="0.25">
      <c r="A11" s="126" t="s">
        <v>121</v>
      </c>
    </row>
    <row r="13" spans="1:1" ht="52.8" x14ac:dyDescent="0.25">
      <c r="A13" s="126" t="s">
        <v>122</v>
      </c>
    </row>
    <row r="15" spans="1:1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4247.2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сорок семь долларов США, 20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45882</v>
      </c>
      <c r="O3" s="176"/>
      <c r="P3">
        <f ca="1">DAY(N3)</f>
        <v>13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двести сорок семь долларов США, 20 центов. (в т.ч. НДС - 357,79)</v>
      </c>
      <c r="H4" s="32"/>
      <c r="I4" s="32"/>
      <c r="J4" s="32"/>
      <c r="K4" s="177" t="str">
        <f ca="1">CONCATENATE(" «  ",P3,"  »  ",Q3,"  ",R3," г.")</f>
        <v xml:space="preserve"> «  13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сорок семь долларов США, 20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сорок семь долларов США, 20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сорок семь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20 центов.</v>
      </c>
      <c r="D12" s="47"/>
      <c r="E12" s="48"/>
      <c r="M12" s="50">
        <f ca="1">TODAY()</f>
        <v>45882</v>
      </c>
    </row>
    <row r="13" spans="1:19" s="43" customFormat="1" x14ac:dyDescent="0.25">
      <c r="A13" s="49"/>
      <c r="D13" s="51"/>
      <c r="E13" s="52">
        <f>TRUNC(E2)</f>
        <v>4247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4247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247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20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400-000000000000}"/>
    <hyperlink ref="J44" r:id="rId2" xr:uid="{00000000-0004-0000-0400-000001000000}"/>
    <hyperlink ref="J46" r:id="rId3" tooltip="Замечания о программе" xr:uid="{00000000-0004-0000-04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2025-08-13T15:22:53Z</cp:lastPrinted>
  <dcterms:created xsi:type="dcterms:W3CDTF">1996-10-14T23:33:28Z</dcterms:created>
  <dcterms:modified xsi:type="dcterms:W3CDTF">2025-08-13T15:23:11Z</dcterms:modified>
</cp:coreProperties>
</file>