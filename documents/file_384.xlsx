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<sst xmlns="http://schemas.openxmlformats.org/spreadsheetml/2006/main" count="209" uniqueCount="163">
  <si>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</si>
  <si>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</si>
  <si>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</si>
  <si>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</si>
  <si>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</si>
  <si>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</si>
  <si>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</si>
  <si>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</si>
  <si>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</si>
  <si>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</si>
  <si>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</si>
  <si>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</si>
  <si>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</si>
  <si>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</si>
  <si>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</si>
  <si>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</si>
  <si>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</si>
  <si>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</si>
  <si>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</si>
  <si>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</si>
  <si>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</si>
  <si>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</si>
  <si>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</si>
  <si>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</si>
  <si>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</si>
  <si>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</si>
  <si>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</si>
  <si>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</si>
  <si>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</si>
  <si>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</si>
  <si>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</si>
  <si>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</si>
  <si>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</si>
  <si>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</si>
  <si>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</si>
  <si>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</si>
  <si>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</si>
  <si>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</si>
  <si>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</si>
  <si>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</si>
  <si>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</si>
  <si>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</si>
  <si>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</si>
  <si>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</si>
  <si>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</si>
  <si>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</si>
  <si>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</si>
  <si>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</si>
  <si>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</si>
  <si>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</si>
  <si>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</si>
  <si>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</si>
  <si>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</si>
  <si>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</si>
  <si>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</si>
  <si>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</si>
  <si>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</si>
  <si>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</si>
  <si>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</si>
  <si>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</si>
  <si>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</si>
  <si>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</si>
  <si>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</si>
  <si>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</si>
  <si>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</si>
  <si>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</si>
  <si>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</si>
  <si>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</si>
  <si>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</si>
  <si>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</si>
  <si>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</si>
  <si>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</si>
  <si>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</si>
  <si>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</si>
  <si>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</si>
  <si>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</si>
  <si>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</si>
  <si>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</si>
  <si>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</si>
  <si>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</si>
  <si>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</si>
  <si>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</si>
  <si>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</si>
  <si>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</si>
  <si>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</si>
  <si>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</si>
  <si>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</si>
  <si>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</si>
  <si>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</si>
  <si>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</si>
  <si>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</si>
  <si>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</si>
  <si>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</si>
  <si>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</si>
  <si>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</si>
  <si>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</si>
  <si>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</si>
  <si>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</si>
  <si>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</si>
  <si>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</si>
  <si>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</si>
  <si>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</si>
  <si>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</si>
  <si>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</si>
  <si>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</si>
  <si>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</si>
  <si>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</si>
  <si>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</si>
  <si>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</si>
  <si>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</si>
  <si>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</si>
  <si>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</si>
  <si>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</si>
  <si>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</si>
  <si>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</si>
  <si>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</si>
  <si>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</si>
  <si>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</si>
  <si>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</si>
  <si>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</si>
  <si>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</si>
  <si>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</si>
  <si>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</si>
  <si>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</si>
  <si>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</si>
  <si>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</si>
  <si>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</si>
  <si>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</si>
  <si>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</si>
  <si>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</si>
  <si>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</si>
  <si>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</si>
  <si>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</si>
  <si>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</si>
  <si>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</si>
  <si>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</si>
  <si>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</si>
  <si>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</si>
  <si>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</si>
  <si>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</si>
  <si>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</si>
  <si>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</si>
  <si>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</si>
  <si>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</si>
  <si>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</si>
  <si>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</si>
  <si>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</si>
  <si>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</si>
  <si>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</si>
  <si>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</si>
  <si>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</si>
  <si>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</si>
  <si>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</si>
  <si>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</si>
  <si>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</si>
  <si>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</si>
  <si>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</si>
  <si>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</si>
  <si>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</si>
  <si>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03.09.2025г.</t>
  </si>
  <si>
    <t xml:space="preserve">ИНВОЙС № GWG-N-8 от </t>
  </si>
  <si>
    <t>30647YBA/010740CA</t>
  </si>
  <si>
    <t xml:space="preserve">СПЕЦИФИКАЦИЯ № GWG-N-8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</si>
</sst>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2" t="s">
        <v>160</v>
      </c>
      <c r="D1" s="152"/>
      <c r="E1" s="152"/>
      <c r="F1" s="151" t="s">
        <v>159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">
        <v>148</v>
      </c>
      <c r="B5" s="153"/>
      <c r="C5" s="153"/>
      <c r="D5" s="153"/>
      <c r="E5" s="153"/>
      <c r="F5" s="6"/>
      <c r="G5" s="146" t="s">
        <v>130</v>
      </c>
      <c r="H5" s="146"/>
      <c r="I5" s="146"/>
      <c r="J5" s="146"/>
      <c r="K5" s="146"/>
      <c r="L5" s="146"/>
      <c r="M5" s="146"/>
    </row>
    <row r="6" spans="1:15" ht="15" x14ac:dyDescent="0.25">
      <c r="A6" s="125" t="s">
        <v>150</v>
      </c>
      <c r="B6" s="124"/>
      <c r="C6" s="124"/>
      <c r="D6" s="124"/>
      <c r="E6" s="124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5" t="s">
        <v>151</v>
      </c>
      <c r="B7" s="124"/>
      <c r="C7" s="124"/>
      <c r="D7" s="124"/>
      <c r="E7" s="124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137</v>
      </c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">
        <v>148</v>
      </c>
      <c r="B14" s="153"/>
      <c r="C14" s="153"/>
      <c r="D14" s="153"/>
      <c r="E14" s="153"/>
      <c r="F14" s="6"/>
      <c r="G14" s="146" t="s">
        <v>130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25" t="s">
        <v>150</v>
      </c>
      <c r="B15" s="124"/>
      <c r="C15" s="124"/>
      <c r="D15" s="124"/>
      <c r="E15" s="124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4"/>
      <c r="C16" s="124"/>
      <c r="D16" s="124"/>
      <c r="E16" s="124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2" t="s">
        <v>137</v>
      </c>
      <c r="H21" s="142"/>
      <c r="I21" s="142"/>
      <c r="J21" s="142"/>
      <c r="K21" s="142"/>
      <c r="L21" s="142"/>
      <c r="M21" s="142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114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146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921</v>
      </c>
      <c r="F30" s="115" t="s">
        <v>27</v>
      </c>
      <c r="G30" s="106">
        <v>23400</v>
      </c>
      <c r="H30" s="106">
        <v>21742</v>
      </c>
      <c r="I30" s="108">
        <v>0.25</v>
      </c>
      <c r="J30" s="13">
        <f t="shared" ref="J30" si="0">H30*I30</f>
        <v>5435.5</v>
      </c>
      <c r="K30" s="12">
        <v>0</v>
      </c>
      <c r="L30" s="12">
        <v>0</v>
      </c>
      <c r="M30" s="13">
        <f t="shared" ref="M30" si="1">J30</f>
        <v>5435.5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921</v>
      </c>
      <c r="F31" s="15"/>
      <c r="G31" s="64">
        <f>SUM(G30:G30)</f>
        <v>23400</v>
      </c>
      <c r="H31" s="64">
        <f>SUM(H30:H30)</f>
        <v>21742</v>
      </c>
      <c r="I31" s="102"/>
      <c r="J31" s="17">
        <f>SUM(J30:J30)</f>
        <v>5435.5</v>
      </c>
      <c r="K31" s="16"/>
      <c r="L31" s="16"/>
      <c r="M31" s="17">
        <f>SUM(M30:M30)</f>
        <v>5435.5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четыреста тридцать пять долларов США, 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GWG-N-8 от  03.09.2025г.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921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23400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03.09.2025г.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30647YBA/010740CA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30647YBA/010740CA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03.09.2025г.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GWG-N-8 от  03.09.2025г.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921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23400</v>
      </c>
    </row>
    <row r="20" spans="2:10" ht="13.5" customHeight="1" x14ac:dyDescent="0.25">
      <c r="B20" s="83"/>
      <c r="E20" s="122"/>
      <c r="F20" s="117"/>
      <c r="G20" s="161"/>
      <c r="H20" s="161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25">
      <c r="B22" s="83"/>
      <c r="E22" s="122"/>
      <c r="F22" s="117"/>
      <c r="G22" s="161"/>
      <c r="H22" s="161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1"/>
      <c r="H24" s="161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1"/>
      <c r="H26" s="161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1"/>
      <c r="H28" s="161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1"/>
      <c r="H30" s="161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1"/>
      <c r="H32" s="161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1"/>
      <c r="H34" s="161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1"/>
      <c r="H36" s="161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1"/>
      <c r="H38" s="161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1"/>
      <c r="H42" s="161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3"/>
      <c r="H44" s="163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4">
        <f>+F18+F20+F22+F24+F26+F28+F30+F32+F34+F36+F38+F40+F42</f>
        <v>921</v>
      </c>
      <c r="E47" s="165"/>
    </row>
    <row r="48" spans="2:10" ht="17.25" customHeight="1" x14ac:dyDescent="0.25">
      <c r="B48" s="162" t="s">
        <v>105</v>
      </c>
      <c r="C48" s="162"/>
      <c r="D48" s="162"/>
      <c r="E48" s="162"/>
    </row>
    <row r="49" spans="2:5" ht="21.75" customHeight="1" x14ac:dyDescent="0.25">
      <c r="B49" s="162"/>
      <c r="C49" s="162"/>
      <c r="D49" s="162"/>
      <c r="E49" s="162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162</v>
      </c>
      <c r="C1" s="170"/>
      <c r="D1" s="170"/>
      <c r="E1" s="170"/>
      <c r="F1" s="151" t="str">
        <f>+Инвойс!F1</f>
        <v xml:space="preserve"> 03.09.2025г.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tr">
        <f>+Инвойс!C2</f>
        <v>к контракту № GW-GV-01 от 30.08.2025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tr">
        <f>+Инвойс!A5</f>
        <v xml:space="preserve">OOO «GOOD WILL EXPORT» 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5" x14ac:dyDescent="0.25">
      <c r="A6" s="173" t="str">
        <f>+Инвойс!A6</f>
        <v xml:space="preserve">Республика Узбекистан, Джизакская область, 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Зарбдарский район, Ровот МФЙ, ул. Лойихада дом 1/1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Р/с N 2020 8840 8055 4748 4001 USD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в «ТУРОНБАНК» АКБ Головной офис (Ташкент)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МФО: 00446, SWIFT: TUROUZ22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ИНН: 309713324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tr">
        <f>+Инвойс!A14</f>
        <v xml:space="preserve">OOO «GOOD WILL EXPORT» 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73" t="str">
        <f>+Инвойс!A15</f>
        <v xml:space="preserve">Республика Узбекистан, Джизакская область, 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Зарбдарский район, Ровот МФЙ, ул. Лойихада дом 1/1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Р/с N 2020 8840 8055 4748 4001 USD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в «ТУРОНБАНК» АКБ Головной офис (Ташкент)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МФО: 00446, SWIFT: TUROUZ22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ИНН: 309713324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30647YBA/010740CA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0.75" customHeight="1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921</v>
      </c>
      <c r="F30" s="115" t="str">
        <f>+Инвойс!F30</f>
        <v>кг</v>
      </c>
      <c r="G30" s="106">
        <f>+Инвойс!G30</f>
        <v>23400</v>
      </c>
      <c r="H30" s="106">
        <f>+Инвойс!H30</f>
        <v>21742</v>
      </c>
      <c r="I30" s="108">
        <f>+Инвойс!I30</f>
        <v>0.25</v>
      </c>
      <c r="J30" s="13">
        <f>+Инвойс!J30</f>
        <v>5435.5</v>
      </c>
      <c r="K30" s="12">
        <v>0</v>
      </c>
      <c r="L30" s="12">
        <v>0</v>
      </c>
      <c r="M30" s="13">
        <f>+Инвойс!M30</f>
        <v>5435.5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921</v>
      </c>
      <c r="F31" s="15"/>
      <c r="G31" s="64">
        <f>SUM(G30:G30)</f>
        <v>23400</v>
      </c>
      <c r="H31" s="64">
        <f>SUM(H30:H30)</f>
        <v>21742</v>
      </c>
      <c r="I31" s="102"/>
      <c r="J31" s="17">
        <f>SUM(J30:J30)</f>
        <v>5435.5</v>
      </c>
      <c r="K31" s="16"/>
      <c r="L31" s="16"/>
      <c r="M31" s="17">
        <f>SUM(M30:M30)</f>
        <v>5435.5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четыреста тридцать пять долларов США, 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8" zoomScale="115" zoomScaleNormal="11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114</v>
      </c>
    </row>
    <row r="3" spans="1:10" ht="51" x14ac:dyDescent="0.2">
      <c r="A3" s="130" t="s">
        <v>126</v>
      </c>
    </row>
    <row r="5" spans="1:10" ht="38.25" x14ac:dyDescent="0.2">
      <c r="A5" s="126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6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144</v>
      </c>
      <c r="J10" s="25" t="s">
        <v>145</v>
      </c>
    </row>
    <row r="11" spans="1:10" ht="51" x14ac:dyDescent="0.2">
      <c r="A11" s="126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5435.5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тридцать пять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45903</v>
      </c>
      <c r="O3" s="177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четыреста тридцать пять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3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тридцать пять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тридцать пять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тридцать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45903</v>
      </c>
    </row>
    <row r="13" spans="1:19" s="43" customFormat="1" x14ac:dyDescent="0.2">
      <c r="A13" s="49"/>
      <c r="D13" s="51"/>
      <c r="E13" s="52">
        <f>TRUNC(E2)</f>
        <v>5435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5435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435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2025-09-02T20:09:34Z</cp:lastPrinted>
  <dcterms:created xsi:type="dcterms:W3CDTF">1996-10-14T23:33:28Z</dcterms:created>
  <dcterms:modified xsi:type="dcterms:W3CDTF">2025-09-02T20:09:35Z</dcterms:modified>
</cp:coreProperties>
</file>