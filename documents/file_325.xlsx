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E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<sst xmlns="http://schemas.openxmlformats.org/spreadsheetml/2006/main" count="211" uniqueCount="164">
  <si>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</si>
  <si>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</si>
  <si>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</si>
  <si>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</si>
  <si>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</si>
  <si>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</si>
  <si>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</si>
  <si>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</si>
  <si>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</si>
  <si>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</si>
  <si>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</si>
  <si>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</si>
  <si>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</si>
  <si>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</si>
  <si>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</si>
  <si>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</si>
  <si>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</si>
  <si>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</si>
  <si>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</si>
  <si>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</si>
  <si>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</si>
  <si>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</si>
  <si>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</si>
  <si>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</si>
  <si>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</si>
  <si>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</si>
  <si>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</si>
  <si>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</si>
  <si>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</si>
  <si>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</si>
  <si>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</si>
  <si>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</si>
  <si>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</si>
  <si>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</si>
  <si>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</si>
  <si>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</si>
  <si>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</si>
  <si>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</si>
  <si>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</si>
  <si>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</si>
  <si>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</si>
  <si>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</si>
  <si>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</si>
  <si>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</si>
  <si>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</si>
  <si>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</si>
  <si>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</si>
  <si>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</si>
  <si>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</si>
  <si>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</si>
  <si>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</si>
  <si>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</si>
  <si>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</si>
  <si>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</si>
  <si>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</si>
  <si>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</si>
  <si>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</si>
  <si>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</si>
  <si>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</si>
  <si>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</si>
  <si>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</si>
  <si>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</si>
  <si>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</si>
  <si>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</si>
  <si>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</si>
  <si>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</si>
  <si>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</si>
  <si>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</si>
  <si>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</si>
  <si>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</si>
  <si>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</si>
  <si>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</si>
  <si>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</si>
  <si>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</si>
  <si>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</si>
  <si>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</si>
  <si>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</si>
  <si>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</si>
  <si>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</si>
  <si>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</si>
  <si>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</si>
  <si>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</si>
  <si>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</si>
  <si>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</si>
  <si>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</si>
  <si>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</si>
  <si>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</si>
  <si>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</si>
  <si>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</si>
  <si>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</si>
  <si>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</si>
  <si>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</si>
  <si>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</si>
  <si>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</si>
  <si>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</si>
  <si>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</si>
  <si>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</si>
  <si>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</si>
  <si>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</si>
  <si>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</si>
  <si>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</si>
  <si>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</si>
  <si>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</si>
  <si>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</si>
  <si>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</si>
  <si>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</si>
  <si>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</si>
  <si>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</si>
  <si>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</si>
  <si>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</si>
  <si>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</si>
  <si>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</si>
  <si>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</si>
  <si>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</si>
  <si>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</si>
  <si>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</si>
  <si>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</si>
  <si>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</si>
  <si>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</si>
  <si>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</si>
  <si>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</si>
  <si>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</si>
  <si>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</si>
  <si>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</si>
  <si>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</si>
  <si>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</si>
  <si>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</si>
  <si>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</si>
  <si>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</si>
  <si>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</si>
  <si>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</si>
  <si>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</si>
  <si>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</si>
  <si>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</si>
  <si>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</si>
  <si>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</si>
  <si>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</si>
  <si>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</si>
  <si>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</si>
  <si>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</si>
  <si>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</si>
  <si>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</si>
  <si>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</si>
  <si>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</si>
  <si>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</si>
  <si>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</si>
  <si>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</si>
  <si>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</si>
  <si>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</si>
  <si>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</si>
  <si>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</si>
  <si>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</si>
  <si>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</si>
  <si>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</si>
  <si>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</si>
  <si>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</si>
  <si>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</si>
  <si>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</si>
  <si>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</si>
  <si>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 xml:space="preserve"> 31.08.2025г.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</si>
  <si>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</si>
  <si>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EXG-F-31 от </t>
  </si>
  <si>
    <t>30515YBA/301096BA</t>
  </si>
  <si>
    <t xml:space="preserve">СПЕЦИФИКАЦИЯ № EXG-F-31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</si>
</sst>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159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148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149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150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149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150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160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111</v>
      </c>
      <c r="E30" s="101">
        <f>720+2400</f>
        <v>3120</v>
      </c>
      <c r="F30" s="110" t="s">
        <v>27</v>
      </c>
      <c r="G30" s="106">
        <v>22714</v>
      </c>
      <c r="H30" s="106">
        <v>20530</v>
      </c>
      <c r="I30" s="108">
        <v>1</v>
      </c>
      <c r="J30" s="13">
        <f t="shared" ref="J30" si="0">H30*I30</f>
        <v>20530</v>
      </c>
      <c r="K30" s="12">
        <v>0</v>
      </c>
      <c r="L30" s="12">
        <v>0</v>
      </c>
      <c r="M30" s="13">
        <f t="shared" ref="M30" si="1">J30</f>
        <v>20530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3120</v>
      </c>
      <c r="F31" s="15"/>
      <c r="G31" s="64">
        <f>SUM(G30:G30)</f>
        <v>22714</v>
      </c>
      <c r="H31" s="64">
        <f>SUM(H30:H30)</f>
        <v>20530</v>
      </c>
      <c r="I31" s="102"/>
      <c r="J31" s="17">
        <f>SUM(J30:J30)</f>
        <v>20530</v>
      </c>
      <c r="K31" s="16"/>
      <c r="L31" s="16"/>
      <c r="M31" s="17">
        <f>SUM(M30:M30)</f>
        <v>20530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Двадцать тысяч пятьсот тридцать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EXG-F-31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3120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22714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30515YBA/301096BA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30515YBA/301096BA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31.08.2025г.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EXG-F-31 от  31.08.2025г.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3120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22714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3120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163</v>
      </c>
      <c r="C1" s="172"/>
      <c r="D1" s="172"/>
      <c r="E1" s="172"/>
      <c r="F1" s="153" t="str">
        <f>+Инвойс!F1</f>
        <v xml:space="preserve"> 31.08.2025г.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30515YBA/301096BA</v>
      </c>
      <c r="F26" s="140"/>
      <c r="G26" s="140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3120</v>
      </c>
      <c r="F30" s="116" t="str">
        <f>+Инвойс!F30</f>
        <v>кг</v>
      </c>
      <c r="G30" s="106">
        <f>+Инвойс!G30</f>
        <v>22714</v>
      </c>
      <c r="H30" s="106">
        <f>+Инвойс!H30</f>
        <v>20530</v>
      </c>
      <c r="I30" s="108">
        <f>+Инвойс!I30</f>
        <v>1</v>
      </c>
      <c r="J30" s="13">
        <f>+Инвойс!J30</f>
        <v>20530</v>
      </c>
      <c r="K30" s="12">
        <v>0</v>
      </c>
      <c r="L30" s="12">
        <v>0</v>
      </c>
      <c r="M30" s="13">
        <f>+Инвойс!M30</f>
        <v>20530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3120</v>
      </c>
      <c r="F31" s="15"/>
      <c r="G31" s="64">
        <f>SUM(G30:G30)</f>
        <v>22714</v>
      </c>
      <c r="H31" s="64">
        <f>SUM(H30:H30)</f>
        <v>20530</v>
      </c>
      <c r="I31" s="102"/>
      <c r="J31" s="17">
        <f>SUM(J30:J30)</f>
        <v>20530</v>
      </c>
      <c r="K31" s="16"/>
      <c r="L31" s="16"/>
      <c r="M31" s="17">
        <f>SUM(M30:M30)</f>
        <v>20530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Двадцать тысяч пятьсот тридцать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160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20530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пятьсот тридцать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тысяч пятьсот тридцать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пятьсот тридцать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пятьсот тридцать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пятьсот тридцать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">
      <c r="A13" s="49"/>
      <c r="D13" s="51"/>
      <c r="E13" s="52">
        <f>TRUNC(E2)</f>
        <v>20530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205</v>
      </c>
      <c r="B27" s="47">
        <f>TRUNC(RIGHT(A27))</f>
        <v>5</v>
      </c>
      <c r="C27" s="51">
        <f>B27</f>
        <v>5</v>
      </c>
      <c r="E27" s="55" t="str">
        <f>IF(B27=1,E43,IF(B27=2,G35,IF(B27=3,G36,IF(B27=4,G37,IF(B27=5,G38,IF(B27=6,G39,IF(B27=7,G40,IF(B27=8,G41,G42))))))))</f>
        <v xml:space="preserve">пятьсот </v>
      </c>
    </row>
    <row r="28" spans="1:9" s="43" customFormat="1" x14ac:dyDescent="0.2">
      <c r="A28" s="54">
        <f>TRUNC(A29/10)</f>
        <v>2053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20530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530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2025-08-31T16:05:21Z</cp:lastPrinted>
  <dcterms:created xsi:type="dcterms:W3CDTF">1996-10-14T23:33:28Z</dcterms:created>
  <dcterms:modified xsi:type="dcterms:W3CDTF">2025-08-31T16:05:22Z</dcterms:modified>
</cp:coreProperties>
</file>