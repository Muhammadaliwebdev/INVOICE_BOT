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7A40F2-4F51-402F-BED5-FBF567F37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<sst xmlns="http://schemas.openxmlformats.org/spreadsheetml/2006/main" count="207" uniqueCount="162">
  <si>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</si>
  <si>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</si>
  <si>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</si>
  <si>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</si>
  <si>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</si>
  <si>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</si>
  <si>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</si>
  <si>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</si>
  <si>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</si>
  <si>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</si>
  <si>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</si>
  <si>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</si>
  <si>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</si>
  <si>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</si>
  <si>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</si>
  <si>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</si>
  <si>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</si>
  <si>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</si>
  <si>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</si>
  <si>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</si>
  <si>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</si>
  <si>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</si>
  <si>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</si>
  <si>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</si>
  <si>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</si>
  <si>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</si>
  <si>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</si>
  <si>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</si>
  <si>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</si>
  <si>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</si>
  <si>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</si>
  <si>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</si>
  <si>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</si>
  <si>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</si>
  <si>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</si>
  <si>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</si>
  <si>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</si>
  <si>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</si>
  <si>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</si>
  <si>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</si>
  <si>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</si>
  <si>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</si>
  <si>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</si>
  <si>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</si>
  <si>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</si>
  <si>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</si>
  <si>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</si>
  <si>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</si>
  <si>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</si>
  <si>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</si>
  <si>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</si>
  <si>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</si>
  <si>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</si>
  <si>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</si>
  <si>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</si>
  <si>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</si>
  <si>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</si>
  <si>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</si>
  <si>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</si>
  <si>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</si>
  <si>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</si>
  <si>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</si>
  <si>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</si>
  <si>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</si>
  <si>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</si>
  <si>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</si>
  <si>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</si>
  <si>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</si>
  <si>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</si>
  <si>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</si>
  <si>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</si>
  <si>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</si>
  <si>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</si>
  <si>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</si>
  <si>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</si>
  <si>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</si>
  <si>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</si>
  <si>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</si>
  <si>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</si>
  <si>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</si>
  <si>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</si>
  <si>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</si>
  <si>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</si>
  <si>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</si>
  <si>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</si>
  <si>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</si>
  <si>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</si>
  <si>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</si>
  <si>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</si>
  <si>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</si>
  <si>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</si>
  <si>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</si>
  <si>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</si>
  <si>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</si>
  <si>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</si>
  <si>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</si>
  <si>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</si>
  <si>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</si>
  <si>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</si>
  <si>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</si>
  <si>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</si>
  <si>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</si>
  <si>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</si>
  <si>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</si>
  <si>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</si>
  <si>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</si>
  <si>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</si>
  <si>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</si>
  <si>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</si>
  <si>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</si>
  <si>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</si>
  <si>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</si>
  <si>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</si>
  <si>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</si>
  <si>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</si>
  <si>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</si>
  <si>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</si>
  <si>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</si>
  <si>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</si>
  <si>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</si>
  <si>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</si>
  <si>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</si>
  <si>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</si>
  <si>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</si>
  <si>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</si>
  <si>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</si>
  <si>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</si>
  <si>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</si>
  <si>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</si>
  <si>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</si>
  <si>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</si>
  <si>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</si>
  <si>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</si>
  <si>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</si>
  <si>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</si>
  <si>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</si>
  <si>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</si>
  <si>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</si>
  <si>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</si>
  <si>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</si>
  <si>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</si>
  <si>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</si>
  <si>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</si>
  <si>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</si>
  <si>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</si>
  <si>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</si>
  <si>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</si>
  <si>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</si>
  <si>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</si>
  <si>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</si>
  <si>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</si>
  <si>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</si>
  <si>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</si>
  <si>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</si>
  <si>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</si>
  <si>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</si>
  <si>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ИНВОЙС № MEG-O-37 от </t>
  </si>
  <si>
    <t xml:space="preserve"> 30.08.2025г.</t>
  </si>
  <si>
    <t>90H500ZA/905985BA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</si>
  <si>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</si>
  <si>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 xml:space="preserve">СПЕЦИФИКАЦИЯ № MEG-O-37 от 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</si>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</sst>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156</v>
      </c>
      <c r="D1" s="152"/>
      <c r="E1" s="152"/>
      <c r="F1" s="151" t="s">
        <v>157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136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128</v>
      </c>
      <c r="B5" s="153"/>
      <c r="C5" s="153"/>
      <c r="D5" s="153"/>
      <c r="E5" s="153"/>
      <c r="F5" s="6"/>
      <c r="G5" s="146" t="s">
        <v>137</v>
      </c>
      <c r="H5" s="146"/>
      <c r="I5" s="146"/>
      <c r="J5" s="146"/>
      <c r="K5" s="146"/>
      <c r="L5" s="146"/>
      <c r="M5" s="146"/>
    </row>
    <row r="6" spans="1:15" ht="13.8" x14ac:dyDescent="0.25">
      <c r="A6" s="125" t="s">
        <v>129</v>
      </c>
      <c r="B6" s="124"/>
      <c r="C6" s="124"/>
      <c r="D6" s="124"/>
      <c r="E6" s="124"/>
      <c r="F6" s="7"/>
      <c r="G6" s="141" t="s">
        <v>138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5" t="s">
        <v>134</v>
      </c>
      <c r="B7" s="124"/>
      <c r="C7" s="124"/>
      <c r="D7" s="124"/>
      <c r="E7" s="124"/>
      <c r="F7" s="63"/>
      <c r="G7" s="141" t="s">
        <v>139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130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132</v>
      </c>
      <c r="B10" s="124"/>
      <c r="C10" s="124"/>
      <c r="D10" s="124"/>
      <c r="E10" s="124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144</v>
      </c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128</v>
      </c>
      <c r="B14" s="153"/>
      <c r="C14" s="153"/>
      <c r="D14" s="153"/>
      <c r="E14" s="153"/>
      <c r="F14" s="6"/>
      <c r="G14" s="146" t="s">
        <v>137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25" t="s">
        <v>129</v>
      </c>
      <c r="B15" s="124"/>
      <c r="C15" s="124"/>
      <c r="D15" s="124"/>
      <c r="E15" s="124"/>
      <c r="F15" s="7"/>
      <c r="G15" s="141" t="s">
        <v>138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134</v>
      </c>
      <c r="B16" s="124"/>
      <c r="C16" s="124"/>
      <c r="D16" s="124"/>
      <c r="E16" s="124"/>
      <c r="F16" s="63"/>
      <c r="G16" s="141" t="s">
        <v>139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131</v>
      </c>
      <c r="B17" s="8"/>
      <c r="C17" s="8"/>
      <c r="D17" s="8"/>
      <c r="E17" s="8"/>
      <c r="F17" s="63"/>
      <c r="G17" s="7" t="s">
        <v>140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130</v>
      </c>
      <c r="B18" s="8"/>
      <c r="C18" s="8"/>
      <c r="D18" s="8"/>
      <c r="E18" s="8"/>
      <c r="F18" s="7"/>
      <c r="G18" s="7" t="s">
        <v>141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132</v>
      </c>
      <c r="B19" s="124"/>
      <c r="C19" s="124"/>
      <c r="D19" s="124"/>
      <c r="E19" s="124"/>
      <c r="F19" s="7"/>
      <c r="G19" s="7" t="s">
        <v>142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143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2" t="s">
        <v>144</v>
      </c>
      <c r="H21" s="142"/>
      <c r="I21" s="142"/>
      <c r="J21" s="142"/>
      <c r="K21" s="142"/>
      <c r="L21" s="142"/>
      <c r="M21" s="142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124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154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158</v>
      </c>
      <c r="F26" s="140"/>
      <c r="G26" s="140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120</v>
      </c>
      <c r="C30" s="107" t="s">
        <v>119</v>
      </c>
      <c r="D30" s="109" t="s">
        <v>161</v>
      </c>
      <c r="E30" s="101">
        <v>2316</v>
      </c>
      <c r="F30" s="115" t="s">
        <v>27</v>
      </c>
      <c r="G30" s="106">
        <v>22700</v>
      </c>
      <c r="H30" s="106">
        <v>21079</v>
      </c>
      <c r="I30" s="108">
        <v>1</v>
      </c>
      <c r="J30" s="13">
        <f t="shared" ref="J30" si="0">H30*I30</f>
        <v>21079</v>
      </c>
      <c r="K30" s="12">
        <v>0</v>
      </c>
      <c r="L30" s="12">
        <v>0</v>
      </c>
      <c r="M30" s="13">
        <f t="shared" ref="M30" si="1">J30</f>
        <v>21079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2316</v>
      </c>
      <c r="F31" s="15"/>
      <c r="G31" s="64">
        <f>SUM(G30:G30)</f>
        <v>22700</v>
      </c>
      <c r="H31" s="64">
        <f>SUM(H30:H30)</f>
        <v>21079</v>
      </c>
      <c r="I31" s="102"/>
      <c r="J31" s="17">
        <f>SUM(J30:J30)</f>
        <v>21079</v>
      </c>
      <c r="K31" s="16"/>
      <c r="L31" s="16"/>
      <c r="M31" s="17">
        <f>SUM(M30:M30)</f>
        <v>21079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Двадцать одна тысяча семьдесят девять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159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133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D36" sqref="D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110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146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MEG-O-37 от  30.08.2025г.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2316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147</v>
      </c>
      <c r="D49" s="158" t="str">
        <f>+C22</f>
        <v xml:space="preserve"> 30.08.2025г.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90H500ZA/905985BA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9" zoomScaleNormal="100" workbookViewId="0">
      <selection activeCell="G30" sqref="G30:H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90H500ZA/905985BA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MEG-O-37 от  30.08.2025г.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2316</v>
      </c>
      <c r="G18" s="161" t="str">
        <f>+CMR!F30</f>
        <v>Виноград свежий столовых сортов</v>
      </c>
      <c r="H18" s="161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59" t="str">
        <f>+Инвойс!C30</f>
        <v>0806101001</v>
      </c>
      <c r="H19" s="160"/>
      <c r="I19" s="121" t="s">
        <v>103</v>
      </c>
      <c r="J19" s="119">
        <f>+Инвойс!G30</f>
        <v>22700</v>
      </c>
    </row>
    <row r="20" spans="2:10" ht="13.5" customHeight="1" x14ac:dyDescent="0.3">
      <c r="B20" s="83"/>
      <c r="E20" s="122"/>
      <c r="F20" s="117"/>
      <c r="G20" s="161"/>
      <c r="H20" s="161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3">
      <c r="B22" s="83"/>
      <c r="E22" s="122"/>
      <c r="F22" s="117"/>
      <c r="G22" s="161"/>
      <c r="H22" s="161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1"/>
      <c r="H24" s="161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1"/>
      <c r="H26" s="161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1"/>
      <c r="H28" s="161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1"/>
      <c r="H30" s="161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1"/>
      <c r="H32" s="161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1"/>
      <c r="H34" s="161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1"/>
      <c r="H36" s="161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1"/>
      <c r="H38" s="161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1"/>
      <c r="H42" s="161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3"/>
      <c r="H44" s="163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2316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160</v>
      </c>
      <c r="C1" s="170"/>
      <c r="D1" s="170"/>
      <c r="E1" s="170"/>
      <c r="F1" s="151" t="str">
        <f>+Инвойс!F1</f>
        <v xml:space="preserve"> 30.08.2025г.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GR-MG-01 от 22.08.2025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>ООО «MEGA EXIMPORT»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73" t="str">
        <f>+Инвойс!A6</f>
        <v xml:space="preserve">Республика Узбекистан, Ферганская область, 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3" t="str">
        <f>+Инвойс!A7</f>
        <v>Кува Район, Гулобод МФЙ, Сарбоз улитца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 xml:space="preserve">Р/с N 20208840607249418001   (USD)    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3" t="str">
        <f>+Инвойс!A9</f>
        <v xml:space="preserve">в АКБ «KAPITAL BANK» МФО: 01088 Swift: KACHUZ22  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3" t="str">
        <f>+Инвойс!A10</f>
        <v xml:space="preserve"> ИНН: 312169146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3"/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>ООО «MEGA EXIMPORT»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73" t="str">
        <f>+Инвойс!A15</f>
        <v xml:space="preserve">Республика Узбекистан, Ферганская область, 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3" t="str">
        <f>+Инвойс!A16</f>
        <v>Кува Район, Гулобод МФЙ, Сарбоз улитца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 xml:space="preserve">Р/с N 20208840607249418001   (USD)    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3" t="str">
        <f>+Инвойс!A18</f>
        <v xml:space="preserve">в АКБ «KAPITAL BANK» МФО: 01088 Swift: KACHUZ22  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3" t="str">
        <f>+Инвойс!A19</f>
        <v xml:space="preserve"> ИНН: 312169146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3"/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111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90H500ZA/905985BA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2316</v>
      </c>
      <c r="F30" s="115" t="str">
        <f>+Инвойс!F30</f>
        <v>кг</v>
      </c>
      <c r="G30" s="106">
        <f>+Инвойс!G30</f>
        <v>22700</v>
      </c>
      <c r="H30" s="106">
        <f>+Инвойс!H30</f>
        <v>21079</v>
      </c>
      <c r="I30" s="108">
        <f>+Инвойс!I30</f>
        <v>1</v>
      </c>
      <c r="J30" s="13">
        <f>+Инвойс!J30</f>
        <v>21079</v>
      </c>
      <c r="K30" s="12">
        <v>0</v>
      </c>
      <c r="L30" s="12">
        <v>0</v>
      </c>
      <c r="M30" s="13">
        <f>+Инвойс!M30</f>
        <v>21079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2316</v>
      </c>
      <c r="F31" s="15"/>
      <c r="G31" s="64">
        <f>SUM(G30:G30)</f>
        <v>22700</v>
      </c>
      <c r="H31" s="64">
        <f>SUM(H30:H30)</f>
        <v>21079</v>
      </c>
      <c r="I31" s="102"/>
      <c r="J31" s="17">
        <f>SUM(J30:J30)</f>
        <v>21079</v>
      </c>
      <c r="K31" s="16"/>
      <c r="L31" s="16"/>
      <c r="M31" s="17">
        <f>SUM(M30:M30)</f>
        <v>21079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Двадцать одна тысяча семьдесят девять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1" t="s">
        <v>135</v>
      </c>
      <c r="B36" s="131"/>
      <c r="D36" s="18" t="str">
        <f>+Инвойс!D36</f>
        <v>Эргашев О.Р</v>
      </c>
      <c r="E36" s="132"/>
      <c r="G36" s="129" t="s">
        <v>126</v>
      </c>
      <c r="H36" s="18" t="str">
        <f>Инвойс!G5</f>
        <v>ООО «ГРИН ВОРЛД»</v>
      </c>
      <c r="K36" s="133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112</v>
      </c>
    </row>
    <row r="3" spans="1:10" ht="52.8" x14ac:dyDescent="0.25">
      <c r="A3" s="130" t="s">
        <v>124</v>
      </c>
    </row>
    <row r="5" spans="1:10" ht="39.6" x14ac:dyDescent="0.25">
      <c r="A5" s="126" t="s">
        <v>113</v>
      </c>
    </row>
    <row r="6" spans="1:10" x14ac:dyDescent="0.25">
      <c r="E6" s="18" t="s">
        <v>125</v>
      </c>
      <c r="J6" s="25" t="s">
        <v>148</v>
      </c>
    </row>
    <row r="7" spans="1:10" ht="52.8" x14ac:dyDescent="0.25">
      <c r="A7" s="126" t="s">
        <v>114</v>
      </c>
    </row>
    <row r="8" spans="1:10" x14ac:dyDescent="0.25">
      <c r="E8" s="18" t="s">
        <v>149</v>
      </c>
      <c r="J8" s="25" t="s">
        <v>150</v>
      </c>
    </row>
    <row r="9" spans="1:10" ht="52.8" x14ac:dyDescent="0.25">
      <c r="A9" s="126" t="s">
        <v>115</v>
      </c>
    </row>
    <row r="10" spans="1:10" x14ac:dyDescent="0.25">
      <c r="A10" s="126"/>
      <c r="E10" s="18" t="s">
        <v>151</v>
      </c>
      <c r="J10" s="25" t="s">
        <v>152</v>
      </c>
    </row>
    <row r="11" spans="1:10" ht="52.8" x14ac:dyDescent="0.25">
      <c r="A11" s="126" t="s">
        <v>153</v>
      </c>
    </row>
    <row r="12" spans="1:10" x14ac:dyDescent="0.25">
      <c r="E12" s="18" t="s">
        <v>154</v>
      </c>
      <c r="J12" s="25" t="s">
        <v>155</v>
      </c>
    </row>
    <row r="13" spans="1:10" ht="52.8" x14ac:dyDescent="0.25">
      <c r="A13" s="126" t="s">
        <v>116</v>
      </c>
    </row>
    <row r="15" spans="1:10" ht="39.6" x14ac:dyDescent="0.25">
      <c r="A15" s="126" t="s">
        <v>117</v>
      </c>
    </row>
    <row r="17" spans="1:1" ht="39.6" x14ac:dyDescent="0.25">
      <c r="A17" s="126" t="s">
        <v>118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21079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одна тысяча семьдесят девять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одна тысяча семьдесят девять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одна тысяча семьдесят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одна тысяча семьдесят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семьдесят девять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21079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210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2107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21079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2025-08-30T07:02:18Z</cp:lastPrinted>
  <dcterms:created xsi:type="dcterms:W3CDTF">1996-10-14T23:33:28Z</dcterms:created>
  <dcterms:modified xsi:type="dcterms:W3CDTF">2025-08-30T07:02:22Z</dcterms:modified>
</cp:coreProperties>
</file>