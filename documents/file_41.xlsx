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926ED183-8452-4283-AD3E-0817A21AF6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7" l="1"/>
  <c r="J30" i="2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<sst xmlns="http://schemas.openxmlformats.org/spreadsheetml/2006/main" count="209" uniqueCount="163">
  <si>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</si>
  <si>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</si>
  <si>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</si>
  <si>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</si>
  <si>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</si>
  <si>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</si>
  <si>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</si>
  <si>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</si>
  <si>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</si>
  <si>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</si>
  <si>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</si>
  <si>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</si>
  <si>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</si>
  <si>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</si>
  <si>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</si>
  <si>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</si>
  <si>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</si>
  <si>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</si>
  <si>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</si>
  <si>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</si>
  <si>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</si>
  <si>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</si>
  <si>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</si>
  <si>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</si>
  <si>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</si>
  <si>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</si>
  <si>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</si>
  <si>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</si>
  <si>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</si>
  <si>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</si>
  <si>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</si>
  <si>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</si>
  <si>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</si>
  <si>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</si>
  <si>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</si>
  <si>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</si>
  <si>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</si>
  <si>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</si>
  <si>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</si>
  <si>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</si>
  <si>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</si>
  <si>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</si>
  <si>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</si>
  <si>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</si>
  <si>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</si>
  <si>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</si>
  <si>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</si>
  <si>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</si>
  <si>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</si>
  <si>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</si>
  <si>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</si>
  <si>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</si>
  <si>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</si>
  <si>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</si>
  <si>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</si>
  <si>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</si>
  <si>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</si>
  <si>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</si>
  <si>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</si>
  <si>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</si>
  <si>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</si>
  <si>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</si>
  <si>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</si>
  <si>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</si>
  <si>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</si>
  <si>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</si>
  <si>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</si>
  <si>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</si>
  <si>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</si>
  <si>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</si>
  <si>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</si>
  <si>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</si>
  <si>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</si>
  <si>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</si>
  <si>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</si>
  <si>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</si>
  <si>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</si>
  <si>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</si>
  <si>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</si>
  <si>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</si>
  <si>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</si>
  <si>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</si>
  <si>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</si>
  <si>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</si>
  <si>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</si>
  <si>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</si>
  <si>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</si>
  <si>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</si>
  <si>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</si>
  <si>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</si>
  <si>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</si>
  <si>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</si>
  <si>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</si>
  <si>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</si>
  <si>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</si>
  <si>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</si>
  <si>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</si>
  <si>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</si>
  <si>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</si>
  <si>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</si>
  <si>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</si>
  <si>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</si>
  <si>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</si>
  <si>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</si>
  <si>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</si>
  <si>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</si>
  <si>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</si>
  <si>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</si>
  <si>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</si>
  <si>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</si>
  <si>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</si>
  <si>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</si>
  <si>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</si>
  <si>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</si>
  <si>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</si>
  <si>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</si>
  <si>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</si>
  <si>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</si>
  <si>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</si>
  <si>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</si>
  <si>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</si>
  <si>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</si>
  <si>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</si>
  <si>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</si>
  <si>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</si>
  <si>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</si>
  <si>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</si>
  <si>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</si>
  <si>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</si>
  <si>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</si>
  <si>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</si>
  <si>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</si>
  <si>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</si>
  <si>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</si>
  <si>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</si>
  <si>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</si>
  <si>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</si>
  <si>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</si>
  <si>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</si>
  <si>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</si>
  <si>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</si>
  <si>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</si>
  <si>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</si>
  <si>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</si>
  <si>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</si>
  <si>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</si>
  <si>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</si>
  <si>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</si>
  <si>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</si>
  <si>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25.08.2025г.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</si>
  <si>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</si>
  <si>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</si>
  <si>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</si>
  <si>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</si>
  <si>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</si>
  <si>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</si>
  <si>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</si>
  <si>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</si>
  <si>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</si>
  <si>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</si>
  <si>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90021NBA/905532BA</t>
  </si>
  <si>
    <t xml:space="preserve">ИНВОЙС № VG-O-1 от </t>
  </si>
  <si>
    <t xml:space="preserve">СПЕЦИФИКАЦИЯ № VG-O-1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</si>
</sst>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2" zoomScaleNormal="10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161</v>
      </c>
      <c r="D1" s="134"/>
      <c r="E1" s="134"/>
      <c r="F1" s="133" t="s">
        <v>149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150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140</v>
      </c>
      <c r="B5" s="135"/>
      <c r="C5" s="135"/>
      <c r="D5" s="135"/>
      <c r="E5" s="135"/>
      <c r="F5" s="6"/>
      <c r="G5" s="137" t="s">
        <v>151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141</v>
      </c>
      <c r="B6" s="142"/>
      <c r="C6" s="142"/>
      <c r="D6" s="142"/>
      <c r="E6" s="142"/>
      <c r="F6" s="7"/>
      <c r="G6" s="139" t="s">
        <v>152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39" t="s">
        <v>153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157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140</v>
      </c>
      <c r="B14" s="135"/>
      <c r="C14" s="135"/>
      <c r="D14" s="135"/>
      <c r="E14" s="135"/>
      <c r="F14" s="6"/>
      <c r="G14" s="137" t="s">
        <v>151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152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39" t="s">
        <v>153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155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157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136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124</v>
      </c>
      <c r="C30" s="107" t="s">
        <v>123</v>
      </c>
      <c r="D30" s="109" t="s">
        <v>111</v>
      </c>
      <c r="E30" s="101">
        <v>2350</v>
      </c>
      <c r="F30" s="115" t="s">
        <v>27</v>
      </c>
      <c r="G30" s="106">
        <v>22705</v>
      </c>
      <c r="H30" s="106">
        <v>21060</v>
      </c>
      <c r="I30" s="108">
        <v>1.25</v>
      </c>
      <c r="J30" s="13">
        <f t="shared" ref="J30" si="0">H30*I30</f>
        <v>26325</v>
      </c>
      <c r="K30" s="12">
        <v>0</v>
      </c>
      <c r="L30" s="12">
        <v>0</v>
      </c>
      <c r="M30" s="13">
        <f t="shared" ref="M30" si="1">J30</f>
        <v>26325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2350</v>
      </c>
      <c r="F31" s="15"/>
      <c r="G31" s="64">
        <f>SUM(G30:G30)</f>
        <v>22705</v>
      </c>
      <c r="H31" s="64">
        <f>SUM(H30:H30)</f>
        <v>21060</v>
      </c>
      <c r="I31" s="102"/>
      <c r="J31" s="17">
        <f>SUM(J30:J30)</f>
        <v>26325</v>
      </c>
      <c r="K31" s="16"/>
      <c r="L31" s="16"/>
      <c r="M31" s="17">
        <f>SUM(M30:M30)</f>
        <v>26325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шесть тысяч триста двадцать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B31" sqref="B31: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VG-O-1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90021NBA/905532BA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90021NBA/905532BA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VG-O-1 от  25.08.2025г.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2350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22705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2350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3" t="str">
        <f>+Инвойс!F1</f>
        <v xml:space="preserve"> 25.08.2025г.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90021NBA/905532BA</v>
      </c>
      <c r="F26" s="155"/>
      <c r="G26" s="155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2350</v>
      </c>
      <c r="F30" s="115" t="str">
        <f>+Инвойс!F30</f>
        <v>кг</v>
      </c>
      <c r="G30" s="106">
        <f>+Инвойс!G30</f>
        <v>22705</v>
      </c>
      <c r="H30" s="106">
        <f>+Инвойс!H30</f>
        <v>21060</v>
      </c>
      <c r="I30" s="108">
        <f>+Инвойс!I30</f>
        <v>1.25</v>
      </c>
      <c r="J30" s="13">
        <f>+Инвойс!J30</f>
        <v>26325</v>
      </c>
      <c r="K30" s="12">
        <v>0</v>
      </c>
      <c r="L30" s="12">
        <v>0</v>
      </c>
      <c r="M30" s="13">
        <f>+Инвойс!M30</f>
        <v>26325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2350</v>
      </c>
      <c r="F31" s="15"/>
      <c r="G31" s="64">
        <f>SUM(G30:G30)</f>
        <v>22705</v>
      </c>
      <c r="H31" s="64">
        <f>SUM(H30:H30)</f>
        <v>21060</v>
      </c>
      <c r="I31" s="102"/>
      <c r="J31" s="17">
        <f>SUM(J30:J30)</f>
        <v>26325</v>
      </c>
      <c r="K31" s="16"/>
      <c r="L31" s="16"/>
      <c r="M31" s="17">
        <f>SUM(M30:M30)</f>
        <v>26325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шесть тысяч триста двадцать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26325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шесть тысяч триста двадцать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45894</v>
      </c>
      <c r="O3" s="177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шесть тысяч триста двадцать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25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шесть тысяч триста двадцать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шесть тысяч триста двадцать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шесть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двадцать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26325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26</v>
      </c>
      <c r="B25" s="47">
        <f>TRUNC(RIGHT(A25))</f>
        <v>6</v>
      </c>
      <c r="C25" s="51">
        <f>IF(B24=1,B25+10,IF(B25=0,0,B25))</f>
        <v>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263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2632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26325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2025-08-25T08:55:09Z</cp:lastPrinted>
  <dcterms:created xsi:type="dcterms:W3CDTF">1996-10-14T23:33:28Z</dcterms:created>
  <dcterms:modified xsi:type="dcterms:W3CDTF">2025-08-25T08:55:29Z</dcterms:modified>
</cp:coreProperties>
</file>