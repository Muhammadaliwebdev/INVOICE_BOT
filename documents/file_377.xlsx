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E0CE4E0-EE0F-4216-B0C4-17E462433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<sst xmlns="http://schemas.openxmlformats.org/spreadsheetml/2006/main" count="211" uniqueCount="164">
  <si>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</si>
  <si>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</si>
  <si>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</si>
  <si>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</si>
  <si>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</si>
  <si>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</si>
  <si>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</si>
  <si>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</si>
  <si>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</si>
  <si>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</si>
  <si>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</si>
  <si>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</si>
  <si>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</si>
  <si>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</si>
  <si>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</si>
  <si>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</si>
  <si>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</si>
  <si>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</si>
  <si>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</si>
  <si>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</si>
  <si>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</si>
  <si>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</si>
  <si>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</si>
  <si>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</si>
  <si>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</si>
  <si>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</si>
  <si>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</si>
  <si>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</si>
  <si>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</si>
  <si>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</si>
  <si>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</si>
  <si>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</si>
  <si>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</si>
  <si>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</si>
  <si>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</si>
  <si>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</si>
  <si>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</si>
  <si>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</si>
  <si>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</si>
  <si>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</si>
  <si>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</si>
  <si>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</si>
  <si>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</si>
  <si>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</si>
  <si>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</si>
  <si>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</si>
  <si>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</si>
  <si>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</si>
  <si>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</si>
  <si>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</si>
  <si>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</si>
  <si>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</si>
  <si>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</si>
  <si>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</si>
  <si>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</si>
  <si>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</si>
  <si>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</si>
  <si>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</si>
  <si>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</si>
  <si>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</si>
  <si>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</si>
  <si>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</si>
  <si>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</si>
  <si>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</si>
  <si>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</si>
  <si>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</si>
  <si>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</si>
  <si>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</si>
  <si>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</si>
  <si>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</si>
  <si>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</si>
  <si>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</si>
  <si>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</si>
  <si>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</si>
  <si>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</si>
  <si>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</si>
  <si>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</si>
  <si>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</si>
  <si>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</si>
  <si>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</si>
  <si>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</si>
  <si>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</si>
  <si>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</si>
  <si>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</si>
  <si>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</si>
  <si>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</si>
  <si>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</si>
  <si>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</si>
  <si>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</si>
  <si>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</si>
  <si>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</si>
  <si>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</si>
  <si>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</si>
  <si>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</si>
  <si>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</si>
  <si>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</si>
  <si>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</si>
  <si>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</si>
  <si>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</si>
  <si>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</si>
  <si>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</si>
  <si>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</si>
  <si>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</si>
  <si>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</si>
  <si>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</si>
  <si>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</si>
  <si>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</si>
  <si>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</si>
  <si>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</si>
  <si>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</si>
  <si>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</si>
  <si>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</si>
  <si>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</si>
  <si>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</si>
  <si>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</si>
  <si>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</si>
  <si>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</si>
  <si>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</si>
  <si>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</si>
  <si>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</si>
  <si>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</si>
  <si>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</si>
  <si>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</si>
  <si>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</si>
  <si>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</si>
  <si>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</si>
  <si>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</si>
  <si>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</si>
  <si>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</si>
  <si>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</si>
  <si>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</si>
  <si>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</si>
  <si>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</si>
  <si>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</si>
  <si>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</si>
  <si>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</si>
  <si>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</si>
  <si>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</si>
  <si>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</si>
  <si>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</si>
  <si>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</si>
  <si>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</si>
  <si>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</si>
  <si>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</si>
  <si>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</si>
  <si>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</si>
  <si>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</si>
  <si>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</si>
  <si>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</si>
  <si>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</si>
  <si>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</si>
  <si>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</si>
  <si>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</si>
  <si>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</si>
  <si>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</si>
  <si>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</si>
  <si>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</si>
  <si>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</si>
  <si>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</si>
  <si>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</si>
  <si>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UFG-M-53 от </t>
  </si>
  <si>
    <t xml:space="preserve"> 02.09.2025г.</t>
  </si>
  <si>
    <t>60A601KB/607135AA</t>
  </si>
  <si>
    <t xml:space="preserve">СПЕЦИФИКАЦИЯ № UFG-M-53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</si>
</sst>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160</v>
      </c>
      <c r="D1" s="154"/>
      <c r="E1" s="154"/>
      <c r="F1" s="153" t="s">
        <v>161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152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153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148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154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153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148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154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117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D24" s="25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896</v>
      </c>
      <c r="F30" s="110" t="s">
        <v>27</v>
      </c>
      <c r="G30" s="106">
        <v>23000</v>
      </c>
      <c r="H30" s="106">
        <v>21387</v>
      </c>
      <c r="I30" s="108">
        <v>0.25</v>
      </c>
      <c r="J30" s="13">
        <f t="shared" ref="J30" si="0">H30*I30</f>
        <v>5346.75</v>
      </c>
      <c r="K30" s="12">
        <v>0</v>
      </c>
      <c r="L30" s="12">
        <v>0</v>
      </c>
      <c r="M30" s="13">
        <f t="shared" ref="M30" si="1">J30</f>
        <v>5346.75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896</v>
      </c>
      <c r="F31" s="15"/>
      <c r="G31" s="64">
        <f>SUM(G30:G30)</f>
        <v>23000</v>
      </c>
      <c r="H31" s="64">
        <f>SUM(H30:H30)</f>
        <v>21387</v>
      </c>
      <c r="I31" s="102"/>
      <c r="J31" s="17">
        <f>SUM(J30:J30)</f>
        <v>5346.75</v>
      </c>
      <c r="K31" s="16"/>
      <c r="L31" s="16"/>
      <c r="M31" s="17">
        <f>SUM(M30:M30)</f>
        <v>5346.75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сорок шесть долларов США, 75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K39" sqref="K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UFG-M-53 от  02.09.2025г.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896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02.09.2025г.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60A601KB/607135AA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31" sqref="G31:H3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60A601KB/607135AA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02.09.2025г.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UFG-M-53 от  02.09.2025г.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896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896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163</v>
      </c>
      <c r="C1" s="171"/>
      <c r="D1" s="171"/>
      <c r="E1" s="171"/>
      <c r="F1" s="153" t="str">
        <f>+Инвойс!F1</f>
        <v xml:space="preserve"> 02.09.2025г.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60A601KB/607135AA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9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896</v>
      </c>
      <c r="F30" s="116" t="str">
        <f>+Инвойс!F30</f>
        <v>кг</v>
      </c>
      <c r="G30" s="106">
        <f>+Инвойс!G30</f>
        <v>23000</v>
      </c>
      <c r="H30" s="106">
        <f>+Инвойс!H30</f>
        <v>21387</v>
      </c>
      <c r="I30" s="108">
        <f>+Инвойс!I30</f>
        <v>0.25</v>
      </c>
      <c r="J30" s="13">
        <f>+Инвойс!J30</f>
        <v>5346.75</v>
      </c>
      <c r="K30" s="12">
        <v>0</v>
      </c>
      <c r="L30" s="12">
        <v>0</v>
      </c>
      <c r="M30" s="13">
        <f>+Инвойс!M30</f>
        <v>5346.75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896</v>
      </c>
      <c r="F31" s="15"/>
      <c r="G31" s="64">
        <f>SUM(G30:G30)</f>
        <v>23000</v>
      </c>
      <c r="H31" s="64">
        <f>SUM(H30:H30)</f>
        <v>21387</v>
      </c>
      <c r="I31" s="102"/>
      <c r="J31" s="17">
        <f>SUM(J30:J30)</f>
        <v>5346.75</v>
      </c>
      <c r="K31" s="16"/>
      <c r="L31" s="16"/>
      <c r="M31" s="17">
        <f>SUM(M30:M30)</f>
        <v>5346.75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сорок шесть долларов США, 75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5346.75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сорок шесть долларов США, 75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45902</v>
      </c>
      <c r="O3" s="178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сорок шесть долларов США, 75 центов. (в т.ч. НДС - 357,79)</v>
      </c>
      <c r="H4" s="32"/>
      <c r="I4" s="32"/>
      <c r="J4" s="32"/>
      <c r="K4" s="179" t="str">
        <f ca="1">CONCATENATE(" «  ",P3,"  »  ",Q3,"  ",R3," г.")</f>
        <v xml:space="preserve"> «  2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сорок шесть долларов США, 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сорок шесть долларов США, 75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сорок шесть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45902</v>
      </c>
    </row>
    <row r="13" spans="1:19" s="43" customFormat="1" x14ac:dyDescent="0.25">
      <c r="A13" s="49"/>
      <c r="D13" s="51"/>
      <c r="E13" s="52">
        <f>TRUNC(E2)</f>
        <v>5346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5346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346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2025-09-02T14:21:20Z</cp:lastPrinted>
  <dcterms:created xsi:type="dcterms:W3CDTF">1996-10-14T23:33:28Z</dcterms:created>
  <dcterms:modified xsi:type="dcterms:W3CDTF">2025-09-02T14:21:27Z</dcterms:modified>
</cp:coreProperties>
</file>