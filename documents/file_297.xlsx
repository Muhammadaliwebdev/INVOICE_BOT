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E09ECF5-6C6D-443E-8E0E-ED41F6F2F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<sst xmlns="http://schemas.openxmlformats.org/spreadsheetml/2006/main" count="216" uniqueCount="165">
  <si>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</si>
  <si>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</si>
  <si>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</si>
  <si>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</si>
  <si>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</si>
  <si>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</si>
  <si>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</si>
  <si>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</si>
  <si>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</si>
  <si>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</si>
  <si>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</si>
  <si>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</si>
  <si>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</si>
  <si>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</si>
  <si>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</si>
  <si>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</si>
  <si>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</si>
  <si>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</si>
  <si>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</si>
  <si>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</si>
  <si>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</si>
  <si>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</si>
  <si>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</si>
  <si>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</si>
  <si>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</si>
  <si>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</si>
  <si>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</si>
  <si>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</si>
  <si>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</si>
  <si>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</si>
  <si>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</si>
  <si>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</si>
  <si>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</si>
  <si>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</si>
  <si>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</si>
  <si>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</si>
  <si>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</si>
  <si>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</si>
  <si>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</si>
  <si>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</si>
  <si>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</si>
  <si>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</si>
  <si>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</si>
  <si>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</si>
  <si>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</si>
  <si>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</si>
  <si>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</si>
  <si>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</si>
  <si>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</si>
  <si>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</si>
  <si>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</si>
  <si>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</si>
  <si>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</si>
  <si>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</si>
  <si>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</si>
  <si>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</si>
  <si>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</si>
  <si>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</si>
  <si>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</si>
  <si>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</si>
  <si>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</si>
  <si>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</si>
  <si>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</si>
  <si>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</si>
  <si>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</si>
  <si>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</si>
  <si>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</si>
  <si>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</si>
  <si>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</si>
  <si>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</si>
  <si>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</si>
  <si>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</si>
  <si>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</si>
  <si>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</si>
  <si>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</si>
  <si>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</si>
  <si>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</si>
  <si>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</si>
  <si>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</si>
  <si>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</si>
  <si>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</si>
  <si>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</si>
  <si>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</si>
  <si>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</si>
  <si>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</si>
  <si>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</si>
  <si>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</si>
  <si>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</si>
  <si>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</si>
  <si>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</si>
  <si>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</si>
  <si>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</si>
  <si>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</si>
  <si>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</si>
  <si>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</si>
  <si>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</si>
  <si>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</si>
  <si>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</si>
  <si>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</si>
  <si>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</si>
  <si>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</si>
  <si>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</si>
  <si>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</si>
  <si>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</si>
  <si>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</si>
  <si>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</si>
  <si>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</si>
  <si>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</si>
  <si>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</si>
  <si>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</si>
  <si>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</si>
  <si>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</si>
  <si>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</si>
  <si>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</si>
  <si>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</si>
  <si>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</si>
  <si>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</si>
  <si>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</si>
  <si>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</si>
  <si>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</si>
  <si>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</si>
  <si>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</si>
  <si>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</si>
  <si>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</si>
  <si>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</si>
  <si>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</si>
  <si>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</si>
  <si>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</si>
  <si>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</si>
  <si>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</si>
  <si>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</si>
  <si>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</si>
  <si>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</si>
  <si>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</si>
  <si>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</si>
  <si>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</si>
  <si>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</si>
  <si>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</si>
  <si>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</si>
  <si>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</si>
  <si>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</si>
  <si>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</si>
  <si>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</si>
  <si>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</si>
  <si>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</si>
  <si>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</si>
  <si>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</si>
  <si>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</si>
  <si>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</si>
  <si>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</si>
  <si>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</si>
  <si>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</si>
  <si>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</si>
  <si>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</si>
  <si>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</si>
  <si>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</si>
  <si>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</si>
  <si>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</si>
  <si>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</si>
  <si>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</si>
  <si>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</si>
  <si>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EXG-F-24 от </t>
  </si>
  <si>
    <t xml:space="preserve"> 30.08.2025г.</t>
  </si>
  <si>
    <t xml:space="preserve">СПЕЦИФИКАЦИЯ № EXG-F-24 от </t>
  </si>
  <si>
    <t>30D501WA/304309AA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</si>
</sst>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37</xdr:row>
      <xdr:rowOff>44824</xdr:rowOff>
    </xdr:from>
    <xdr:to>
      <xdr:col>9</xdr:col>
      <xdr:colOff>578784</xdr:colOff>
      <xdr:row>48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161</v>
      </c>
      <c r="D1" s="135"/>
      <c r="E1" s="135"/>
      <c r="F1" s="134" t="s">
        <v>162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150</v>
      </c>
      <c r="B5" s="136"/>
      <c r="C5" s="136"/>
      <c r="D5" s="136"/>
      <c r="E5" s="136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151</v>
      </c>
      <c r="B6" s="143"/>
      <c r="C6" s="143"/>
      <c r="D6" s="143"/>
      <c r="E6" s="143"/>
      <c r="F6" s="7"/>
      <c r="G6" s="140" t="s">
        <v>142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152</v>
      </c>
      <c r="B7" s="143"/>
      <c r="C7" s="143"/>
      <c r="D7" s="143"/>
      <c r="E7" s="143"/>
      <c r="F7" s="63"/>
      <c r="G7" s="140" t="s">
        <v>143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140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157</v>
      </c>
      <c r="B12" s="8"/>
      <c r="C12" s="8"/>
      <c r="D12" s="8"/>
      <c r="E12" s="8"/>
      <c r="F12" s="7"/>
      <c r="G12" s="139" t="s">
        <v>147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150</v>
      </c>
      <c r="B14" s="136"/>
      <c r="C14" s="136"/>
      <c r="D14" s="136"/>
      <c r="E14" s="136"/>
      <c r="F14" s="6"/>
      <c r="G14" s="138" t="s">
        <v>141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151</v>
      </c>
      <c r="B15" s="143"/>
      <c r="C15" s="143"/>
      <c r="D15" s="143"/>
      <c r="E15" s="143"/>
      <c r="F15" s="7"/>
      <c r="G15" s="140" t="s">
        <v>142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152</v>
      </c>
      <c r="B16" s="143"/>
      <c r="C16" s="143"/>
      <c r="D16" s="143"/>
      <c r="E16" s="143"/>
      <c r="F16" s="63"/>
      <c r="G16" s="140" t="s">
        <v>143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144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145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140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146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157</v>
      </c>
      <c r="B21" s="8"/>
      <c r="C21" s="8"/>
      <c r="D21" s="8"/>
      <c r="E21" s="8"/>
      <c r="G21" s="139" t="s">
        <v>147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160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139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164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124</v>
      </c>
      <c r="D30" s="109" t="s">
        <v>113</v>
      </c>
      <c r="E30" s="101">
        <v>880</v>
      </c>
      <c r="F30" s="110" t="s">
        <v>27</v>
      </c>
      <c r="G30" s="106">
        <v>7392</v>
      </c>
      <c r="H30" s="106">
        <v>6160</v>
      </c>
      <c r="I30" s="108">
        <v>1</v>
      </c>
      <c r="J30" s="13">
        <f t="shared" ref="J30:J31" si="0">H30*I30</f>
        <v>6160</v>
      </c>
      <c r="K30" s="12">
        <v>0</v>
      </c>
      <c r="L30" s="12">
        <v>0</v>
      </c>
      <c r="M30" s="13">
        <f t="shared" ref="M30:M31" si="1">J30</f>
        <v>6160</v>
      </c>
      <c r="O30" s="100"/>
      <c r="Q30" s="100"/>
    </row>
    <row r="31" spans="1:17" ht="27.6" x14ac:dyDescent="0.25">
      <c r="A31" s="127">
        <v>2</v>
      </c>
      <c r="B31" s="101" t="s">
        <v>125</v>
      </c>
      <c r="C31" s="107" t="s">
        <v>124</v>
      </c>
      <c r="D31" s="109" t="s">
        <v>111</v>
      </c>
      <c r="E31" s="101">
        <v>2350</v>
      </c>
      <c r="F31" s="116" t="s">
        <v>27</v>
      </c>
      <c r="G31" s="106">
        <v>15275</v>
      </c>
      <c r="H31" s="106">
        <v>13630</v>
      </c>
      <c r="I31" s="108">
        <v>1</v>
      </c>
      <c r="J31" s="13">
        <f t="shared" si="0"/>
        <v>13630</v>
      </c>
      <c r="K31" s="12">
        <v>0</v>
      </c>
      <c r="L31" s="12">
        <v>0</v>
      </c>
      <c r="M31" s="13">
        <f t="shared" si="1"/>
        <v>13630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3230</v>
      </c>
      <c r="F32" s="15"/>
      <c r="G32" s="64">
        <f>SUM(G30:G31)</f>
        <v>22667</v>
      </c>
      <c r="H32" s="64">
        <f>SUM(H30:H31)</f>
        <v>19790</v>
      </c>
      <c r="I32" s="102"/>
      <c r="J32" s="17">
        <f>SUM(J30:J31)</f>
        <v>19790</v>
      </c>
      <c r="K32" s="16"/>
      <c r="L32" s="16"/>
      <c r="M32" s="17">
        <f>SUM(M30:M31)</f>
        <v>19790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Девятнадцать тысяч семьсот девяносто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3.8" x14ac:dyDescent="0.25">
      <c r="A37" s="7" t="s">
        <v>28</v>
      </c>
      <c r="B37" s="7"/>
      <c r="D37" s="25" t="s">
        <v>158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C39" sqref="C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132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EXG-F-24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880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7392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2350</v>
      </c>
      <c r="D31" s="103" t="str">
        <f>+Инвойс!D31</f>
        <v>Пласт.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15275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30D501WA/304309AA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J34" sqref="J3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30D501WA/304309AA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EXG-F-24 от  30.08.2025г.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880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7392</v>
      </c>
    </row>
    <row r="20" spans="2:10" ht="13.5" customHeight="1" x14ac:dyDescent="0.3">
      <c r="B20" s="83"/>
      <c r="E20" s="123"/>
      <c r="F20" s="118">
        <f>+Инвойс!E31</f>
        <v>2350</v>
      </c>
      <c r="G20" s="167" t="str">
        <f>+CMR!F31</f>
        <v>Виноград свежий столовых сортов</v>
      </c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Пласт. ящик</v>
      </c>
      <c r="G21" s="161" t="str">
        <f>+Инвойс!C31</f>
        <v>0806101001</v>
      </c>
      <c r="H21" s="162"/>
      <c r="I21" s="122" t="s">
        <v>103</v>
      </c>
      <c r="J21" s="120">
        <f>+Инвойс!G31</f>
        <v>15275</v>
      </c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3230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3" zoomScale="85" zoomScaleNormal="85" workbookViewId="0">
      <selection activeCell="C36" sqref="C3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30.08.2025г.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127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116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30D501WA/304309AA</v>
      </c>
      <c r="F26" s="156"/>
      <c r="G26" s="156"/>
      <c r="J26" s="21"/>
    </row>
    <row r="27" spans="1:17" ht="34.5" customHeight="1" x14ac:dyDescent="0.25">
      <c r="A27" s="67" t="s">
        <v>128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880</v>
      </c>
      <c r="F30" s="116" t="str">
        <f>+Инвойс!F30</f>
        <v>кг</v>
      </c>
      <c r="G30" s="106">
        <f>+Инвойс!G30</f>
        <v>7392</v>
      </c>
      <c r="H30" s="106">
        <f>+Инвойс!H30</f>
        <v>6160</v>
      </c>
      <c r="I30" s="108">
        <f>+Инвойс!I30</f>
        <v>1</v>
      </c>
      <c r="J30" s="13">
        <f>+Инвойс!J30</f>
        <v>6160</v>
      </c>
      <c r="K30" s="12">
        <v>0</v>
      </c>
      <c r="L30" s="12">
        <v>0</v>
      </c>
      <c r="M30" s="13">
        <f>+Инвойс!M30</f>
        <v>6160</v>
      </c>
      <c r="O30" s="100"/>
      <c r="Q30" s="100"/>
    </row>
    <row r="31" spans="1:17" ht="27.6" x14ac:dyDescent="0.25">
      <c r="A31" s="127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Пласт. ящик</v>
      </c>
      <c r="E31" s="101">
        <f>+Инвойс!E31</f>
        <v>2350</v>
      </c>
      <c r="F31" s="116" t="str">
        <f>+Инвойс!F31</f>
        <v>кг</v>
      </c>
      <c r="G31" s="106">
        <f>+Инвойс!G31</f>
        <v>15275</v>
      </c>
      <c r="H31" s="106">
        <f>+Инвойс!H31</f>
        <v>13630</v>
      </c>
      <c r="I31" s="108">
        <f>+Инвойс!I31</f>
        <v>1</v>
      </c>
      <c r="J31" s="13">
        <f>+Инвойс!J31</f>
        <v>13630</v>
      </c>
      <c r="K31" s="12">
        <v>0</v>
      </c>
      <c r="L31" s="12">
        <v>0</v>
      </c>
      <c r="M31" s="13">
        <f>+Инвойс!M31</f>
        <v>13630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3230</v>
      </c>
      <c r="F32" s="15"/>
      <c r="G32" s="64">
        <f>SUM(G30:G31)</f>
        <v>22667</v>
      </c>
      <c r="H32" s="64">
        <f>SUM(H30:H31)</f>
        <v>19790</v>
      </c>
      <c r="I32" s="102"/>
      <c r="J32" s="17">
        <f>SUM(J30:J31)</f>
        <v>19790</v>
      </c>
      <c r="K32" s="16"/>
      <c r="L32" s="16"/>
      <c r="M32" s="17">
        <f>SUM(M30:M31)</f>
        <v>19790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Девятнадцать тысяч семьсот девяносто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6" x14ac:dyDescent="0.3">
      <c r="A37" s="131" t="s">
        <v>159</v>
      </c>
      <c r="B37" s="131"/>
      <c r="D37" s="18" t="str">
        <f>+Инвойс!D37</f>
        <v>АБДИЛАКИМОВ А.А</v>
      </c>
      <c r="E37" s="132"/>
      <c r="G37" s="129" t="s">
        <v>131</v>
      </c>
      <c r="H37" s="18" t="str">
        <f>Инвойс!G5</f>
        <v>ООО «ГРИН ВОРЛД»</v>
      </c>
      <c r="K37" s="133" t="s">
        <v>148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117</v>
      </c>
    </row>
    <row r="3" spans="1:10" ht="52.8" x14ac:dyDescent="0.25">
      <c r="A3" s="130" t="s">
        <v>129</v>
      </c>
    </row>
    <row r="5" spans="1:10" ht="39.6" x14ac:dyDescent="0.25">
      <c r="A5" s="126" t="s">
        <v>118</v>
      </c>
    </row>
    <row r="6" spans="1:10" x14ac:dyDescent="0.25">
      <c r="E6" s="18" t="s">
        <v>130</v>
      </c>
      <c r="J6" s="25" t="s">
        <v>133</v>
      </c>
    </row>
    <row r="7" spans="1:10" ht="52.8" x14ac:dyDescent="0.25">
      <c r="A7" s="126" t="s">
        <v>119</v>
      </c>
    </row>
    <row r="8" spans="1:10" x14ac:dyDescent="0.25">
      <c r="E8" s="18" t="s">
        <v>139</v>
      </c>
      <c r="J8" s="25" t="s">
        <v>134</v>
      </c>
    </row>
    <row r="9" spans="1:10" ht="52.8" x14ac:dyDescent="0.25">
      <c r="A9" s="126" t="s">
        <v>120</v>
      </c>
    </row>
    <row r="10" spans="1:10" x14ac:dyDescent="0.25">
      <c r="A10" s="126"/>
      <c r="E10" s="18" t="s">
        <v>135</v>
      </c>
      <c r="J10" s="25" t="s">
        <v>136</v>
      </c>
    </row>
    <row r="11" spans="1:10" ht="52.8" x14ac:dyDescent="0.25">
      <c r="A11" s="126" t="s">
        <v>160</v>
      </c>
    </row>
    <row r="12" spans="1:10" x14ac:dyDescent="0.25">
      <c r="E12" s="18" t="s">
        <v>137</v>
      </c>
      <c r="J12" s="25" t="s">
        <v>138</v>
      </c>
    </row>
    <row r="13" spans="1:10" ht="52.8" x14ac:dyDescent="0.25">
      <c r="A13" s="126" t="s">
        <v>121</v>
      </c>
    </row>
    <row r="15" spans="1:10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126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19790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Девятнадцать тысяч семьсот девяносто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Девятнадцать тысяч семьсот девяносто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девятнадцать тысяч семьсот девяносто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девятнадцать тысяч семьсот девяносто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девяносто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19790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5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197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1979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19790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790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2025-08-30T14:02:40Z</cp:lastPrinted>
  <dcterms:created xsi:type="dcterms:W3CDTF">1996-10-14T23:33:28Z</dcterms:created>
  <dcterms:modified xsi:type="dcterms:W3CDTF">2025-08-30T14:03:25Z</dcterms:modified>
</cp:coreProperties>
</file>