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<sst xmlns="http://schemas.openxmlformats.org/spreadsheetml/2006/main" count="209" uniqueCount="163">
  <si>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</si>
  <si>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</si>
  <si>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</si>
  <si>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</si>
  <si>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</si>
  <si>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</si>
  <si>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</si>
  <si>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</si>
  <si>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</si>
  <si>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</si>
  <si>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</si>
  <si>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</si>
  <si>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</si>
  <si>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</si>
  <si>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</si>
  <si>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</si>
  <si>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</si>
  <si>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</si>
  <si>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</si>
  <si>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</si>
  <si>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</si>
  <si>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</si>
  <si>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</si>
  <si>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</si>
  <si>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</si>
  <si>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</si>
  <si>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</si>
  <si>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</si>
  <si>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</si>
  <si>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</si>
  <si>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</si>
  <si>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</si>
  <si>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</si>
  <si>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</si>
  <si>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</si>
  <si>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</si>
  <si>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</si>
  <si>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</si>
  <si>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</si>
  <si>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</si>
  <si>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</si>
  <si>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</si>
  <si>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</si>
  <si>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</si>
  <si>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</si>
  <si>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</si>
  <si>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</si>
  <si>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</si>
  <si>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</si>
  <si>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</si>
  <si>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</si>
  <si>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</si>
  <si>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</si>
  <si>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</si>
  <si>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</si>
  <si>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</si>
  <si>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</si>
  <si>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</si>
  <si>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</si>
  <si>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</si>
  <si>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</si>
  <si>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</si>
  <si>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</si>
  <si>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</si>
  <si>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</si>
  <si>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</si>
  <si>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</si>
  <si>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</si>
  <si>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</si>
  <si>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</si>
  <si>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</si>
  <si>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</si>
  <si>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</si>
  <si>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</si>
  <si>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</si>
  <si>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</si>
  <si>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</si>
  <si>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</si>
  <si>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</si>
  <si>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</si>
  <si>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</si>
  <si>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</si>
  <si>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</si>
  <si>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</si>
  <si>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</si>
  <si>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</si>
  <si>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</si>
  <si>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</si>
  <si>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</si>
  <si>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</si>
  <si>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</si>
  <si>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</si>
  <si>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</si>
  <si>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</si>
  <si>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</si>
  <si>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</si>
  <si>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</si>
  <si>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</si>
  <si>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</si>
  <si>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</si>
  <si>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</si>
  <si>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</si>
  <si>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</si>
  <si>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</si>
  <si>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</si>
  <si>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</si>
  <si>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</si>
  <si>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</si>
  <si>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</si>
  <si>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</si>
  <si>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</si>
  <si>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</si>
  <si>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</si>
  <si>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</si>
  <si>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</si>
  <si>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</si>
  <si>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</si>
  <si>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</si>
  <si>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</si>
  <si>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</si>
  <si>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</si>
  <si>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</si>
  <si>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</si>
  <si>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</si>
  <si>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</si>
  <si>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</si>
  <si>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</si>
  <si>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</si>
  <si>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</si>
  <si>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</si>
  <si>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</si>
  <si>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</si>
  <si>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</si>
  <si>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</si>
  <si>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</si>
  <si>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</si>
  <si>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</si>
  <si>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</si>
  <si>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</si>
  <si>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</si>
  <si>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</si>
  <si>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</si>
  <si>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</si>
  <si>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</si>
  <si>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</si>
  <si>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</si>
  <si>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</si>
  <si>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</si>
  <si>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</si>
  <si>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</si>
  <si>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</si>
  <si>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</si>
  <si>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</si>
  <si>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</si>
  <si>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</si>
  <si>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</si>
  <si>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</si>
  <si>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</si>
  <si>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</si>
  <si>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 28.08.2025г.</t>
  </si>
  <si>
    <t>10M018CB/102527BA</t>
  </si>
  <si>
    <t xml:space="preserve">СПЕЦИФИКАЦИЯ № PLG-A-18 от </t>
  </si>
  <si>
    <t xml:space="preserve">ИНВОЙС № PLG-A-18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</si>
</sst>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3" t="s">
        <v>162</v>
      </c>
      <c r="D1" s="153"/>
      <c r="E1" s="153"/>
      <c r="F1" s="152" t="s">
        <v>159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">
        <v>150</v>
      </c>
      <c r="B5" s="154"/>
      <c r="C5" s="154"/>
      <c r="D5" s="154"/>
      <c r="E5" s="154"/>
      <c r="F5" s="6"/>
      <c r="G5" s="147" t="s">
        <v>140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151</v>
      </c>
      <c r="B6" s="141"/>
      <c r="C6" s="141"/>
      <c r="D6" s="141"/>
      <c r="E6" s="141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1" t="s">
        <v>152</v>
      </c>
      <c r="B7" s="141"/>
      <c r="C7" s="141"/>
      <c r="D7" s="141"/>
      <c r="E7" s="141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155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">
        <v>150</v>
      </c>
      <c r="B14" s="154"/>
      <c r="C14" s="154"/>
      <c r="D14" s="154"/>
      <c r="E14" s="154"/>
      <c r="F14" s="6"/>
      <c r="G14" s="147" t="s">
        <v>140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">
        <v>151</v>
      </c>
      <c r="B15" s="141"/>
      <c r="C15" s="141"/>
      <c r="D15" s="141"/>
      <c r="E15" s="141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1" t="s">
        <v>152</v>
      </c>
      <c r="B16" s="141"/>
      <c r="C16" s="141"/>
      <c r="D16" s="141"/>
      <c r="E16" s="141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155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7" t="s">
        <v>128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">
        <v>160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1000</v>
      </c>
      <c r="F30" s="115" t="s">
        <v>27</v>
      </c>
      <c r="G30" s="106">
        <v>22900</v>
      </c>
      <c r="H30" s="106">
        <v>21100</v>
      </c>
      <c r="I30" s="108">
        <v>0.25</v>
      </c>
      <c r="J30" s="13">
        <f t="shared" ref="J30" si="0">H30*I30</f>
        <v>5275</v>
      </c>
      <c r="K30" s="12">
        <v>0</v>
      </c>
      <c r="L30" s="12">
        <v>0</v>
      </c>
      <c r="M30" s="13">
        <f t="shared" ref="M30" si="1">J30</f>
        <v>5275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22900</v>
      </c>
      <c r="H31" s="64">
        <f>SUM(H30:H30)</f>
        <v>21100</v>
      </c>
      <c r="I31" s="102"/>
      <c r="J31" s="17">
        <f>SUM(J30:J30)</f>
        <v>5275</v>
      </c>
      <c r="K31" s="16"/>
      <c r="L31" s="16"/>
      <c r="M31" s="17">
        <f>SUM(M30:M30)</f>
        <v>5275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двести семьдесят пять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28.08.2025г.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PLG-A-18 от  28.08.2025г.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28.08.2025г.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10M018CB/102527BA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7" t="s">
        <v>96</v>
      </c>
      <c r="C2" s="167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8" t="str">
        <f>+Инвойс!E26</f>
        <v>10M018CB/102527BA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28.08.2025г.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PLG-A-18 от  28.08.2025г.</v>
      </c>
      <c r="I15" s="170"/>
      <c r="J15" s="170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1000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22900</v>
      </c>
    </row>
    <row r="20" spans="2:10" ht="13.5" customHeight="1" x14ac:dyDescent="0.25">
      <c r="B20" s="83"/>
      <c r="E20" s="122"/>
      <c r="F20" s="117"/>
      <c r="G20" s="162"/>
      <c r="H20" s="162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2"/>
      <c r="H22" s="162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2"/>
      <c r="H24" s="162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2"/>
      <c r="H26" s="162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2"/>
      <c r="H28" s="162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2"/>
      <c r="H30" s="162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2"/>
      <c r="H32" s="162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2"/>
      <c r="H34" s="162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2"/>
      <c r="H36" s="162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2"/>
      <c r="H38" s="162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2"/>
      <c r="H42" s="162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4"/>
      <c r="H44" s="164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5">
        <f>+F18+F20+F22+F24+F26+F28+F30+F32+F34+F36+F38+F40+F42</f>
        <v>1000</v>
      </c>
      <c r="E47" s="166"/>
    </row>
    <row r="48" spans="2:10" ht="17.25" customHeight="1" x14ac:dyDescent="0.25">
      <c r="B48" s="163" t="s">
        <v>105</v>
      </c>
      <c r="C48" s="163"/>
      <c r="D48" s="163"/>
      <c r="E48" s="163"/>
    </row>
    <row r="49" spans="2:5" ht="21.75" customHeight="1" x14ac:dyDescent="0.25">
      <c r="B49" s="163"/>
      <c r="C49" s="163"/>
      <c r="D49" s="163"/>
      <c r="E49" s="163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161</v>
      </c>
      <c r="C1" s="171"/>
      <c r="D1" s="171"/>
      <c r="E1" s="171"/>
      <c r="F1" s="152" t="str">
        <f>+Инвойс!F1</f>
        <v xml:space="preserve"> 28.08.2025г.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tr">
        <f>+Инвойс!C2</f>
        <v>к контракту № GR-POL-01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tr">
        <f>+Инвойс!A5</f>
        <v>ООО «POLARIUM»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 x14ac:dyDescent="0.25">
      <c r="A6" s="142" t="str">
        <f>+Инвойс!A6</f>
        <v>Республика Узбекистан. Ташкентская область, Бекабадский район,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махалля Зафар, Гулистан МФЙ, улица Мустакиллик, дом 1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«TURON BANK» МФО 00446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в/с: 20208840907287520001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SWIFT: TURONUZ22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ИНН: 312302455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tr">
        <f>+Инвойс!A14</f>
        <v>ООО «POLARIUM»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tr">
        <f>+Инвойс!A15</f>
        <v>Республика Узбекистан. Ташкентская область, Бекабадский район,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махалля Зафар, Гулистан МФЙ, улица Мустакиллик, дом 1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«TURON BANK» МФО 00446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в/с: 20208840907287520001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SWIFT: TURONUZ22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ИНН: 312302455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tr">
        <f>+Инвойс!E26</f>
        <v>10M018CB/102527BA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1.5" customHeight="1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1000</v>
      </c>
      <c r="F30" s="115" t="str">
        <f>+Инвойс!F30</f>
        <v>кг</v>
      </c>
      <c r="G30" s="106">
        <f>+Инвойс!G30</f>
        <v>22900</v>
      </c>
      <c r="H30" s="106">
        <f>+Инвойс!H30</f>
        <v>21100</v>
      </c>
      <c r="I30" s="108">
        <f>+Инвойс!I30</f>
        <v>0.25</v>
      </c>
      <c r="J30" s="13">
        <f>+Инвойс!J30</f>
        <v>5275</v>
      </c>
      <c r="K30" s="12">
        <v>0</v>
      </c>
      <c r="L30" s="12">
        <v>0</v>
      </c>
      <c r="M30" s="13">
        <f>+Инвойс!M30</f>
        <v>5275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22900</v>
      </c>
      <c r="H31" s="64">
        <f>SUM(H30:H30)</f>
        <v>21100</v>
      </c>
      <c r="I31" s="102"/>
      <c r="J31" s="17">
        <f>SUM(J30:J30)</f>
        <v>5275</v>
      </c>
      <c r="K31" s="16"/>
      <c r="L31" s="16"/>
      <c r="M31" s="17">
        <f>SUM(M30:M30)</f>
        <v>5275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двести семьдесят пять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0" t="s">
        <v>158</v>
      </c>
      <c r="B36" s="130"/>
      <c r="D36" s="18" t="str">
        <f>+Инвойс!D36</f>
        <v>Юнусов Х.Р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148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5275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двести семьдесят пять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45897</v>
      </c>
      <c r="O3" s="177"/>
      <c r="P3">
        <f ca="1">DAY(N3)</f>
        <v>28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двести семьдесят пять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28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двести семьдесят пять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двести семьдесят пять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семьдесят пять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45897</v>
      </c>
    </row>
    <row r="13" spans="1:19" s="43" customFormat="1" x14ac:dyDescent="0.2">
      <c r="A13" s="49"/>
      <c r="D13" s="51"/>
      <c r="E13" s="52">
        <f>TRUNC(E2)</f>
        <v>5275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527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">
      <c r="A29" s="54">
        <f>E13</f>
        <v>5275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275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2025-08-28T12:40:49Z</cp:lastPrinted>
  <dcterms:created xsi:type="dcterms:W3CDTF">1996-10-14T23:33:28Z</dcterms:created>
  <dcterms:modified xsi:type="dcterms:W3CDTF">2025-08-28T12:40:50Z</dcterms:modified>
</cp:coreProperties>
</file>