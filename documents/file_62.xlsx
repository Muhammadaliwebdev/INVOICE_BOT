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<sst xmlns="http://schemas.openxmlformats.org/spreadsheetml/2006/main" count="209" uniqueCount="163">
  <si>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</si>
  <si>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</si>
  <si>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</si>
  <si>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</si>
  <si>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</si>
  <si>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</si>
  <si>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</si>
  <si>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</si>
  <si>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</si>
  <si>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</si>
  <si>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</si>
  <si>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</si>
  <si>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</si>
  <si>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</si>
  <si>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</si>
  <si>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</si>
  <si>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</si>
  <si>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</si>
  <si>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</si>
  <si>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</si>
  <si>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</si>
  <si>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</si>
  <si>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</si>
  <si>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</si>
  <si>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</si>
  <si>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</si>
  <si>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</si>
  <si>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</si>
  <si>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</si>
  <si>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</si>
  <si>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</si>
  <si>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</si>
  <si>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</si>
  <si>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</si>
  <si>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</si>
  <si>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</si>
  <si>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</si>
  <si>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</si>
  <si>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</si>
  <si>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</si>
  <si>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</si>
  <si>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</si>
  <si>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</si>
  <si>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</si>
  <si>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</si>
  <si>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</si>
  <si>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</si>
  <si>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</si>
  <si>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</si>
  <si>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</si>
  <si>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</si>
  <si>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</si>
  <si>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</si>
  <si>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</si>
  <si>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</si>
  <si>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</si>
  <si>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</si>
  <si>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</si>
  <si>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</si>
  <si>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</si>
  <si>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</si>
  <si>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</si>
  <si>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</si>
  <si>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</si>
  <si>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</si>
  <si>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</si>
  <si>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</si>
  <si>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</si>
  <si>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</si>
  <si>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</si>
  <si>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</si>
  <si>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</si>
  <si>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</si>
  <si>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</si>
  <si>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</si>
  <si>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</si>
  <si>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</si>
  <si>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</si>
  <si>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</si>
  <si>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</si>
  <si>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</si>
  <si>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</si>
  <si>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</si>
  <si>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</si>
  <si>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</si>
  <si>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</si>
  <si>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</si>
  <si>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</si>
  <si>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</si>
  <si>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</si>
  <si>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</si>
  <si>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</si>
  <si>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</si>
  <si>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</si>
  <si>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</si>
  <si>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</si>
  <si>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</si>
  <si>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</si>
  <si>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</si>
  <si>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</si>
  <si>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</si>
  <si>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</si>
  <si>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</si>
  <si>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</si>
  <si>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</si>
  <si>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</si>
  <si>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</si>
  <si>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</si>
  <si>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</si>
  <si>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</si>
  <si>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</si>
  <si>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</si>
  <si>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</si>
  <si>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</si>
  <si>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</si>
  <si>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</si>
  <si>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</si>
  <si>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</si>
  <si>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</si>
  <si>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</si>
  <si>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</si>
  <si>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</si>
  <si>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</si>
  <si>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</si>
  <si>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</si>
  <si>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</si>
  <si>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</si>
  <si>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</si>
  <si>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</si>
  <si>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</si>
  <si>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</si>
  <si>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</si>
  <si>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</si>
  <si>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</si>
  <si>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</si>
  <si>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</si>
  <si>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</si>
  <si>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</si>
  <si>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</si>
  <si>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</si>
  <si>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</si>
  <si>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</si>
  <si>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</si>
  <si>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</si>
  <si>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</si>
  <si>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</si>
  <si>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</si>
  <si>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</si>
  <si>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</si>
  <si>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</si>
  <si>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</si>
  <si>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</si>
  <si>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</si>
  <si>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</si>
  <si>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</si>
  <si>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</si>
  <si>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</si>
  <si>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</si>
  <si>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</si>
  <si>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PLG-A-7 от </t>
  </si>
  <si>
    <t xml:space="preserve"> 26.08.2025г.</t>
  </si>
  <si>
    <t>30058DBA/304311AA</t>
  </si>
  <si>
    <t xml:space="preserve">СПЕЦИФИКАЦИЯ № PLG-A-7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</si>
</sst>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Normal="10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159</v>
      </c>
      <c r="D1" s="134"/>
      <c r="E1" s="134"/>
      <c r="F1" s="133" t="s">
        <v>160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149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150</v>
      </c>
      <c r="B5" s="135"/>
      <c r="C5" s="135"/>
      <c r="D5" s="135"/>
      <c r="E5" s="135"/>
      <c r="F5" s="6"/>
      <c r="G5" s="137" t="s">
        <v>140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151</v>
      </c>
      <c r="B6" s="142"/>
      <c r="C6" s="142"/>
      <c r="D6" s="142"/>
      <c r="E6" s="142"/>
      <c r="F6" s="7"/>
      <c r="G6" s="139" t="s">
        <v>141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152</v>
      </c>
      <c r="B7" s="142"/>
      <c r="C7" s="142"/>
      <c r="D7" s="142"/>
      <c r="E7" s="142"/>
      <c r="F7" s="63"/>
      <c r="G7" s="139" t="s">
        <v>142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155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146</v>
      </c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150</v>
      </c>
      <c r="B14" s="135"/>
      <c r="C14" s="135"/>
      <c r="D14" s="135"/>
      <c r="E14" s="135"/>
      <c r="F14" s="6"/>
      <c r="G14" s="137" t="s">
        <v>140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151</v>
      </c>
      <c r="B15" s="142"/>
      <c r="C15" s="142"/>
      <c r="D15" s="142"/>
      <c r="E15" s="142"/>
      <c r="F15" s="7"/>
      <c r="G15" s="139" t="s">
        <v>141</v>
      </c>
      <c r="H15" s="139"/>
      <c r="I15" s="139"/>
      <c r="J15" s="139"/>
      <c r="K15" s="139"/>
      <c r="L15" s="139"/>
      <c r="M15" s="139"/>
    </row>
    <row r="16" spans="1:15" ht="15" x14ac:dyDescent="0.25">
      <c r="A16" s="142" t="s">
        <v>152</v>
      </c>
      <c r="B16" s="142"/>
      <c r="C16" s="142"/>
      <c r="D16" s="142"/>
      <c r="E16" s="142"/>
      <c r="F16" s="63"/>
      <c r="G16" s="139" t="s">
        <v>142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155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8" t="s">
        <v>146</v>
      </c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118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960</v>
      </c>
      <c r="F30" s="115" t="s">
        <v>27</v>
      </c>
      <c r="G30" s="106">
        <v>23000</v>
      </c>
      <c r="H30" s="106">
        <v>21272</v>
      </c>
      <c r="I30" s="108">
        <v>0.25</v>
      </c>
      <c r="J30" s="13">
        <f t="shared" ref="J30" si="0">H30*I30</f>
        <v>5318</v>
      </c>
      <c r="K30" s="12">
        <v>0</v>
      </c>
      <c r="L30" s="12">
        <v>0</v>
      </c>
      <c r="M30" s="13">
        <f t="shared" ref="M30" si="1">J30</f>
        <v>5318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960</v>
      </c>
      <c r="F31" s="15"/>
      <c r="G31" s="64">
        <f>SUM(G30:G30)</f>
        <v>23000</v>
      </c>
      <c r="H31" s="64">
        <f>SUM(H30:H30)</f>
        <v>21272</v>
      </c>
      <c r="I31" s="102"/>
      <c r="J31" s="17">
        <f>SUM(J30:J30)</f>
        <v>5318</v>
      </c>
      <c r="K31" s="16"/>
      <c r="L31" s="16"/>
      <c r="M31" s="17">
        <f>SUM(M30:M30)</f>
        <v>5318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восемнадцать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26.08.2025г.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PLG-A-7 от  26.08.2025г.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960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26.08.2025г.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30058DBA/304311AA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30058DBA/304311AA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26.08.2025г.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PLG-A-7 от  26.08.2025г.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960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25">
      <c r="B20" s="83"/>
      <c r="E20" s="122"/>
      <c r="F20" s="117"/>
      <c r="G20" s="166"/>
      <c r="H20" s="166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960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162</v>
      </c>
      <c r="C1" s="173"/>
      <c r="D1" s="173"/>
      <c r="E1" s="173"/>
      <c r="F1" s="133" t="str">
        <f>+Инвойс!F1</f>
        <v xml:space="preserve"> 26.08.2025г.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GR-POL-01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ООО «POLARIUM»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 x14ac:dyDescent="0.25">
      <c r="A6" s="141" t="str">
        <f>+Инвойс!A6</f>
        <v>Республика Узбекистан. Ташкентская область, Бекабадский район,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41" t="str">
        <f>+Инвойс!A7</f>
        <v>махалля Зафар, Гулистан МФЙ, улица Мустакиллик, дом 1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«TURON BANK» МФО 00446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41" t="str">
        <f>+Инвойс!A9</f>
        <v>в/с: 20208840907287520001 (доллар США)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41" t="str">
        <f>+Инвойс!A10</f>
        <v>SWIFT: TURONUZ22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41" t="str">
        <f>+Инвойс!A11</f>
        <v>ИНН: 312302455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ООО «POLARIUM»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tr">
        <f>+Инвойс!A15</f>
        <v>Республика Узбекистан. Ташкентская область, Бекабадский район,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41" t="str">
        <f>+Инвойс!A16</f>
        <v>махалля Зафар, Гулистан МФЙ, улица Мустакиллик, дом 1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«TURON BANK» МФО 00446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41" t="str">
        <f>+Инвойс!A18</f>
        <v>в/с: 20208840907287520001 (доллар США)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41" t="str">
        <f>+Инвойс!A19</f>
        <v>SWIFT: TURONUZ22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41" t="str">
        <f>+Инвойс!A20</f>
        <v>ИНН: 312302455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30058DBA/304311AA</v>
      </c>
      <c r="F26" s="155"/>
      <c r="G26" s="155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customHeight="1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960</v>
      </c>
      <c r="F30" s="115" t="str">
        <f>+Инвойс!F30</f>
        <v>кг</v>
      </c>
      <c r="G30" s="106">
        <f>+Инвойс!G30</f>
        <v>23000</v>
      </c>
      <c r="H30" s="106">
        <f>+Инвойс!H30</f>
        <v>21272</v>
      </c>
      <c r="I30" s="108">
        <f>+Инвойс!I30</f>
        <v>0.25</v>
      </c>
      <c r="J30" s="13">
        <f>+Инвойс!J30</f>
        <v>5318</v>
      </c>
      <c r="K30" s="12">
        <v>0</v>
      </c>
      <c r="L30" s="12">
        <v>0</v>
      </c>
      <c r="M30" s="13">
        <f>+Инвойс!M30</f>
        <v>5318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960</v>
      </c>
      <c r="F31" s="15"/>
      <c r="G31" s="64">
        <f>SUM(G30:G30)</f>
        <v>23000</v>
      </c>
      <c r="H31" s="64">
        <f>SUM(H30:H30)</f>
        <v>21272</v>
      </c>
      <c r="I31" s="102"/>
      <c r="J31" s="17">
        <f>SUM(J30:J30)</f>
        <v>5318</v>
      </c>
      <c r="K31" s="16"/>
      <c r="L31" s="16"/>
      <c r="M31" s="17">
        <f>SUM(M30:M30)</f>
        <v>5318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восемнадцать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Юнусов Х.Р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148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5318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восемнадцать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45895</v>
      </c>
      <c r="O3" s="177"/>
      <c r="P3">
        <f ca="1">DAY(N3)</f>
        <v>26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восемнадцать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26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восемнадцать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восемнадцать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восемнадцать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45895</v>
      </c>
    </row>
    <row r="13" spans="1:19" s="43" customFormat="1" x14ac:dyDescent="0.2">
      <c r="A13" s="49"/>
      <c r="D13" s="51"/>
      <c r="E13" s="52">
        <f>TRUNC(E2)</f>
        <v>5318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5318</v>
      </c>
      <c r="B29" s="47">
        <f>TRUNC(RIGHT(A29))</f>
        <v>8</v>
      </c>
      <c r="C29" s="51">
        <f>IF(B28=1,B29+10,IF(B29=0,0,B29))</f>
        <v>18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 xml:space="preserve">восемнадцать </v>
      </c>
      <c r="G29" s="47"/>
    </row>
    <row r="30" spans="1:9" s="43" customFormat="1" x14ac:dyDescent="0.2">
      <c r="A30" s="49"/>
      <c r="B30" s="58"/>
      <c r="C30" s="59"/>
      <c r="E30" s="57">
        <f>B27*100+B28*10+B29</f>
        <v>318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2025-08-26T10:48:20Z</cp:lastPrinted>
  <dcterms:created xsi:type="dcterms:W3CDTF">1996-10-14T23:33:28Z</dcterms:created>
  <dcterms:modified xsi:type="dcterms:W3CDTF">2025-08-26T10:48:42Z</dcterms:modified>
</cp:coreProperties>
</file>