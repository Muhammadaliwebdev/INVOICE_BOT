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9FC48127-6133-4A3A-9A04-0C16D050C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<sst xmlns="http://schemas.openxmlformats.org/spreadsheetml/2006/main" count="207" uniqueCount="162">
  <si>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</si>
  <si>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</si>
  <si>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</si>
  <si>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</si>
  <si>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</si>
  <si>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</si>
  <si>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</si>
  <si>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</si>
  <si>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</si>
  <si>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</si>
  <si>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</si>
  <si>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</si>
  <si>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</si>
  <si>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</si>
  <si>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</si>
  <si>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</si>
  <si>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</si>
  <si>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</si>
  <si>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</si>
  <si>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</si>
  <si>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</si>
  <si>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</si>
  <si>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</si>
  <si>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</si>
  <si>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</si>
  <si>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</si>
  <si>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</si>
  <si>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</si>
  <si>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</si>
  <si>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</si>
  <si>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</si>
  <si>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</si>
  <si>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</si>
  <si>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</si>
  <si>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</si>
  <si>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</si>
  <si>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</si>
  <si>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</si>
  <si>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</si>
  <si>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</si>
  <si>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</si>
  <si>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</si>
  <si>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</si>
  <si>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</si>
  <si>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</si>
  <si>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</si>
  <si>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</si>
  <si>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</si>
  <si>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</si>
  <si>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</si>
  <si>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</si>
  <si>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</si>
  <si>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</si>
  <si>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</si>
  <si>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</si>
  <si>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</si>
  <si>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</si>
  <si>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</si>
  <si>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</si>
  <si>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</si>
  <si>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</si>
  <si>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</si>
  <si>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</si>
  <si>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</si>
  <si>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</si>
  <si>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</si>
  <si>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</si>
  <si>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</si>
  <si>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</si>
  <si>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</si>
  <si>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</si>
  <si>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</si>
  <si>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</si>
  <si>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</si>
  <si>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</si>
  <si>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</si>
  <si>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</si>
  <si>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</si>
  <si>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</si>
  <si>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</si>
  <si>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</si>
  <si>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</si>
  <si>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</si>
  <si>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</si>
  <si>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</si>
  <si>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</si>
  <si>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</si>
  <si>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</si>
  <si>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</si>
  <si>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</si>
  <si>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</si>
  <si>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</si>
  <si>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</si>
  <si>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</si>
  <si>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</si>
  <si>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</si>
  <si>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</si>
  <si>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</si>
  <si>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</si>
  <si>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</si>
  <si>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</si>
  <si>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</si>
  <si>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</si>
  <si>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</si>
  <si>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</si>
  <si>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</si>
  <si>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</si>
  <si>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</si>
  <si>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</si>
  <si>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</si>
  <si>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</si>
  <si>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</si>
  <si>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</si>
  <si>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</si>
  <si>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</si>
  <si>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</si>
  <si>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</si>
  <si>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</si>
  <si>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</si>
  <si>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</si>
  <si>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</si>
  <si>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</si>
  <si>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</si>
  <si>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</si>
  <si>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</si>
  <si>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</si>
  <si>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</si>
  <si>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</si>
  <si>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</si>
  <si>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</si>
  <si>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</si>
  <si>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</si>
  <si>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</si>
  <si>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</si>
  <si>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</si>
  <si>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</si>
  <si>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</si>
  <si>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</si>
  <si>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</si>
  <si>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</si>
  <si>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</si>
  <si>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</si>
  <si>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</si>
  <si>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</si>
  <si>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</si>
  <si>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</si>
  <si>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</si>
  <si>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</si>
  <si>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</si>
  <si>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</si>
  <si>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</si>
  <si>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</si>
  <si>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</si>
  <si>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</si>
  <si>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</si>
  <si>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</si>
  <si>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</si>
  <si>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</si>
  <si>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</si>
  <si>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 xml:space="preserve">ИНВОЙС № MEG-O-59 от </t>
  </si>
  <si>
    <t xml:space="preserve">СПЕЦИФИКАЦИЯ № MEG-O-59 от </t>
  </si>
  <si>
    <t>90M200YA/905601BA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</si>
</sst>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8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138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130</v>
      </c>
      <c r="B5" s="137"/>
      <c r="C5" s="137"/>
      <c r="D5" s="137"/>
      <c r="E5" s="137"/>
      <c r="F5" s="6"/>
      <c r="G5" s="139" t="s">
        <v>139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131</v>
      </c>
      <c r="B6" s="125"/>
      <c r="C6" s="125"/>
      <c r="D6" s="125"/>
      <c r="E6" s="125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136</v>
      </c>
      <c r="B7" s="125"/>
      <c r="C7" s="125"/>
      <c r="D7" s="125"/>
      <c r="E7" s="125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146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130</v>
      </c>
      <c r="B14" s="137"/>
      <c r="C14" s="137"/>
      <c r="D14" s="137"/>
      <c r="E14" s="137"/>
      <c r="F14" s="6"/>
      <c r="G14" s="139" t="s">
        <v>139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131</v>
      </c>
      <c r="B15" s="125"/>
      <c r="C15" s="125"/>
      <c r="D15" s="125"/>
      <c r="E15" s="125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136</v>
      </c>
      <c r="B16" s="125"/>
      <c r="C16" s="125"/>
      <c r="D16" s="125"/>
      <c r="E16" s="125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146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122</v>
      </c>
      <c r="C30" s="107" t="s">
        <v>121</v>
      </c>
      <c r="D30" s="109" t="s">
        <v>111</v>
      </c>
      <c r="E30" s="101">
        <v>2280</v>
      </c>
      <c r="F30" s="110" t="s">
        <v>27</v>
      </c>
      <c r="G30" s="106">
        <v>22701</v>
      </c>
      <c r="H30" s="106">
        <v>21105</v>
      </c>
      <c r="I30" s="108">
        <v>1</v>
      </c>
      <c r="J30" s="13">
        <f t="shared" ref="J30" si="0">H30*I30</f>
        <v>21105</v>
      </c>
      <c r="K30" s="12">
        <v>0</v>
      </c>
      <c r="L30" s="12">
        <v>0</v>
      </c>
      <c r="M30" s="13">
        <f t="shared" ref="M30" si="1">J30</f>
        <v>21105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2280</v>
      </c>
      <c r="F31" s="15"/>
      <c r="G31" s="64">
        <f>SUM(G30:G30)</f>
        <v>22701</v>
      </c>
      <c r="H31" s="64">
        <f>SUM(H30:H30)</f>
        <v>21105</v>
      </c>
      <c r="I31" s="102"/>
      <c r="J31" s="17">
        <f>SUM(J30:J30)</f>
        <v>21105</v>
      </c>
      <c r="K31" s="16"/>
      <c r="L31" s="16"/>
      <c r="M31" s="17">
        <f>SUM(M30:M30)</f>
        <v>21105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одна тысяча сто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9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MEG-O-59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2280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22701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90M200YA/905601BA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90M200YA/905601BA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MEG-O-59 от  03.09.2025г.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2280</v>
      </c>
      <c r="G18" s="166" t="str">
        <f>+CMR!F30</f>
        <v>Виноград свежий столовых сортов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0" t="str">
        <f>+Инвойс!C30</f>
        <v>0806101001</v>
      </c>
      <c r="H19" s="161"/>
      <c r="I19" s="122" t="s">
        <v>103</v>
      </c>
      <c r="J19" s="120">
        <f>+Инвойс!G30</f>
        <v>22701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2280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55" zoomScaleNormal="5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160</v>
      </c>
      <c r="C1" s="173"/>
      <c r="D1" s="173"/>
      <c r="E1" s="173"/>
      <c r="F1" s="135" t="str">
        <f>+Инвойс!F1</f>
        <v xml:space="preserve"> 03.09.2025г.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GR-MG-01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>ООО «MEGA EXIMPORT»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/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>ООО «MEGA EXIMPORT»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/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90M200YA/905601BA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13.8" x14ac:dyDescent="0.25">
      <c r="A30" s="128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2280</v>
      </c>
      <c r="F30" s="116" t="str">
        <f>+Инвойс!F30</f>
        <v>кг</v>
      </c>
      <c r="G30" s="106">
        <f>+Инвойс!G30</f>
        <v>22701</v>
      </c>
      <c r="H30" s="106">
        <f>+Инвойс!H30</f>
        <v>21105</v>
      </c>
      <c r="I30" s="108">
        <f>+Инвойс!I30</f>
        <v>1</v>
      </c>
      <c r="J30" s="13">
        <f>+Инвойс!J30</f>
        <v>21105</v>
      </c>
      <c r="K30" s="12">
        <v>0</v>
      </c>
      <c r="L30" s="12">
        <v>0</v>
      </c>
      <c r="M30" s="13">
        <f>+Инвойс!M30</f>
        <v>21105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2280</v>
      </c>
      <c r="F31" s="15"/>
      <c r="G31" s="64">
        <f>SUM(G30:G30)</f>
        <v>22701</v>
      </c>
      <c r="H31" s="64">
        <f>SUM(H30:H30)</f>
        <v>21105</v>
      </c>
      <c r="I31" s="102"/>
      <c r="J31" s="17">
        <f>SUM(J30:J30)</f>
        <v>21105</v>
      </c>
      <c r="K31" s="16"/>
      <c r="L31" s="16"/>
      <c r="M31" s="17">
        <f>SUM(M30:M30)</f>
        <v>21105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одна тысяча сто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137</v>
      </c>
      <c r="B36" s="132"/>
      <c r="D36" s="18" t="str">
        <f>+Инвойс!D36</f>
        <v>Эргашев О.Р</v>
      </c>
      <c r="E36" s="133"/>
      <c r="G36" s="130" t="s">
        <v>128</v>
      </c>
      <c r="H36" s="18" t="str">
        <f>Инвойс!G5</f>
        <v>ООО «ГРИН ВОРЛД»</v>
      </c>
      <c r="K36" s="134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150</v>
      </c>
    </row>
    <row r="7" spans="1:10" ht="52.8" x14ac:dyDescent="0.25">
      <c r="A7" s="127" t="s">
        <v>116</v>
      </c>
    </row>
    <row r="8" spans="1:10" x14ac:dyDescent="0.25">
      <c r="E8" s="18" t="s">
        <v>151</v>
      </c>
      <c r="J8" s="25" t="s">
        <v>152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153</v>
      </c>
      <c r="J10" s="25" t="s">
        <v>154</v>
      </c>
    </row>
    <row r="11" spans="1:10" ht="52.8" x14ac:dyDescent="0.25">
      <c r="A11" s="127" t="s">
        <v>157</v>
      </c>
    </row>
    <row r="12" spans="1:10" x14ac:dyDescent="0.25">
      <c r="E12" s="18" t="s">
        <v>155</v>
      </c>
      <c r="J12" s="25" t="s">
        <v>156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21105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одна тысяча сто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45903</v>
      </c>
      <c r="O3" s="177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одна тысяча сто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одна тысяча сто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одна тысяча сто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21105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211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2110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21105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105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2025-09-03T18:33:40Z</cp:lastPrinted>
  <dcterms:created xsi:type="dcterms:W3CDTF">1996-10-14T23:33:28Z</dcterms:created>
  <dcterms:modified xsi:type="dcterms:W3CDTF">2025-09-03T18:33:44Z</dcterms:modified>
</cp:coreProperties>
</file>