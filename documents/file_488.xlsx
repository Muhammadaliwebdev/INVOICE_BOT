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F41173E7-4EC4-42A1-B65E-DB2649DEEF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<sst xmlns="http://schemas.openxmlformats.org/spreadsheetml/2006/main" count="211" uniqueCount="163">
  <si>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</si>
  <si>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</si>
  <si>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</si>
  <si>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</si>
  <si>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</si>
  <si>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</si>
  <si>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</si>
  <si>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</si>
  <si>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</si>
  <si>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</si>
  <si>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</si>
  <si>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</si>
  <si>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</si>
  <si>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</si>
  <si>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</si>
  <si>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</si>
  <si>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</si>
  <si>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</si>
  <si>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</si>
  <si>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</si>
  <si>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</si>
  <si>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</si>
  <si>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</si>
  <si>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</si>
  <si>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</si>
  <si>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</si>
  <si>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</si>
  <si>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</si>
  <si>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</si>
  <si>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</si>
  <si>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</si>
  <si>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</si>
  <si>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</si>
  <si>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</si>
  <si>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</si>
  <si>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</si>
  <si>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</si>
  <si>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</si>
  <si>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</si>
  <si>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</si>
  <si>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</si>
  <si>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</si>
  <si>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</si>
  <si>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</si>
  <si>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</si>
  <si>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</si>
  <si>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</si>
  <si>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</si>
  <si>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</si>
  <si>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</si>
  <si>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</si>
  <si>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</si>
  <si>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</si>
  <si>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</si>
  <si>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</si>
  <si>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</si>
  <si>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</si>
  <si>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</si>
  <si>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</si>
  <si>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</si>
  <si>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</si>
  <si>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</si>
  <si>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</si>
  <si>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</si>
  <si>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</si>
  <si>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</si>
  <si>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</si>
  <si>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</si>
  <si>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</si>
  <si>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</si>
  <si>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</si>
  <si>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</si>
  <si>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</si>
  <si>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</si>
  <si>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</si>
  <si>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</si>
  <si>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</si>
  <si>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</si>
  <si>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</si>
  <si>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</si>
  <si>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</si>
  <si>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</si>
  <si>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</si>
  <si>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</si>
  <si>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</si>
  <si>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</si>
  <si>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</si>
  <si>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</si>
  <si>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</si>
  <si>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</si>
  <si>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</si>
  <si>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</si>
  <si>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</si>
  <si>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</si>
  <si>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</si>
  <si>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</si>
  <si>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</si>
  <si>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</si>
  <si>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</si>
  <si>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</si>
  <si>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</si>
  <si>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</si>
  <si>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</si>
  <si>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</si>
  <si>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</si>
  <si>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</si>
  <si>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</si>
  <si>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</si>
  <si>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</si>
  <si>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</si>
  <si>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</si>
  <si>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</si>
  <si>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</si>
  <si>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</si>
  <si>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</si>
  <si>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</si>
  <si>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</si>
  <si>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</si>
  <si>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</si>
  <si>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</si>
  <si>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</si>
  <si>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</si>
  <si>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</si>
  <si>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</si>
  <si>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</si>
  <si>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</si>
  <si>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</si>
  <si>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</si>
  <si>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</si>
  <si>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</si>
  <si>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</si>
  <si>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</si>
  <si>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</si>
  <si>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</si>
  <si>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</si>
  <si>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</si>
  <si>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</si>
  <si>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</si>
  <si>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</si>
  <si>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</si>
  <si>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</si>
  <si>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</si>
  <si>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</si>
  <si>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</si>
  <si>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</si>
  <si>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</si>
  <si>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</si>
  <si>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</si>
  <si>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</si>
  <si>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</si>
  <si>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</si>
  <si>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</si>
  <si>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</si>
  <si>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</si>
  <si>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</si>
  <si>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</si>
  <si>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</si>
  <si>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</si>
  <si>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</si>
  <si>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UFG-M-80 от </t>
  </si>
  <si>
    <t xml:space="preserve"> 08.09.2025г.</t>
  </si>
  <si>
    <t xml:space="preserve">СПЕЦИФИКАЦИЯ № UFG-M-80 от </t>
  </si>
  <si>
    <t>01894BLA/016513BA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</si>
</sst>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159</v>
      </c>
      <c r="D1" s="134"/>
      <c r="E1" s="134"/>
      <c r="F1" s="133" t="s">
        <v>160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147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148</v>
      </c>
      <c r="B5" s="135"/>
      <c r="C5" s="135"/>
      <c r="D5" s="135"/>
      <c r="E5" s="135"/>
      <c r="F5" s="6"/>
      <c r="G5" s="137" t="s">
        <v>135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143</v>
      </c>
      <c r="B6" s="142"/>
      <c r="C6" s="142"/>
      <c r="D6" s="142"/>
      <c r="E6" s="142"/>
      <c r="F6" s="7"/>
      <c r="G6" s="139" t="s">
        <v>136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149</v>
      </c>
      <c r="B7" s="142"/>
      <c r="C7" s="142"/>
      <c r="D7" s="142"/>
      <c r="E7" s="142"/>
      <c r="F7" s="63"/>
      <c r="G7" s="139" t="s">
        <v>137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145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38" t="s">
        <v>141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148</v>
      </c>
      <c r="B14" s="135"/>
      <c r="C14" s="135"/>
      <c r="D14" s="135"/>
      <c r="E14" s="135"/>
      <c r="F14" s="6"/>
      <c r="G14" s="137" t="s">
        <v>135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143</v>
      </c>
      <c r="B15" s="142"/>
      <c r="C15" s="142"/>
      <c r="D15" s="142"/>
      <c r="E15" s="142"/>
      <c r="F15" s="7"/>
      <c r="G15" s="139" t="s">
        <v>136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149</v>
      </c>
      <c r="B16" s="142"/>
      <c r="C16" s="142"/>
      <c r="D16" s="142"/>
      <c r="E16" s="142"/>
      <c r="F16" s="63"/>
      <c r="G16" s="139" t="s">
        <v>137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145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38" t="s">
        <v>141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119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157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1000</v>
      </c>
      <c r="F30" s="115" t="s">
        <v>27</v>
      </c>
      <c r="G30" s="106">
        <v>23000</v>
      </c>
      <c r="H30" s="106">
        <v>21200</v>
      </c>
      <c r="I30" s="108">
        <v>0.25</v>
      </c>
      <c r="J30" s="13">
        <f t="shared" ref="J30" si="0">H30*I30</f>
        <v>5300</v>
      </c>
      <c r="K30" s="12">
        <v>0</v>
      </c>
      <c r="L30" s="12">
        <v>0</v>
      </c>
      <c r="M30" s="13">
        <f t="shared" ref="M30" si="1">J30</f>
        <v>5300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2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UFG-M-80 от  08.09.2025г.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08.09.2025г.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01894BLA/016513BA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01894BLA/016513BA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UFG-M-80 от  08.09.2025г.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1000</v>
      </c>
      <c r="E47" s="142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161</v>
      </c>
      <c r="C1" s="173"/>
      <c r="D1" s="173"/>
      <c r="E1" s="173"/>
      <c r="F1" s="133" t="str">
        <f>+Инвойс!F1</f>
        <v xml:space="preserve"> 08.09.2025г.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GR-UF-01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OOO UCHQIZIL FRUITS EXPORT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71" t="str">
        <f>+Инвойс!A6</f>
        <v>РЕСПУБЛИКА УЗБЕКИСТАН. СУРХАНДАРЬИНСКАЯ ОБЛАСТЬ,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ТЕРМИЗСКИЙ РАЙОН,ЯНГИХАЯТ МФЙ, УЛИЦА БОГИ ШАМОЛ, 20-А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в АКБ“KAPITAL BANK”  МФО: 01158  Swift: KACHUZ22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>Доллар США: 20208840207293094001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>Корреспондирующий банк (RUB): АКБ "Азия Инвест Банк" (АО) :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1" t="str">
        <f>+Инвойс!A11</f>
        <v>SWIFT:ASIJRUMM / БИК 044525234,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OOO UCHQIZIL FRUITS EXPORT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71" t="str">
        <f>+Инвойс!A15</f>
        <v>РЕСПУБЛИКА УЗБЕКИСТАН. СУРХАНДАРЬИНСКАЯ ОБЛАСТЬ,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ТЕРМИЗСКИЙ РАЙОН,ЯНГИХАЯТ МФЙ, УЛИЦА БОГИ ШАМОЛ, 20-А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в АКБ“KAPITAL BANK”  МФО: 01158  Swift: KACHUZ22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>Доллар США: 20208840207293094001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>Корреспондирующий банк (RUB): АКБ "Азия Инвест Банк" (АО) :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1" t="str">
        <f>+Инвойс!A20</f>
        <v>SWIFT:ASIJRUMM / БИК 044525234,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01894BLA/016513BA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0.25</v>
      </c>
      <c r="J30" s="13">
        <f>+Инвойс!J30</f>
        <v>5300</v>
      </c>
      <c r="K30" s="12">
        <v>0</v>
      </c>
      <c r="L30" s="12">
        <v>0</v>
      </c>
      <c r="M30" s="13">
        <f>+Инвойс!M30</f>
        <v>5300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153</v>
      </c>
      <c r="B36" s="130"/>
      <c r="D36" s="18" t="str">
        <f>+Инвойс!D36</f>
        <v>ЭШТЕМИРОВ Х.Х</v>
      </c>
      <c r="E36" s="131"/>
      <c r="G36" s="128" t="s">
        <v>128</v>
      </c>
      <c r="H36" s="18" t="str">
        <f>Инвойс!G5</f>
        <v>ООО «ГРИН ВОРЛД»</v>
      </c>
      <c r="K36" s="132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13" sqref="A13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127</v>
      </c>
    </row>
    <row r="5" spans="1:10" ht="92.4" x14ac:dyDescent="0.25">
      <c r="A5" s="125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5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157</v>
      </c>
      <c r="J10" s="25" t="s">
        <v>132</v>
      </c>
    </row>
    <row r="11" spans="1:10" ht="52.8" x14ac:dyDescent="0.25">
      <c r="A11" s="125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45908</v>
      </c>
      <c r="O3" s="177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8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5300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2025-09-08T11:53:31Z</cp:lastPrinted>
  <dcterms:created xsi:type="dcterms:W3CDTF">1996-10-14T23:33:28Z</dcterms:created>
  <dcterms:modified xsi:type="dcterms:W3CDTF">2025-09-08T11:53:33Z</dcterms:modified>
</cp:coreProperties>
</file>