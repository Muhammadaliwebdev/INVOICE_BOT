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278401F-BD3B-486E-9E49-BA511D04D3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21" i="7"/>
  <c r="A14" i="7"/>
  <c r="A6" i="7"/>
  <c r="A7" i="7"/>
  <c r="A8" i="7"/>
  <c r="A9" i="7"/>
  <c r="A10" i="7"/>
  <c r="A11" i="7"/>
  <c r="A12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<sst xmlns="http://schemas.openxmlformats.org/spreadsheetml/2006/main" count="208" uniqueCount="158">
  <si>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</si>
  <si>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</si>
  <si>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</si>
  <si>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</si>
  <si>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</si>
  <si>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</si>
  <si>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</si>
  <si>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</si>
  <si>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</si>
  <si>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</si>
  <si>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</si>
  <si>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</si>
  <si>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</si>
  <si>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</si>
  <si>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</si>
  <si>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</si>
  <si>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</si>
  <si>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</si>
  <si>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</si>
  <si>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</si>
  <si>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</si>
  <si>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</si>
  <si>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</si>
  <si>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</si>
  <si>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</si>
  <si>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</si>
  <si>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</si>
  <si>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</si>
  <si>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</si>
  <si>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</si>
  <si>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</si>
  <si>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</si>
  <si>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</si>
  <si>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</si>
  <si>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</si>
  <si>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</si>
  <si>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</si>
  <si>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</si>
  <si>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</si>
  <si>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</si>
  <si>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</si>
  <si>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</si>
  <si>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</si>
  <si>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</si>
  <si>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</si>
  <si>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</si>
  <si>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</si>
  <si>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</si>
  <si>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</si>
  <si>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</si>
  <si>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</si>
  <si>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</si>
  <si>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</si>
  <si>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</si>
  <si>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</si>
  <si>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</si>
  <si>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</si>
  <si>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</si>
  <si>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</si>
  <si>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</si>
  <si>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</si>
  <si>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</si>
  <si>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</si>
  <si>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</si>
  <si>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</si>
  <si>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</si>
  <si>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</si>
  <si>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</si>
  <si>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</si>
  <si>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</si>
  <si>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</si>
  <si>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</si>
  <si>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</si>
  <si>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</si>
  <si>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</si>
  <si>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</si>
  <si>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</si>
  <si>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</si>
  <si>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</si>
  <si>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</si>
  <si>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</si>
  <si>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</si>
  <si>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</si>
  <si>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</si>
  <si>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</si>
  <si>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</si>
  <si>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</si>
  <si>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</si>
  <si>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</si>
  <si>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</si>
  <si>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</si>
  <si>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</si>
  <si>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</si>
  <si>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</si>
  <si>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</si>
  <si>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</si>
  <si>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</si>
  <si>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</si>
  <si>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</si>
  <si>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</si>
  <si>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</si>
  <si>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</si>
  <si>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</si>
  <si>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</si>
  <si>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</si>
  <si>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</si>
  <si>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</si>
  <si>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</si>
  <si>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</si>
  <si>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</si>
  <si>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</si>
  <si>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</si>
  <si>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</si>
  <si>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</si>
  <si>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</si>
  <si>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</si>
  <si>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</si>
  <si>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</si>
  <si>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</si>
  <si>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</si>
  <si>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</si>
  <si>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</si>
  <si>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</si>
  <si>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</si>
  <si>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</si>
  <si>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</si>
  <si>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Корреспондирующий банк (RUB): АКБ "Азия Инвест Банк"</t>
  </si>
  <si>
    <t xml:space="preserve">SWIFT:ASIJRUMM  БИК 044525234,   </t>
  </si>
  <si>
    <t>корр.счет:30111810300000000478LLC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</si>
  <si>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</si>
  <si>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</si>
  <si>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</si>
  <si>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</si>
  <si>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</si>
  <si>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</si>
  <si>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к контракту № 05/02 - REG-GR-25 от 05.02.2025 года</t>
  </si>
  <si>
    <t>OOO «REGION EXPORT-2022»</t>
  </si>
  <si>
    <t>111107, Республика Узбекистан, Ташкентская обл.,</t>
  </si>
  <si>
    <t>Ташкентский р-н, Кук-терак, ул. Зиёкор, д. 1 A</t>
  </si>
  <si>
    <r>
      <t xml:space="preserve">Р/с N </t>
    </r>
    <r>
      <rPr>
        <sz val="11"/>
        <color indexed="8"/>
        <rFont val="Times New Roman"/>
        <family val="1"/>
        <charset val="204"/>
      </rPr>
      <t>20 208 840 905 495 319 002 (USD)</t>
    </r>
    <r>
      <rPr>
        <sz val="11"/>
        <rFont val="Times New Roman"/>
        <family val="1"/>
        <charset val="204"/>
      </rPr>
      <t xml:space="preserve">     ИНН: 309307511</t>
    </r>
  </si>
  <si>
    <t xml:space="preserve">в Филиал Юнусабад, АКБ «ДАВР БАНК» МФО: 01122 Swift: DVRBUZ22  </t>
  </si>
  <si>
    <t>ООО «АльянсСити»</t>
  </si>
  <si>
    <t xml:space="preserve">ИНН 9725070749, КПП 9725070749 </t>
  </si>
  <si>
    <t>ОГРН 1217700643115, ОКПО 71510756</t>
  </si>
  <si>
    <t>Расчетный счет: 40702840200000003588 USD</t>
  </si>
  <si>
    <t>Кор.счет: 30101810445250000234</t>
  </si>
  <si>
    <t xml:space="preserve">115114, г.Москва , ВН.ТЕР.г.Муниуипальный округ Даниловский, </t>
  </si>
  <si>
    <t>Наб. Дербеневская, д.13/17, к.2, ЭТ./Помещ. Подвал/III, Ком./Офис 1Б/25</t>
  </si>
  <si>
    <t>Мирзаев Х.Х.</t>
  </si>
  <si>
    <t>Директор:  OOO «REGION EXPORT-2022»</t>
  </si>
  <si>
    <t>Директор:  ООО «АльянсСити»</t>
  </si>
  <si>
    <t>Асланов О.И.</t>
  </si>
  <si>
    <t>г.Уфа / /г. Иркутск /г.Омск /г. Ижевск/г.Крым Симферополь/  Российская федерация</t>
  </si>
  <si>
    <t xml:space="preserve">ИНВОЙС № REZ-O-13 от </t>
  </si>
  <si>
    <t xml:space="preserve"> 13.08.2025г.</t>
  </si>
  <si>
    <t>DAP - с Амандык , Республика Казахстан</t>
  </si>
  <si>
    <t>30129DCA/301062BA</t>
  </si>
  <si>
    <t xml:space="preserve">СПЕЦИФИКАЦИЯ № REZ-O-13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</si>
</sst>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76" fillId="0" borderId="0" xfId="0" applyFont="1" applyAlignment="1">
      <alignment horizontal="left" wrapText="1"/>
    </xf>
    <xf numFmtId="0" fontId="76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37</xdr:row>
      <xdr:rowOff>152399</xdr:rowOff>
    </xdr:from>
    <xdr:to>
      <xdr:col>3</xdr:col>
      <xdr:colOff>91440</xdr:colOff>
      <xdr:row>49</xdr:row>
      <xdr:rowOff>69474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059E4ED-F094-2FB0-B4A7-EB7AE7259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" y="19309079"/>
          <a:ext cx="1958340" cy="1966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317797</xdr:colOff>
      <xdr:row>38</xdr:row>
      <xdr:rowOff>115197</xdr:rowOff>
    </xdr:from>
    <xdr:to>
      <xdr:col>10</xdr:col>
      <xdr:colOff>189817</xdr:colOff>
      <xdr:row>49</xdr:row>
      <xdr:rowOff>98611</xdr:rowOff>
    </xdr:to>
    <xdr:pic>
      <xdr:nvPicPr>
        <xdr:cNvPr id="5" name="Рисунок 1">
          <a:extLst>
            <a:ext uri="{FF2B5EF4-FFF2-40B4-BE49-F238E27FC236}">
              <a16:creationId xmlns:a16="http://schemas.microsoft.com/office/drawing/2014/main" id="{26ACB6CF-3888-CF21-1941-C0BFE6A36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1421" y="18672138"/>
          <a:ext cx="1817361" cy="18928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379208</xdr:colOff>
      <xdr:row>39</xdr:row>
      <xdr:rowOff>27791</xdr:rowOff>
    </xdr:from>
    <xdr:to>
      <xdr:col>7</xdr:col>
      <xdr:colOff>212463</xdr:colOff>
      <xdr:row>43</xdr:row>
      <xdr:rowOff>31377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762CC534-25E0-DF13-4D05-3B8E68E0C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1890" y="18764026"/>
          <a:ext cx="864197" cy="7117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14343</xdr:colOff>
      <xdr:row>40</xdr:row>
      <xdr:rowOff>60065</xdr:rowOff>
    </xdr:from>
    <xdr:to>
      <xdr:col>1</xdr:col>
      <xdr:colOff>942638</xdr:colOff>
      <xdr:row>44</xdr:row>
      <xdr:rowOff>138058</xdr:rowOff>
    </xdr:to>
    <xdr:pic>
      <xdr:nvPicPr>
        <xdr:cNvPr id="7" name="Рисунок 2">
          <a:extLst>
            <a:ext uri="{FF2B5EF4-FFF2-40B4-BE49-F238E27FC236}">
              <a16:creationId xmlns:a16="http://schemas.microsoft.com/office/drawing/2014/main" id="{9A35B7C2-BB97-D105-5013-EF530CFDC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861" y="18975594"/>
          <a:ext cx="928295" cy="77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1170791</xdr:colOff>
      <xdr:row>38</xdr:row>
      <xdr:rowOff>124161</xdr:rowOff>
    </xdr:from>
    <xdr:to>
      <xdr:col>3</xdr:col>
      <xdr:colOff>62753</xdr:colOff>
      <xdr:row>50</xdr:row>
      <xdr:rowOff>35858</xdr:rowOff>
    </xdr:to>
    <xdr:pic>
      <xdr:nvPicPr>
        <xdr:cNvPr id="8" name="Рисунок 1">
          <a:extLst>
            <a:ext uri="{FF2B5EF4-FFF2-40B4-BE49-F238E27FC236}">
              <a16:creationId xmlns:a16="http://schemas.microsoft.com/office/drawing/2014/main" id="{39FC39AE-185B-1E2B-60A3-F6460EFFD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309" y="18681102"/>
          <a:ext cx="1787562" cy="19915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7.33203125" customWidth="1"/>
    <col min="14" max="14" width="4.33203125" customWidth="1"/>
  </cols>
  <sheetData>
    <row r="1" spans="1:15" ht="17.399999999999999" x14ac:dyDescent="0.3">
      <c r="B1" s="19"/>
      <c r="C1" s="134" t="s">
        <v>153</v>
      </c>
      <c r="D1" s="134"/>
      <c r="E1" s="134"/>
      <c r="F1" s="133" t="s">
        <v>154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135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136</v>
      </c>
      <c r="B5" s="135"/>
      <c r="C5" s="135"/>
      <c r="D5" s="135"/>
      <c r="E5" s="135"/>
      <c r="F5" s="6"/>
      <c r="G5" s="137" t="s">
        <v>141</v>
      </c>
      <c r="H5" s="137"/>
      <c r="I5" s="137"/>
      <c r="J5" s="137"/>
      <c r="K5" s="137"/>
      <c r="L5" s="137"/>
      <c r="M5" s="137"/>
    </row>
    <row r="6" spans="1:15" ht="13.8" x14ac:dyDescent="0.25">
      <c r="A6" s="126" t="s">
        <v>137</v>
      </c>
      <c r="B6" s="125"/>
      <c r="C6" s="125"/>
      <c r="D6" s="125"/>
      <c r="E6" s="125"/>
      <c r="F6" s="7"/>
      <c r="G6" s="139" t="s">
        <v>146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26" t="s">
        <v>138</v>
      </c>
      <c r="B7" s="125"/>
      <c r="C7" s="125"/>
      <c r="D7" s="125"/>
      <c r="E7" s="125"/>
      <c r="F7" s="63"/>
      <c r="G7" s="140" t="s">
        <v>147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139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140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126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127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128</v>
      </c>
      <c r="B12" s="8"/>
      <c r="C12" s="8"/>
      <c r="D12" s="8"/>
      <c r="E12" s="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5" t="s">
        <v>136</v>
      </c>
      <c r="B14" s="135"/>
      <c r="C14" s="135"/>
      <c r="D14" s="135"/>
      <c r="E14" s="135"/>
      <c r="F14" s="6"/>
      <c r="G14" s="137" t="s">
        <v>141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26" t="s">
        <v>137</v>
      </c>
      <c r="B15" s="125"/>
      <c r="C15" s="125"/>
      <c r="D15" s="125"/>
      <c r="E15" s="125"/>
      <c r="F15" s="7"/>
      <c r="G15" s="139" t="s">
        <v>146</v>
      </c>
      <c r="H15" s="140"/>
      <c r="I15" s="140"/>
      <c r="J15" s="140"/>
      <c r="K15" s="140"/>
      <c r="L15" s="140"/>
      <c r="M15" s="140"/>
    </row>
    <row r="16" spans="1:15" ht="13.8" x14ac:dyDescent="0.25">
      <c r="A16" s="126" t="s">
        <v>138</v>
      </c>
      <c r="B16" s="125"/>
      <c r="C16" s="125"/>
      <c r="D16" s="125"/>
      <c r="E16" s="125"/>
      <c r="F16" s="63"/>
      <c r="G16" s="140" t="s">
        <v>147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139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140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126</v>
      </c>
      <c r="B19" s="125"/>
      <c r="C19" s="125"/>
      <c r="D19" s="125"/>
      <c r="E19" s="125"/>
      <c r="F19" s="7"/>
      <c r="G19" s="7" t="s">
        <v>144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127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128</v>
      </c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2" t="s">
        <v>134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">
        <v>155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156</v>
      </c>
      <c r="F26" s="154"/>
      <c r="G26" s="154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27.6" x14ac:dyDescent="0.25">
      <c r="A30" s="128">
        <v>1</v>
      </c>
      <c r="B30" s="101" t="s">
        <v>130</v>
      </c>
      <c r="C30" s="107" t="s">
        <v>129</v>
      </c>
      <c r="D30" s="109" t="s">
        <v>114</v>
      </c>
      <c r="E30" s="101">
        <v>2269</v>
      </c>
      <c r="F30" s="110" t="s">
        <v>27</v>
      </c>
      <c r="G30" s="106">
        <v>20421</v>
      </c>
      <c r="H30" s="106">
        <v>17244</v>
      </c>
      <c r="I30" s="108">
        <v>1</v>
      </c>
      <c r="J30" s="13">
        <f t="shared" ref="J30:J31" si="0">H30*I30</f>
        <v>17244</v>
      </c>
      <c r="K30" s="12">
        <v>0</v>
      </c>
      <c r="L30" s="12">
        <v>0</v>
      </c>
      <c r="M30" s="13">
        <f t="shared" ref="M30:M31" si="1">J30</f>
        <v>17244</v>
      </c>
      <c r="O30" s="100"/>
      <c r="Q30" s="100"/>
    </row>
    <row r="31" spans="1:17" ht="27.6" x14ac:dyDescent="0.25">
      <c r="A31" s="128">
        <v>2</v>
      </c>
      <c r="B31" s="101" t="s">
        <v>130</v>
      </c>
      <c r="C31" s="107" t="s">
        <v>129</v>
      </c>
      <c r="D31" s="109" t="s">
        <v>112</v>
      </c>
      <c r="E31" s="101">
        <v>17</v>
      </c>
      <c r="F31" s="116" t="s">
        <v>27</v>
      </c>
      <c r="G31" s="106">
        <v>97</v>
      </c>
      <c r="H31" s="106">
        <v>87</v>
      </c>
      <c r="I31" s="108">
        <v>1</v>
      </c>
      <c r="J31" s="13">
        <f t="shared" si="0"/>
        <v>87</v>
      </c>
      <c r="K31" s="12">
        <v>0</v>
      </c>
      <c r="L31" s="12">
        <v>0</v>
      </c>
      <c r="M31" s="13">
        <f t="shared" si="1"/>
        <v>87</v>
      </c>
      <c r="O31" s="100"/>
      <c r="Q31" s="100"/>
    </row>
    <row r="32" spans="1:17" ht="13.8" x14ac:dyDescent="0.25">
      <c r="A32" s="148" t="s">
        <v>0</v>
      </c>
      <c r="B32" s="149"/>
      <c r="C32" s="14"/>
      <c r="D32" s="15"/>
      <c r="E32" s="64">
        <f>SUM(E30:E31)</f>
        <v>2286</v>
      </c>
      <c r="F32" s="15"/>
      <c r="G32" s="64">
        <f>SUM(G30:G31)</f>
        <v>20518</v>
      </c>
      <c r="H32" s="64">
        <f>SUM(H30:H31)</f>
        <v>17331</v>
      </c>
      <c r="I32" s="102"/>
      <c r="J32" s="17">
        <f>SUM(J30:J31)</f>
        <v>17331</v>
      </c>
      <c r="K32" s="16"/>
      <c r="L32" s="16"/>
      <c r="M32" s="17">
        <f>SUM(M30:M31)</f>
        <v>17331</v>
      </c>
      <c r="P32" s="66"/>
    </row>
    <row r="33" spans="1:14" ht="13.8" x14ac:dyDescent="0.3">
      <c r="A33" s="2" t="s">
        <v>17</v>
      </c>
      <c r="B33" s="3"/>
      <c r="C33" s="11"/>
      <c r="D33" s="11"/>
      <c r="E33" s="144" t="str">
        <f>Лист1!B3</f>
        <v>Семнадцать тысяч триста тридцать один доллар США,00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ht="25.5" customHeight="1" x14ac:dyDescent="0.25">
      <c r="A35" s="142" t="s">
        <v>110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7" spans="1:14" ht="13.8" x14ac:dyDescent="0.25">
      <c r="A37" s="7" t="s">
        <v>28</v>
      </c>
      <c r="B37" s="7"/>
      <c r="D37" s="25" t="s">
        <v>148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2">
    <mergeCell ref="I28:I29"/>
    <mergeCell ref="G28:H28"/>
    <mergeCell ref="C23:M23"/>
    <mergeCell ref="E26:G26"/>
    <mergeCell ref="G7:M7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4" zoomScale="115" zoomScaleNormal="115" workbookViewId="0">
      <selection activeCell="I38" sqref="I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«REGION EXPORT-2022»</v>
      </c>
    </row>
    <row r="3" spans="1:11" ht="11.25" customHeight="1" x14ac:dyDescent="0.2">
      <c r="B3" s="70" t="str">
        <f>+Инвойс!A6</f>
        <v>111107, Республика Узбекистан, Ташкентская обл.,</v>
      </c>
    </row>
    <row r="4" spans="1:11" ht="11.25" customHeight="1" x14ac:dyDescent="0.2">
      <c r="B4" s="70" t="str">
        <f>+Инвойс!A7</f>
        <v>Ташкентский р-н, Кук-терак, ул. Зиёкор, д. 1 A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«АльянсСити»</v>
      </c>
    </row>
    <row r="8" spans="1:11" x14ac:dyDescent="0.2">
      <c r="B8" s="70" t="str">
        <f>+Инвойс!G15</f>
        <v xml:space="preserve">115114, г.Москва , ВН.ТЕР.г.Муниуипальный округ Даниловский, </v>
      </c>
    </row>
    <row r="9" spans="1:11" ht="12.75" customHeight="1" x14ac:dyDescent="0.2">
      <c r="B9" s="70" t="str">
        <f>+Инвойс!G16</f>
        <v>Наб. Дербеневская, д.13/17, к.2, ЭТ./Помещ. Подвал/III, Ком./Офис 1Б/25</v>
      </c>
    </row>
    <row r="10" spans="1:11" ht="13.5" customHeight="1" x14ac:dyDescent="0.2">
      <c r="B10" s="70" t="s">
        <v>106</v>
      </c>
      <c r="C10" s="70" t="str">
        <f>+Инвойс!G5</f>
        <v>ООО «АльянсСити»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152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115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REZ-O-13 от  13.08.2025г.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107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2269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20421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17</v>
      </c>
      <c r="D31" s="103" t="str">
        <f>+Инвойс!D31</f>
        <v>Пласт. ящик</v>
      </c>
      <c r="E31" s="103"/>
      <c r="F31" s="103" t="str">
        <f>+Инвойс!B31</f>
        <v>Виноград свежий столовых сортов</v>
      </c>
      <c r="G31" s="104" t="str">
        <f>+Инвойс!C31</f>
        <v>0806101001</v>
      </c>
      <c r="H31" s="103"/>
      <c r="I31" s="105">
        <f>+Инвойс!G31</f>
        <v>97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116</v>
      </c>
      <c r="D49" s="158" t="str">
        <f>+C22</f>
        <v xml:space="preserve"> 13.08.2025г.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30129DCA/301062BA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J32" sqref="J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2" t="str">
        <f>+Инвойс!E26</f>
        <v>30129DCA/301062BA</v>
      </c>
      <c r="C14" s="162"/>
      <c r="D14" s="162"/>
      <c r="E14" s="162"/>
      <c r="F14" s="162"/>
      <c r="G14" s="162"/>
      <c r="H14" s="163" t="s">
        <v>108</v>
      </c>
      <c r="I14" s="163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4" t="str">
        <f>+CMR!B24</f>
        <v>ИНВОЙС № REZ-O-13 от  13.08.2025г.</v>
      </c>
      <c r="I15" s="164"/>
      <c r="J15" s="16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2269</v>
      </c>
      <c r="G18" s="165" t="str">
        <f>+CMR!F30</f>
        <v>Виноград свежий столовых сортов</v>
      </c>
      <c r="H18" s="165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Дер. ящик</v>
      </c>
      <c r="G19" s="159" t="str">
        <f>+Инвойс!C30</f>
        <v>0806101001</v>
      </c>
      <c r="H19" s="160"/>
      <c r="I19" s="122" t="s">
        <v>103</v>
      </c>
      <c r="J19" s="120">
        <f>+Инвойс!G30</f>
        <v>20421</v>
      </c>
    </row>
    <row r="20" spans="2:10" ht="13.5" customHeight="1" x14ac:dyDescent="0.3">
      <c r="B20" s="83"/>
      <c r="E20" s="123"/>
      <c r="F20" s="118">
        <f>+Инвойс!E31</f>
        <v>17</v>
      </c>
      <c r="G20" s="165" t="str">
        <f>+CMR!F31</f>
        <v>Виноград свежий столовых сортов</v>
      </c>
      <c r="H20" s="165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Пласт. ящик</v>
      </c>
      <c r="G21" s="159" t="str">
        <f>+Инвойс!C31</f>
        <v>0806101001</v>
      </c>
      <c r="H21" s="160"/>
      <c r="I21" s="122" t="s">
        <v>103</v>
      </c>
      <c r="J21" s="120">
        <f>+Инвойс!G31</f>
        <v>97</v>
      </c>
    </row>
    <row r="22" spans="2:10" ht="12.75" customHeight="1" x14ac:dyDescent="0.3">
      <c r="B22" s="83"/>
      <c r="E22" s="123"/>
      <c r="F22" s="118"/>
      <c r="G22" s="165"/>
      <c r="H22" s="165"/>
      <c r="I22" s="119"/>
      <c r="J22" s="120"/>
    </row>
    <row r="23" spans="2:10" ht="14.25" customHeight="1" x14ac:dyDescent="0.3">
      <c r="B23" s="83"/>
      <c r="E23" s="123"/>
      <c r="F23" s="121"/>
      <c r="G23" s="159"/>
      <c r="H23" s="160"/>
      <c r="I23" s="122"/>
      <c r="J23" s="120"/>
    </row>
    <row r="24" spans="2:10" ht="12.75" customHeight="1" x14ac:dyDescent="0.3">
      <c r="B24" s="87"/>
      <c r="E24" s="123"/>
      <c r="F24" s="118"/>
      <c r="G24" s="165"/>
      <c r="H24" s="165"/>
      <c r="I24" s="119"/>
      <c r="J24" s="120"/>
    </row>
    <row r="25" spans="2:10" ht="12.75" customHeight="1" x14ac:dyDescent="0.3">
      <c r="B25" s="87"/>
      <c r="E25" s="123"/>
      <c r="F25" s="121"/>
      <c r="G25" s="159"/>
      <c r="H25" s="160"/>
      <c r="I25" s="122"/>
      <c r="J25" s="120"/>
    </row>
    <row r="26" spans="2:10" ht="12" customHeight="1" x14ac:dyDescent="0.3">
      <c r="B26" s="87"/>
      <c r="E26" s="123"/>
      <c r="F26" s="118"/>
      <c r="G26" s="165"/>
      <c r="H26" s="165"/>
      <c r="I26" s="119"/>
      <c r="J26" s="120"/>
    </row>
    <row r="27" spans="2:10" ht="14.25" customHeight="1" x14ac:dyDescent="0.3">
      <c r="B27" s="87"/>
      <c r="E27" s="123"/>
      <c r="F27" s="121"/>
      <c r="G27" s="159"/>
      <c r="H27" s="160"/>
      <c r="I27" s="122"/>
      <c r="J27" s="120"/>
    </row>
    <row r="28" spans="2:10" ht="12.75" customHeight="1" x14ac:dyDescent="0.3">
      <c r="B28" s="87"/>
      <c r="E28" s="123"/>
      <c r="F28" s="118"/>
      <c r="G28" s="165"/>
      <c r="H28" s="165"/>
      <c r="I28" s="119"/>
      <c r="J28" s="120"/>
    </row>
    <row r="29" spans="2:10" ht="12.75" customHeight="1" x14ac:dyDescent="0.3">
      <c r="B29" s="87"/>
      <c r="E29" s="123"/>
      <c r="F29" s="121"/>
      <c r="G29" s="159"/>
      <c r="H29" s="160"/>
      <c r="I29" s="122"/>
      <c r="J29" s="120"/>
    </row>
    <row r="30" spans="2:10" ht="12.75" customHeight="1" x14ac:dyDescent="0.3">
      <c r="B30" s="87"/>
      <c r="E30" s="123"/>
      <c r="F30" s="118"/>
      <c r="G30" s="165"/>
      <c r="H30" s="165"/>
      <c r="I30" s="119"/>
      <c r="J30" s="120"/>
    </row>
    <row r="31" spans="2:10" ht="13.5" customHeight="1" x14ac:dyDescent="0.3">
      <c r="B31" s="87"/>
      <c r="E31" s="123"/>
      <c r="F31" s="121"/>
      <c r="G31" s="159"/>
      <c r="H31" s="160"/>
      <c r="I31" s="122"/>
      <c r="J31" s="120"/>
    </row>
    <row r="32" spans="2:10" ht="13.5" customHeight="1" x14ac:dyDescent="0.3">
      <c r="B32" s="87"/>
      <c r="E32" s="123"/>
      <c r="F32" s="118"/>
      <c r="G32" s="165"/>
      <c r="H32" s="165"/>
      <c r="I32" s="119"/>
      <c r="J32" s="120"/>
    </row>
    <row r="33" spans="2:10" ht="13.5" customHeight="1" x14ac:dyDescent="0.3">
      <c r="B33" s="87"/>
      <c r="E33" s="123"/>
      <c r="F33" s="121"/>
      <c r="G33" s="159"/>
      <c r="H33" s="160"/>
      <c r="I33" s="122"/>
      <c r="J33" s="120"/>
    </row>
    <row r="34" spans="2:10" ht="13.5" customHeight="1" x14ac:dyDescent="0.3">
      <c r="B34" s="87"/>
      <c r="E34" s="123"/>
      <c r="F34" s="118"/>
      <c r="G34" s="165"/>
      <c r="H34" s="165"/>
      <c r="I34" s="119"/>
      <c r="J34" s="120"/>
    </row>
    <row r="35" spans="2:10" ht="12.75" customHeight="1" x14ac:dyDescent="0.3">
      <c r="B35" s="87"/>
      <c r="E35" s="123"/>
      <c r="F35" s="121"/>
      <c r="G35" s="159"/>
      <c r="H35" s="160"/>
      <c r="I35" s="122"/>
      <c r="J35" s="120"/>
    </row>
    <row r="36" spans="2:10" x14ac:dyDescent="0.3">
      <c r="B36" s="87"/>
      <c r="E36" s="123"/>
      <c r="F36" s="118"/>
      <c r="G36" s="165"/>
      <c r="H36" s="165"/>
      <c r="I36" s="119"/>
      <c r="J36" s="120"/>
    </row>
    <row r="37" spans="2:10" ht="13.5" customHeight="1" x14ac:dyDescent="0.3">
      <c r="B37" s="87"/>
      <c r="E37" s="123"/>
      <c r="F37" s="121"/>
      <c r="G37" s="159"/>
      <c r="H37" s="160"/>
      <c r="I37" s="122"/>
      <c r="J37" s="120"/>
    </row>
    <row r="38" spans="2:10" x14ac:dyDescent="0.3">
      <c r="B38" s="87"/>
      <c r="E38" s="123"/>
      <c r="F38" s="118"/>
      <c r="G38" s="165"/>
      <c r="H38" s="165"/>
      <c r="I38" s="119"/>
      <c r="J38" s="120"/>
    </row>
    <row r="39" spans="2:10" ht="13.5" customHeight="1" x14ac:dyDescent="0.3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3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3">
      <c r="B41" s="87"/>
      <c r="E41" s="123"/>
      <c r="F41" s="121"/>
      <c r="G41" s="159"/>
      <c r="H41" s="160"/>
      <c r="I41" s="122"/>
      <c r="J41" s="120"/>
    </row>
    <row r="42" spans="2:10" hidden="1" x14ac:dyDescent="0.3">
      <c r="B42" s="87"/>
      <c r="E42" s="123"/>
      <c r="F42" s="118"/>
      <c r="G42" s="165"/>
      <c r="H42" s="165"/>
      <c r="I42" s="119"/>
      <c r="J42" s="120"/>
    </row>
    <row r="43" spans="2:10" x14ac:dyDescent="0.3">
      <c r="B43" s="87"/>
      <c r="E43" s="123"/>
      <c r="F43" s="121"/>
      <c r="G43" s="159"/>
      <c r="H43" s="160"/>
      <c r="I43" s="122"/>
      <c r="J43" s="120"/>
    </row>
    <row r="44" spans="2:10" ht="9" customHeight="1" x14ac:dyDescent="0.3">
      <c r="B44" s="87"/>
      <c r="E44" s="95"/>
      <c r="F44" s="92"/>
      <c r="G44" s="167"/>
      <c r="H44" s="167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2286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10" zoomScale="85" zoomScaleNormal="85" workbookViewId="0">
      <selection activeCell="P28" sqref="P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157</v>
      </c>
      <c r="C1" s="173"/>
      <c r="D1" s="173"/>
      <c r="E1" s="173"/>
      <c r="F1" s="133" t="str">
        <f>+Инвойс!F1</f>
        <v xml:space="preserve"> 13.08.2025г.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05/02 - REG-GR-25 от 05.02.2025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OOO «REGION EXPORT-2022»</v>
      </c>
      <c r="B5" s="135"/>
      <c r="C5" s="135"/>
      <c r="D5" s="135"/>
      <c r="E5" s="135"/>
      <c r="F5" s="6"/>
      <c r="G5" s="137" t="str">
        <f>+Инвойс!G5</f>
        <v>ООО «АльянсСити»</v>
      </c>
      <c r="H5" s="137"/>
      <c r="I5" s="137"/>
      <c r="J5" s="137"/>
      <c r="K5" s="137"/>
      <c r="L5" s="137"/>
      <c r="M5" s="137"/>
    </row>
    <row r="6" spans="1:15" ht="13.8" x14ac:dyDescent="0.25">
      <c r="A6" s="171" t="str">
        <f>+Инвойс!A6</f>
        <v>111107, Республика Узбекистан, Ташкентская обл.,</v>
      </c>
      <c r="B6" s="171"/>
      <c r="C6" s="171"/>
      <c r="D6" s="171"/>
      <c r="E6" s="171"/>
      <c r="F6" s="7"/>
      <c r="G6" s="170" t="str">
        <f>+Инвойс!G6</f>
        <v xml:space="preserve">115114, г.Москва , ВН.ТЕР.г.Муниуипальный округ Даниловский,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1" t="str">
        <f>+Инвойс!A7</f>
        <v>Ташкентский р-н, Кук-терак, ул. Зиёкор, д. 1 A</v>
      </c>
      <c r="B7" s="171"/>
      <c r="C7" s="171"/>
      <c r="D7" s="171"/>
      <c r="E7" s="171"/>
      <c r="F7" s="63"/>
      <c r="G7" s="170" t="str">
        <f>+Инвойс!G7</f>
        <v>Наб. Дербеневская, д.13/17, к.2, ЭТ./Помещ. Подвал/III, Ком./Офис 1Б/25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20 208 840 905 495 319 002 (USD)     ИНН: 309307511</v>
      </c>
      <c r="B8" s="171"/>
      <c r="C8" s="171"/>
      <c r="D8" s="171"/>
      <c r="E8" s="171"/>
      <c r="F8" s="63"/>
      <c r="G8" s="170" t="str">
        <f>+Инвойс!G8</f>
        <v xml:space="preserve">ИНН 9725070749, КПП 9725070749 </v>
      </c>
      <c r="H8" s="170"/>
      <c r="I8" s="170"/>
      <c r="J8" s="170"/>
      <c r="K8" s="170"/>
      <c r="L8" s="170"/>
      <c r="M8" s="170"/>
    </row>
    <row r="9" spans="1:15" ht="13.8" x14ac:dyDescent="0.25">
      <c r="A9" s="171" t="str">
        <f>+Инвойс!A9</f>
        <v xml:space="preserve">в Филиал Юнусабад, АКБ «ДАВР БАНК» МФО: 01122 Swift: DVRBUZ22  </v>
      </c>
      <c r="B9" s="171"/>
      <c r="C9" s="171"/>
      <c r="D9" s="171"/>
      <c r="E9" s="171"/>
      <c r="F9" s="7"/>
      <c r="G9" s="170" t="str">
        <f>+Инвойс!G9</f>
        <v>ОГРН 1217700643115, ОКПО 71510756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1" t="str">
        <f>+Инвойс!A10</f>
        <v>Корреспондирующий банк (RUB): АКБ "Азия Инвест Банк"</v>
      </c>
      <c r="B10" s="171"/>
      <c r="C10" s="171"/>
      <c r="D10" s="171"/>
      <c r="E10" s="171"/>
      <c r="F10" s="7"/>
      <c r="G10" s="170" t="str">
        <f>+Инвойс!G10</f>
        <v>Расчетный счет: 40702840200000003588 USD</v>
      </c>
      <c r="H10" s="170"/>
      <c r="I10" s="170"/>
      <c r="J10" s="170"/>
      <c r="K10" s="170"/>
      <c r="L10" s="170"/>
      <c r="M10" s="170"/>
    </row>
    <row r="11" spans="1:15" ht="13.8" x14ac:dyDescent="0.25">
      <c r="A11" s="171" t="str">
        <f>+Инвойс!A11</f>
        <v xml:space="preserve">SWIFT:ASIJRUMM  БИК 044525234,   </v>
      </c>
      <c r="B11" s="171"/>
      <c r="C11" s="171"/>
      <c r="D11" s="171"/>
      <c r="E11" s="171"/>
      <c r="F11" s="7"/>
      <c r="G11" s="170" t="str">
        <f>+Инвойс!G11</f>
        <v>Кор.счет: 30101810445250000234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 t="str">
        <f>+Инвойс!A12</f>
        <v>корр.счет:30111810300000000478LLC</v>
      </c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35" t="str">
        <f>+Инвойс!A14</f>
        <v>OOO «REGION EXPORT-2022»</v>
      </c>
      <c r="B14" s="135"/>
      <c r="C14" s="135"/>
      <c r="D14" s="135"/>
      <c r="E14" s="135"/>
      <c r="F14" s="6"/>
      <c r="G14" s="137" t="str">
        <f>+Инвойс!G14</f>
        <v>ООО «АльянсСити»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71" t="str">
        <f>+Инвойс!A15</f>
        <v>111107, Республика Узбекистан, Ташкентская обл.,</v>
      </c>
      <c r="B15" s="171"/>
      <c r="C15" s="171"/>
      <c r="D15" s="171"/>
      <c r="E15" s="171"/>
      <c r="F15" s="7"/>
      <c r="G15" s="170" t="str">
        <f>+Инвойс!G15</f>
        <v xml:space="preserve">115114, г.Москва , ВН.ТЕР.г.Муниуипальный округ Даниловский, </v>
      </c>
      <c r="H15" s="170"/>
      <c r="I15" s="170"/>
      <c r="J15" s="170"/>
      <c r="K15" s="170"/>
      <c r="L15" s="170"/>
      <c r="M15" s="170"/>
    </row>
    <row r="16" spans="1:15" ht="13.8" x14ac:dyDescent="0.25">
      <c r="A16" s="171" t="str">
        <f>+Инвойс!A16</f>
        <v>Ташкентский р-н, Кук-терак, ул. Зиёкор, д. 1 A</v>
      </c>
      <c r="B16" s="171"/>
      <c r="C16" s="171"/>
      <c r="D16" s="171"/>
      <c r="E16" s="171"/>
      <c r="F16" s="63"/>
      <c r="G16" s="170" t="str">
        <f>+Инвойс!G16</f>
        <v>Наб. Дербеневская, д.13/17, к.2, ЭТ./Помещ. Подвал/III, Ком./Офис 1Б/25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20 208 840 905 495 319 002 (USD)     ИНН: 309307511</v>
      </c>
      <c r="B17" s="171"/>
      <c r="C17" s="171"/>
      <c r="D17" s="171"/>
      <c r="E17" s="171"/>
      <c r="F17" s="63"/>
      <c r="G17" s="170" t="str">
        <f>+Инвойс!G17</f>
        <v xml:space="preserve">ИНН 9725070749, КПП 9725070749 </v>
      </c>
      <c r="H17" s="170"/>
      <c r="I17" s="170"/>
      <c r="J17" s="170"/>
      <c r="K17" s="170"/>
      <c r="L17" s="170"/>
      <c r="M17" s="170"/>
    </row>
    <row r="18" spans="1:17" ht="13.8" x14ac:dyDescent="0.25">
      <c r="A18" s="171" t="str">
        <f>+Инвойс!A18</f>
        <v xml:space="preserve">в Филиал Юнусабад, АКБ «ДАВР БАНК» МФО: 01122 Swift: DVRBUZ22  </v>
      </c>
      <c r="B18" s="171"/>
      <c r="C18" s="171"/>
      <c r="D18" s="171"/>
      <c r="E18" s="171"/>
      <c r="F18" s="7"/>
      <c r="G18" s="170" t="str">
        <f>+Инвойс!G18</f>
        <v>ОГРН 1217700643115, ОКПО 71510756</v>
      </c>
      <c r="H18" s="170"/>
      <c r="I18" s="170"/>
      <c r="J18" s="170"/>
      <c r="K18" s="170"/>
      <c r="L18" s="170"/>
      <c r="M18" s="170"/>
    </row>
    <row r="19" spans="1:17" ht="13.8" x14ac:dyDescent="0.25">
      <c r="A19" s="171" t="str">
        <f>+Инвойс!A19</f>
        <v>Корреспондирующий банк (RUB): АКБ "Азия Инвест Банк"</v>
      </c>
      <c r="B19" s="171"/>
      <c r="C19" s="171"/>
      <c r="D19" s="171"/>
      <c r="E19" s="171"/>
      <c r="F19" s="7"/>
      <c r="G19" s="170" t="str">
        <f>+Инвойс!G19</f>
        <v>Расчетный счет: 40702840200000003588 USD</v>
      </c>
      <c r="H19" s="170"/>
      <c r="I19" s="170"/>
      <c r="J19" s="170"/>
      <c r="K19" s="170"/>
      <c r="L19" s="170"/>
      <c r="M19" s="170"/>
    </row>
    <row r="20" spans="1:17" ht="13.8" x14ac:dyDescent="0.25">
      <c r="A20" s="171" t="str">
        <f>+Инвойс!A20</f>
        <v xml:space="preserve">SWIFT:ASIJRUMM  БИК 044525234,   </v>
      </c>
      <c r="B20" s="171"/>
      <c r="C20" s="171"/>
      <c r="D20" s="171"/>
      <c r="E20" s="171"/>
      <c r="F20" s="7"/>
      <c r="G20" s="170" t="str">
        <f>+Инвойс!G20</f>
        <v>Кор.счет: 30101810445250000234</v>
      </c>
      <c r="H20" s="170"/>
      <c r="I20" s="170"/>
      <c r="J20" s="170"/>
      <c r="K20" s="170"/>
      <c r="L20" s="170"/>
      <c r="M20" s="170"/>
    </row>
    <row r="21" spans="1:17" ht="13.8" x14ac:dyDescent="0.25">
      <c r="A21" s="171" t="str">
        <f>+Инвойс!A21</f>
        <v>корр.счет:30111810300000000478LLC</v>
      </c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132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117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30129DCA/301062BA</v>
      </c>
      <c r="F26" s="154"/>
      <c r="G26" s="154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5">
      <c r="A28" s="146" t="s">
        <v>1</v>
      </c>
      <c r="B28" s="146" t="s">
        <v>2</v>
      </c>
      <c r="C28" s="146" t="s">
        <v>3</v>
      </c>
      <c r="D28" s="146" t="s">
        <v>4</v>
      </c>
      <c r="E28" s="146" t="s">
        <v>5</v>
      </c>
      <c r="F28" s="146" t="s">
        <v>6</v>
      </c>
      <c r="G28" s="150" t="s">
        <v>7</v>
      </c>
      <c r="H28" s="151"/>
      <c r="I28" s="146" t="s">
        <v>8</v>
      </c>
      <c r="J28" s="111" t="s">
        <v>9</v>
      </c>
      <c r="K28" s="150" t="s">
        <v>10</v>
      </c>
      <c r="L28" s="151"/>
      <c r="M28" s="146" t="s">
        <v>11</v>
      </c>
    </row>
    <row r="29" spans="1:17" ht="31.8" x14ac:dyDescent="0.25">
      <c r="A29" s="147"/>
      <c r="B29" s="147"/>
      <c r="C29" s="147"/>
      <c r="D29" s="147"/>
      <c r="E29" s="147"/>
      <c r="F29" s="147"/>
      <c r="G29" s="111" t="s">
        <v>12</v>
      </c>
      <c r="H29" s="111" t="s">
        <v>13</v>
      </c>
      <c r="I29" s="147"/>
      <c r="J29" s="112" t="s">
        <v>14</v>
      </c>
      <c r="K29" s="10" t="s">
        <v>15</v>
      </c>
      <c r="L29" s="10" t="s">
        <v>16</v>
      </c>
      <c r="M29" s="147"/>
    </row>
    <row r="30" spans="1:17" ht="27.6" x14ac:dyDescent="0.25">
      <c r="A30" s="128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2269</v>
      </c>
      <c r="F30" s="116" t="str">
        <f>+Инвойс!F30</f>
        <v>кг</v>
      </c>
      <c r="G30" s="106">
        <f>+Инвойс!G30</f>
        <v>20421</v>
      </c>
      <c r="H30" s="106">
        <f>+Инвойс!H30</f>
        <v>17244</v>
      </c>
      <c r="I30" s="108">
        <f>+Инвойс!I30</f>
        <v>1</v>
      </c>
      <c r="J30" s="13">
        <f>+Инвойс!J30</f>
        <v>17244</v>
      </c>
      <c r="K30" s="12">
        <v>0</v>
      </c>
      <c r="L30" s="12">
        <v>0</v>
      </c>
      <c r="M30" s="13">
        <f>+Инвойс!M30</f>
        <v>17244</v>
      </c>
      <c r="O30" s="100"/>
      <c r="Q30" s="100"/>
    </row>
    <row r="31" spans="1:17" ht="27.6" x14ac:dyDescent="0.25">
      <c r="A31" s="128">
        <f>+Инвойс!A31</f>
        <v>2</v>
      </c>
      <c r="B31" s="101" t="str">
        <f>+Инвойс!B31</f>
        <v>Виноград свежий столовых сортов</v>
      </c>
      <c r="C31" s="107" t="str">
        <f>+Инвойс!C31</f>
        <v>0806101001</v>
      </c>
      <c r="D31" s="115" t="str">
        <f>+Инвойс!D31</f>
        <v>Пласт. ящик</v>
      </c>
      <c r="E31" s="101">
        <f>+Инвойс!E31</f>
        <v>17</v>
      </c>
      <c r="F31" s="116" t="str">
        <f>+Инвойс!F31</f>
        <v>кг</v>
      </c>
      <c r="G31" s="106">
        <f>+Инвойс!G31</f>
        <v>97</v>
      </c>
      <c r="H31" s="106">
        <f>+Инвойс!H31</f>
        <v>87</v>
      </c>
      <c r="I31" s="108">
        <f>+Инвойс!I31</f>
        <v>1</v>
      </c>
      <c r="J31" s="13">
        <f>+Инвойс!J31</f>
        <v>87</v>
      </c>
      <c r="K31" s="12">
        <v>0</v>
      </c>
      <c r="L31" s="12">
        <v>0</v>
      </c>
      <c r="M31" s="13">
        <f>+Инвойс!M31</f>
        <v>87</v>
      </c>
      <c r="O31" s="100"/>
      <c r="Q31" s="100"/>
    </row>
    <row r="32" spans="1:17" ht="13.8" x14ac:dyDescent="0.25">
      <c r="A32" s="148" t="s">
        <v>0</v>
      </c>
      <c r="B32" s="149"/>
      <c r="C32" s="14"/>
      <c r="D32" s="15"/>
      <c r="E32" s="64">
        <f>SUM(E30:E31)</f>
        <v>2286</v>
      </c>
      <c r="F32" s="15"/>
      <c r="G32" s="64">
        <f>SUM(G30:G31)</f>
        <v>20518</v>
      </c>
      <c r="H32" s="64">
        <f>SUM(H30:H31)</f>
        <v>17331</v>
      </c>
      <c r="I32" s="102"/>
      <c r="J32" s="17">
        <f>SUM(J30:J31)</f>
        <v>17331</v>
      </c>
      <c r="K32" s="16"/>
      <c r="L32" s="16"/>
      <c r="M32" s="17">
        <f>SUM(M30:M31)</f>
        <v>17331</v>
      </c>
      <c r="P32" s="66"/>
    </row>
    <row r="33" spans="1:14" ht="13.8" x14ac:dyDescent="0.3">
      <c r="A33" s="2" t="s">
        <v>17</v>
      </c>
      <c r="B33" s="3"/>
      <c r="C33" s="11"/>
      <c r="D33" s="11"/>
      <c r="E33" s="144" t="str">
        <f>Лист1!B3</f>
        <v>Семнадцать тысяч триста тридцать один доллар США,00 центов.</v>
      </c>
      <c r="F33" s="145"/>
      <c r="G33" s="145"/>
      <c r="H33" s="145"/>
      <c r="I33" s="145"/>
      <c r="J33" s="145"/>
      <c r="K33" s="145"/>
      <c r="L33" s="145"/>
      <c r="M33" s="145"/>
    </row>
    <row r="34" spans="1:14" ht="20.25" customHeight="1" x14ac:dyDescent="0.25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</row>
    <row r="35" spans="1:14" ht="25.5" customHeight="1" x14ac:dyDescent="0.25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6"/>
    </row>
    <row r="37" spans="1:14" ht="15.6" x14ac:dyDescent="0.3">
      <c r="A37" s="7" t="s">
        <v>149</v>
      </c>
      <c r="B37" s="7"/>
      <c r="D37" s="25" t="s">
        <v>148</v>
      </c>
      <c r="E37" s="24"/>
      <c r="G37" s="130" t="s">
        <v>150</v>
      </c>
      <c r="K37" s="131" t="s">
        <v>151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7" t="s">
        <v>118</v>
      </c>
    </row>
    <row r="3" spans="1:1" ht="52.8" x14ac:dyDescent="0.25">
      <c r="A3" s="132" t="s">
        <v>134</v>
      </c>
    </row>
    <row r="5" spans="1:1" ht="39.6" x14ac:dyDescent="0.25">
      <c r="A5" s="127" t="s">
        <v>119</v>
      </c>
    </row>
    <row r="7" spans="1:1" ht="52.8" x14ac:dyDescent="0.25">
      <c r="A7" s="127" t="s">
        <v>120</v>
      </c>
    </row>
    <row r="9" spans="1:1" ht="52.8" x14ac:dyDescent="0.25">
      <c r="A9" s="127" t="s">
        <v>121</v>
      </c>
    </row>
    <row r="10" spans="1:1" x14ac:dyDescent="0.25">
      <c r="A10" s="127"/>
    </row>
    <row r="11" spans="1:1" ht="52.8" x14ac:dyDescent="0.25">
      <c r="A11" s="127" t="s">
        <v>122</v>
      </c>
    </row>
    <row r="13" spans="1:1" ht="52.8" x14ac:dyDescent="0.25">
      <c r="A13" s="127" t="s">
        <v>123</v>
      </c>
    </row>
    <row r="15" spans="1:1" ht="39.6" x14ac:dyDescent="0.25">
      <c r="A15" s="127" t="s">
        <v>124</v>
      </c>
    </row>
    <row r="17" spans="1:1" ht="39.6" x14ac:dyDescent="0.25">
      <c r="A17" s="127" t="s">
        <v>125</v>
      </c>
    </row>
    <row r="19" spans="1:1" ht="39.6" x14ac:dyDescent="0.25">
      <c r="A19" s="129" t="s">
        <v>131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Инвойс!M32</f>
        <v>17331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Семнадцать тысяч триста тридцать один доллар США,00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45882</v>
      </c>
      <c r="O3" s="177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Семнадцать тысяч триста тридцать один доллар США,00 центов. (в т.ч. НДС - 357,79)</v>
      </c>
      <c r="H4" s="32"/>
      <c r="I4" s="32"/>
      <c r="J4" s="32"/>
      <c r="K4" s="178" t="str">
        <f ca="1">CONCATENATE(" «  ",P3,"  »  ",Q3,"  ",R3," г.")</f>
        <v xml:space="preserve"> «  13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семнадцать тысяч триста тридцать один доллар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семнадцать тысяч триста тридцать один доллар США,00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241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с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семнадцать тысяч </v>
      </c>
      <c r="D10" s="47"/>
      <c r="E10" s="48"/>
      <c r="F10" s="41" t="str">
        <f>PROPER(F9)</f>
        <v>С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триста тридцать один доллар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17331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17</v>
      </c>
      <c r="B25" s="47">
        <f>TRUNC(RIGHT(A25))</f>
        <v>7</v>
      </c>
      <c r="C25" s="51">
        <f>IF(B24=1,B25+10,IF(B25=0,0,B25))</f>
        <v>17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семь </v>
      </c>
      <c r="F25" s="43" t="str">
        <f>IF(AND(C25&gt;15,C25&lt;20),IF(C25=16,D40,IF(C25=17,D41,IF(C25=18,D42,IF(C25=19,D43,)))),"")</f>
        <v xml:space="preserve">семнадцать </v>
      </c>
    </row>
    <row r="26" spans="1:9" s="43" customFormat="1" x14ac:dyDescent="0.25">
      <c r="A26" s="54"/>
      <c r="B26" s="47"/>
      <c r="C26" s="51"/>
      <c r="E26" s="57">
        <f>B23*100+B24*10+B25</f>
        <v>17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173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1733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17331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331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2025-08-13T08:09:44Z</cp:lastPrinted>
  <dcterms:created xsi:type="dcterms:W3CDTF">1996-10-14T23:33:28Z</dcterms:created>
  <dcterms:modified xsi:type="dcterms:W3CDTF">2025-08-13T08:09:48Z</dcterms:modified>
</cp:coreProperties>
</file>