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G4" i="7"/>
  <c r="A4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<sst xmlns="http://schemas.openxmlformats.org/spreadsheetml/2006/main" count="214" uniqueCount="166">
  <si>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</si>
  <si>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</si>
  <si>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</si>
  <si>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</si>
  <si>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</si>
  <si>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</si>
  <si>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</si>
  <si>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</si>
  <si>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</si>
  <si>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</si>
  <si>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</si>
  <si>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</si>
  <si>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</si>
  <si>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</si>
  <si>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</si>
  <si>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</si>
  <si>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</si>
  <si>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</si>
  <si>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</si>
  <si>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</si>
  <si>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</si>
  <si>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</si>
  <si>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</si>
  <si>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</si>
  <si>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</si>
  <si>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</si>
  <si>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</si>
  <si>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</si>
  <si>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</si>
  <si>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</si>
  <si>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</si>
  <si>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</si>
  <si>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</si>
  <si>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</si>
  <si>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</si>
  <si>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</si>
  <si>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</si>
  <si>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</si>
  <si>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</si>
  <si>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</si>
  <si>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</si>
  <si>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</si>
  <si>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</si>
  <si>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</si>
  <si>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</si>
  <si>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</si>
  <si>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</si>
  <si>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</si>
  <si>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</si>
  <si>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</si>
  <si>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</si>
  <si>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</si>
  <si>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</si>
  <si>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</si>
  <si>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</si>
  <si>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</si>
  <si>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</si>
  <si>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</si>
  <si>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</si>
  <si>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</si>
  <si>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</si>
  <si>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</si>
  <si>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</si>
  <si>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</si>
  <si>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</si>
  <si>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</si>
  <si>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</si>
  <si>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</si>
  <si>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</si>
  <si>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</si>
  <si>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</si>
  <si>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</si>
  <si>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</si>
  <si>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</si>
  <si>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</si>
  <si>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</si>
  <si>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</si>
  <si>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</si>
  <si>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</si>
  <si>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</si>
  <si>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</si>
  <si>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</si>
  <si>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</si>
  <si>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</si>
  <si>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</si>
  <si>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</si>
  <si>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</si>
  <si>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</si>
  <si>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</si>
  <si>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</si>
  <si>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</si>
  <si>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</si>
  <si>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</si>
  <si>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</si>
  <si>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</si>
  <si>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</si>
  <si>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</si>
  <si>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</si>
  <si>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</si>
  <si>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</si>
  <si>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</si>
  <si>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</si>
  <si>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</si>
  <si>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</si>
  <si>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</si>
  <si>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</si>
  <si>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</si>
  <si>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</si>
  <si>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</si>
  <si>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Капуста белокачанная свежая</t>
  </si>
  <si>
    <t xml:space="preserve">Капуста цветная свежая </t>
  </si>
  <si>
    <t>0704100000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</si>
  <si>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</si>
  <si>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</si>
  <si>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</si>
  <si>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</si>
  <si>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</si>
  <si>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</si>
  <si>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</si>
  <si>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</si>
  <si>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</si>
  <si>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</si>
  <si>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</si>
  <si>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0704901002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</si>
  <si>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</si>
  <si>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</si>
  <si>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</si>
  <si>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</si>
  <si>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</si>
  <si>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</si>
  <si>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</si>
  <si>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</si>
  <si>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</si>
  <si>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</si>
  <si>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</si>
  <si>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</si>
  <si>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</si>
  <si>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</si>
  <si>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</si>
  <si>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</si>
  <si>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</si>
  <si>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</si>
  <si>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</si>
  <si>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</si>
  <si>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</si>
  <si>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</si>
  <si>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</si>
  <si>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</si>
  <si>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</si>
  <si>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</si>
  <si>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</si>
  <si>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</si>
  <si>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</si>
  <si>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</si>
  <si>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</si>
  <si>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</si>
  <si>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</si>
  <si>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</si>
  <si>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</si>
  <si>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</si>
  <si>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</si>
  <si>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 xml:space="preserve"> 09.09.2025г.</t>
  </si>
  <si>
    <t>ИНН: 312294736</t>
  </si>
  <si>
    <t xml:space="preserve">ИНВОЙС № EXG-F-56 от </t>
  </si>
  <si>
    <t>40494FCA/105071BA</t>
  </si>
  <si>
    <t xml:space="preserve">СПЕЦИФИКАЦИЯ № EXG-F-56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</si>
</sst>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37</xdr:row>
      <xdr:rowOff>57978</xdr:rowOff>
    </xdr:from>
    <xdr:to>
      <xdr:col>11</xdr:col>
      <xdr:colOff>123265</xdr:colOff>
      <xdr:row>50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37</xdr:row>
      <xdr:rowOff>56029</xdr:rowOff>
    </xdr:from>
    <xdr:to>
      <xdr:col>12</xdr:col>
      <xdr:colOff>381000</xdr:colOff>
      <xdr:row>39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163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159</v>
      </c>
      <c r="B4" s="137"/>
      <c r="C4" s="137"/>
      <c r="D4" s="137"/>
      <c r="E4" s="137"/>
      <c r="G4" s="137" t="s">
        <v>160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162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hidden="1" customHeight="1" x14ac:dyDescent="0.25">
      <c r="A13" s="137" t="s">
        <v>29</v>
      </c>
      <c r="B13" s="137"/>
      <c r="C13" s="137"/>
      <c r="D13" s="137"/>
      <c r="E13" s="137"/>
      <c r="G13" s="137" t="s">
        <v>19</v>
      </c>
      <c r="H13" s="145"/>
      <c r="I13" s="145"/>
      <c r="J13" s="145"/>
      <c r="K13" s="145"/>
      <c r="L13" s="145"/>
      <c r="M13" s="145"/>
    </row>
    <row r="14" spans="1:15" ht="14.25" hidden="1" customHeight="1" x14ac:dyDescent="0.2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" hidden="1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5" hidden="1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hidden="1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hidden="1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20</v>
      </c>
      <c r="C24" s="18" t="s">
        <v>157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110</v>
      </c>
      <c r="C30" s="107" t="s">
        <v>111</v>
      </c>
      <c r="D30" s="109" t="s">
        <v>112</v>
      </c>
      <c r="E30" s="101">
        <v>1830</v>
      </c>
      <c r="F30" s="110" t="s">
        <v>25</v>
      </c>
      <c r="G30" s="106">
        <v>20256</v>
      </c>
      <c r="H30" s="106">
        <v>18426</v>
      </c>
      <c r="I30" s="108">
        <v>0.7</v>
      </c>
      <c r="J30" s="13">
        <f t="shared" ref="J30:J31" si="0">H30*I30</f>
        <v>12898.199999999999</v>
      </c>
      <c r="K30" s="12">
        <v>0</v>
      </c>
      <c r="L30" s="12">
        <v>0</v>
      </c>
      <c r="M30" s="13">
        <f t="shared" ref="M30:M31" si="1">J30</f>
        <v>12898.199999999999</v>
      </c>
      <c r="O30" s="100"/>
      <c r="Q30" s="100"/>
    </row>
    <row r="31" spans="1:17" ht="30" x14ac:dyDescent="0.2">
      <c r="A31" s="127">
        <v>2</v>
      </c>
      <c r="B31" s="101" t="s">
        <v>109</v>
      </c>
      <c r="C31" s="107" t="s">
        <v>123</v>
      </c>
      <c r="D31" s="109" t="s">
        <v>112</v>
      </c>
      <c r="E31" s="101">
        <v>2</v>
      </c>
      <c r="F31" s="116" t="s">
        <v>25</v>
      </c>
      <c r="G31" s="106">
        <v>44</v>
      </c>
      <c r="H31" s="106">
        <v>42</v>
      </c>
      <c r="I31" s="108">
        <v>0.3</v>
      </c>
      <c r="J31" s="13">
        <f t="shared" si="0"/>
        <v>12.6</v>
      </c>
      <c r="K31" s="12">
        <v>0</v>
      </c>
      <c r="L31" s="12">
        <v>0</v>
      </c>
      <c r="M31" s="13">
        <f t="shared" si="1"/>
        <v>12.6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1832</v>
      </c>
      <c r="F32" s="15"/>
      <c r="G32" s="64">
        <f>SUM(G30:G31)</f>
        <v>20300</v>
      </c>
      <c r="H32" s="64">
        <f>SUM(H30:H31)</f>
        <v>18468</v>
      </c>
      <c r="I32" s="102"/>
      <c r="J32" s="17">
        <f>SUM(J30:J31)</f>
        <v>12910.8</v>
      </c>
      <c r="K32" s="16"/>
      <c r="L32" s="16"/>
      <c r="M32" s="17">
        <f>SUM(M30:M31)</f>
        <v>12910.8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Двенадцать тысяч девятьсот десять долларов США, 80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107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26</v>
      </c>
      <c r="B37" s="7"/>
      <c r="D37" s="25" t="s">
        <v>152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27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EXG-F-56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104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1830</v>
      </c>
      <c r="D30" s="103" t="str">
        <f>+Инвойс!D30</f>
        <v>Пласт. ящик</v>
      </c>
      <c r="E30" s="103"/>
      <c r="F30" s="103" t="str">
        <f>+Инвойс!B30</f>
        <v xml:space="preserve">Капуста цветная свежая </v>
      </c>
      <c r="G30" s="104" t="str">
        <f>+Инвойс!C30</f>
        <v>0704100000</v>
      </c>
      <c r="H30" s="103"/>
      <c r="I30" s="105">
        <f>+Инвойс!G30</f>
        <v>20256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</v>
      </c>
      <c r="D31" s="103" t="str">
        <f>+Инвойс!D31</f>
        <v>Пласт. ящик</v>
      </c>
      <c r="E31" s="103"/>
      <c r="F31" s="103" t="str">
        <f>+Инвойс!B31</f>
        <v>Капуста белокачанная свежая</v>
      </c>
      <c r="G31" s="104" t="str">
        <f>+Инвойс!C31</f>
        <v>0704901002</v>
      </c>
      <c r="H31" s="103"/>
      <c r="I31" s="105">
        <f>+Инвойс!G31</f>
        <v>44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40494FCA/105071BA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94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4" t="str">
        <f>+Инвойс!E26</f>
        <v>40494FCA/105071BA</v>
      </c>
      <c r="C14" s="164"/>
      <c r="D14" s="164"/>
      <c r="E14" s="164"/>
      <c r="F14" s="164"/>
      <c r="G14" s="164"/>
      <c r="H14" s="165" t="s">
        <v>105</v>
      </c>
      <c r="I14" s="165"/>
      <c r="J14" s="88" t="str">
        <f>+Инвойс!F1</f>
        <v xml:space="preserve"> 09.09.2025г.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66" t="str">
        <f>+CMR!B24</f>
        <v>ИНВОЙС № EXG-F-56 от  09.09.2025г.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7"/>
      <c r="F18" s="118">
        <f>+Инвойс!E30</f>
        <v>1830</v>
      </c>
      <c r="G18" s="167" t="str">
        <f>+CMR!F30</f>
        <v xml:space="preserve">Капуста цветная свежая 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0704100000</v>
      </c>
      <c r="H19" s="162"/>
      <c r="I19" s="122" t="s">
        <v>101</v>
      </c>
      <c r="J19" s="120">
        <f>+Инвойс!G30</f>
        <v>20256</v>
      </c>
    </row>
    <row r="20" spans="2:10" ht="13.5" customHeight="1" x14ac:dyDescent="0.25">
      <c r="B20" s="83"/>
      <c r="E20" s="123"/>
      <c r="F20" s="118">
        <f>+Инвойс!E31</f>
        <v>2</v>
      </c>
      <c r="G20" s="167" t="str">
        <f>+CMR!F31</f>
        <v>Капуста белокачанная свежая</v>
      </c>
      <c r="H20" s="167"/>
      <c r="I20" s="119"/>
      <c r="J20" s="120"/>
    </row>
    <row r="21" spans="2:10" ht="13.5" customHeight="1" x14ac:dyDescent="0.25">
      <c r="B21" s="83" t="s">
        <v>102</v>
      </c>
      <c r="E21" s="123"/>
      <c r="F21" s="121" t="str">
        <f>+Инвойс!D31</f>
        <v>Пласт. ящик</v>
      </c>
      <c r="G21" s="161" t="str">
        <f>+Инвойс!C31</f>
        <v>0704901002</v>
      </c>
      <c r="H21" s="162"/>
      <c r="I21" s="122" t="s">
        <v>101</v>
      </c>
      <c r="J21" s="120">
        <f>+Инвойс!G31</f>
        <v>44</v>
      </c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1832</v>
      </c>
      <c r="E47" s="171"/>
    </row>
    <row r="48" spans="2:10" ht="17.25" customHeight="1" x14ac:dyDescent="0.25">
      <c r="B48" s="168" t="s">
        <v>103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165</v>
      </c>
      <c r="C1" s="174"/>
      <c r="D1" s="174"/>
      <c r="E1" s="174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tr">
        <f>+Инвойс!A4</f>
        <v xml:space="preserve">Продавец/Грузоотправитель:  </v>
      </c>
      <c r="B4" s="137"/>
      <c r="C4" s="137"/>
      <c r="D4" s="137"/>
      <c r="E4" s="137"/>
      <c r="G4" s="137" t="str">
        <f>+Инвойс!G4</f>
        <v xml:space="preserve">Покупатель/Грузополучатель: 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hidden="1" customHeight="1" x14ac:dyDescent="0.25">
      <c r="A13" s="137" t="s">
        <v>29</v>
      </c>
      <c r="B13" s="137"/>
      <c r="C13" s="137"/>
      <c r="D13" s="137"/>
      <c r="E13" s="137"/>
      <c r="G13" s="137" t="s">
        <v>19</v>
      </c>
      <c r="H13" s="145"/>
      <c r="I13" s="145"/>
      <c r="J13" s="145"/>
      <c r="K13" s="145"/>
      <c r="L13" s="145"/>
      <c r="M13" s="145"/>
    </row>
    <row r="14" spans="1:15" ht="14.25" hidden="1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hidden="1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hidden="1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hidden="1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hidden="1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hidden="1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hidden="1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hidden="1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85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55" t="str">
        <f>+Инвойс!E26</f>
        <v>40494FCA/105071BA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 xml:space="preserve">Капуста цветная свежая </v>
      </c>
      <c r="C30" s="107" t="str">
        <f>+Инвойс!C30</f>
        <v>0704100000</v>
      </c>
      <c r="D30" s="115" t="str">
        <f>+Инвойс!D30</f>
        <v>Пласт. ящик</v>
      </c>
      <c r="E30" s="101">
        <f>+Инвойс!E30</f>
        <v>1830</v>
      </c>
      <c r="F30" s="116" t="str">
        <f>+Инвойс!F30</f>
        <v>кг</v>
      </c>
      <c r="G30" s="106">
        <f>+Инвойс!G30</f>
        <v>20256</v>
      </c>
      <c r="H30" s="106">
        <f>+Инвойс!H30</f>
        <v>18426</v>
      </c>
      <c r="I30" s="108">
        <f>+Инвойс!I30</f>
        <v>0.7</v>
      </c>
      <c r="J30" s="13">
        <f>+Инвойс!J30</f>
        <v>12898.199999999999</v>
      </c>
      <c r="K30" s="12">
        <v>0</v>
      </c>
      <c r="L30" s="12">
        <v>0</v>
      </c>
      <c r="M30" s="13">
        <f>+Инвойс!M30</f>
        <v>12898.199999999999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Капуста белокачанная свежая</v>
      </c>
      <c r="C31" s="107" t="str">
        <f>+Инвойс!C31</f>
        <v>0704901002</v>
      </c>
      <c r="D31" s="115" t="str">
        <f>+Инвойс!D31</f>
        <v>Пласт. ящик</v>
      </c>
      <c r="E31" s="101">
        <f>+Инвойс!E31</f>
        <v>2</v>
      </c>
      <c r="F31" s="116" t="str">
        <f>+Инвойс!F31</f>
        <v>кг</v>
      </c>
      <c r="G31" s="106">
        <f>+Инвойс!G31</f>
        <v>44</v>
      </c>
      <c r="H31" s="106">
        <f>+Инвойс!H31</f>
        <v>42</v>
      </c>
      <c r="I31" s="108">
        <f>+Инвойс!I31</f>
        <v>0.3</v>
      </c>
      <c r="J31" s="13">
        <f>+Инвойс!J31</f>
        <v>12.6</v>
      </c>
      <c r="K31" s="12">
        <v>0</v>
      </c>
      <c r="L31" s="12">
        <v>0</v>
      </c>
      <c r="M31" s="13">
        <f>+Инвойс!M31</f>
        <v>12.6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1832</v>
      </c>
      <c r="F32" s="15"/>
      <c r="G32" s="64">
        <f>SUM(G30:G31)</f>
        <v>20300</v>
      </c>
      <c r="H32" s="64">
        <f>SUM(H30:H31)</f>
        <v>18468</v>
      </c>
      <c r="I32" s="102"/>
      <c r="J32" s="17">
        <f>SUM(J30:J31)</f>
        <v>12910.8</v>
      </c>
      <c r="K32" s="16"/>
      <c r="L32" s="16"/>
      <c r="M32" s="17">
        <f>SUM(M30:M31)</f>
        <v>12910.8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Двенадцать тысяч девятьсот десять долларов США, 80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1" t="s">
        <v>153</v>
      </c>
      <c r="B37" s="131"/>
      <c r="D37" s="18" t="str">
        <f>+Инвойс!D37</f>
        <v>АБДИЛАКИМОВ А.А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117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118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12910.8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Двенадцать тысяч девятьсот десять долларов США, 80 центов.</v>
      </c>
      <c r="E3" s="31"/>
      <c r="H3" s="32"/>
      <c r="J3" s="32"/>
      <c r="K3" s="32"/>
      <c r="L3" s="32"/>
      <c r="M3" s="33" t="s">
        <v>32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Двенадцать тысяч девятьсот десять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двенадцать тысяч девятьсот десять долларов США, 80 центов.</v>
      </c>
    </row>
    <row r="6" spans="1:19" s="36" customFormat="1" x14ac:dyDescent="0.2">
      <c r="A6" s="38" t="s">
        <v>35</v>
      </c>
      <c r="B6" s="36" t="str">
        <f>CONCATENATE(A8,A9,A10,A11,A12,B8,B9,C9)</f>
        <v>двенадцать тысяч девятьсот десять долларов США, 80 центов. (в т.ч. НДС - 357,79)</v>
      </c>
      <c r="C6"/>
      <c r="D6"/>
      <c r="E6"/>
      <c r="H6" s="39"/>
    </row>
    <row r="7" spans="1:19" x14ac:dyDescent="0.2">
      <c r="D7" s="33"/>
      <c r="H7" s="180" t="s">
        <v>36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десять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12910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129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1291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12910</v>
      </c>
      <c r="B29" s="47">
        <f>TRUNC(RIGHT(A29))</f>
        <v>0</v>
      </c>
      <c r="C29" s="51">
        <f>IF(B28=1,B29+10,IF(B29=0,0,B29))</f>
        <v>10</v>
      </c>
      <c r="D29" s="43" t="str">
        <f>IF(AND(C29&gt;9,C29&lt;16),IF(C29=10,D34,IF(C29=11,D35,IF(C29=12,D36,IF(C29=13,D37,IF(C29=14,D38,IF(C29=15,D39,)))))),"")</f>
        <v xml:space="preserve">десять </v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910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1" t="s">
        <v>79</v>
      </c>
      <c r="B44" s="181"/>
      <c r="C44" s="181"/>
      <c r="D44" s="181"/>
      <c r="E44" s="181"/>
      <c r="F44" s="181"/>
      <c r="G44" s="181"/>
      <c r="H44" s="181"/>
      <c r="I44" s="181"/>
      <c r="J44" s="176" t="s">
        <v>80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81</v>
      </c>
      <c r="H46" s="175"/>
      <c r="I46" s="175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83</v>
      </c>
      <c r="B100" s="176"/>
      <c r="C100" s="176"/>
      <c r="D100" s="176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2025-09-09T18:47:35Z</cp:lastPrinted>
  <dcterms:created xsi:type="dcterms:W3CDTF">1996-10-14T23:33:28Z</dcterms:created>
  <dcterms:modified xsi:type="dcterms:W3CDTF">2025-09-09T18:47:36Z</dcterms:modified>
</cp:coreProperties>
</file>