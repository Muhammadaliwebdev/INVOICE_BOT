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0B7EF2F-4BA9-4F6C-99C3-260DCD8858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<sst xmlns="http://schemas.openxmlformats.org/spreadsheetml/2006/main" count="211" uniqueCount="164">
  <si>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</si>
  <si>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</si>
  <si>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</si>
  <si>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</si>
  <si>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</si>
  <si>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</si>
  <si>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</si>
  <si>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</si>
  <si>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</si>
  <si>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</si>
  <si>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</si>
  <si>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</si>
  <si>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</si>
  <si>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</si>
  <si>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</si>
  <si>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</si>
  <si>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</si>
  <si>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</si>
  <si>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</si>
  <si>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</si>
  <si>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</si>
  <si>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</si>
  <si>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</si>
  <si>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</si>
  <si>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</si>
  <si>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</si>
  <si>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</si>
  <si>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</si>
  <si>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</si>
  <si>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</si>
  <si>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</si>
  <si>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</si>
  <si>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</si>
  <si>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</si>
  <si>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</si>
  <si>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</si>
  <si>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</si>
  <si>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</si>
  <si>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</si>
  <si>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</si>
  <si>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</si>
  <si>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</si>
  <si>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</si>
  <si>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</si>
  <si>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</si>
  <si>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</si>
  <si>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</si>
  <si>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</si>
  <si>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</si>
  <si>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</si>
  <si>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</si>
  <si>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</si>
  <si>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</si>
  <si>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</si>
  <si>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</si>
  <si>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</si>
  <si>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</si>
  <si>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</si>
  <si>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</si>
  <si>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</si>
  <si>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</si>
  <si>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</si>
  <si>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</si>
  <si>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</si>
  <si>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</si>
  <si>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</si>
  <si>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</si>
  <si>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</si>
  <si>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</si>
  <si>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</si>
  <si>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</si>
  <si>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</si>
  <si>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</si>
  <si>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</si>
  <si>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</si>
  <si>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</si>
  <si>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</si>
  <si>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</si>
  <si>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</si>
  <si>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</si>
  <si>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</si>
  <si>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</si>
  <si>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</si>
  <si>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</si>
  <si>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</si>
  <si>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</si>
  <si>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</si>
  <si>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</si>
  <si>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</si>
  <si>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</si>
  <si>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</si>
  <si>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</si>
  <si>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</si>
  <si>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</si>
  <si>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</si>
  <si>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</si>
  <si>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</si>
  <si>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</si>
  <si>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</si>
  <si>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</si>
  <si>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</si>
  <si>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</si>
  <si>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</si>
  <si>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</si>
  <si>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</si>
  <si>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</si>
  <si>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</si>
  <si>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</si>
  <si>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</si>
  <si>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</si>
  <si>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</si>
  <si>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</si>
  <si>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</si>
  <si>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</si>
  <si>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</si>
  <si>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</si>
  <si>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</si>
  <si>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</si>
  <si>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</si>
  <si>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</si>
  <si>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</si>
  <si>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</si>
  <si>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</si>
  <si>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</si>
  <si>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</si>
  <si>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</si>
  <si>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</si>
  <si>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</si>
  <si>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</si>
  <si>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</si>
  <si>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</si>
  <si>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</si>
  <si>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</si>
  <si>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</si>
  <si>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</si>
  <si>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</si>
  <si>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</si>
  <si>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</si>
  <si>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</si>
  <si>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</si>
  <si>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</si>
  <si>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</si>
  <si>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</si>
  <si>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</si>
  <si>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</si>
  <si>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</si>
  <si>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</si>
  <si>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</si>
  <si>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РЕСПУБЛИКА УЗБЕКИСТАН. СУРХАНДАРЬИНСКАЯ ОБЛАСТЬ,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</si>
  <si>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</si>
  <si>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</si>
  <si>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</si>
  <si>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к контракту № GR-UF-01 от 22.08.2025 года</t>
  </si>
  <si>
    <t>OOO UCHQIZIL FRUITS EXPORT</t>
  </si>
  <si>
    <t>ТЕРМИЗСКИЙ РАЙОН,ЯНГИХАЯТ МФЙ, УЛИЦА БОГИ ШАМОЛ, 20-А</t>
  </si>
  <si>
    <t>Доллар США: 20208840207293094001</t>
  </si>
  <si>
    <t>ИНН: 312357782</t>
  </si>
  <si>
    <t>ЭШТЕМИРОВ Х.Х</t>
  </si>
  <si>
    <t>Директор:  OOO UCHQIZIL FRUITS EXPORT</t>
  </si>
  <si>
    <t>г.Челябинский таможенный пост г.Челябинск ул. Ениссйская, 87А код поста 10504080   ООО "ГРИН ВОРЛД" 
RU/0237/2 от 27.12.2024</t>
  </si>
  <si>
    <t xml:space="preserve">ИНВОЙС № UFG-M-30 от </t>
  </si>
  <si>
    <t xml:space="preserve"> 30.08.2025г.</t>
  </si>
  <si>
    <t>40X801HA/408603AA</t>
  </si>
  <si>
    <t xml:space="preserve">СПЕЦИФИКАЦИЯ № UFG-M-30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</si>
</sst>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930088</xdr:colOff>
      <xdr:row>36</xdr:row>
      <xdr:rowOff>89647</xdr:rowOff>
    </xdr:from>
    <xdr:to>
      <xdr:col>4</xdr:col>
      <xdr:colOff>212668</xdr:colOff>
      <xdr:row>48</xdr:row>
      <xdr:rowOff>11206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EDAF594-B21E-4A36-9C5E-1385B795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76" y="20237823"/>
          <a:ext cx="2823639" cy="1972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448233</xdr:colOff>
      <xdr:row>36</xdr:row>
      <xdr:rowOff>56029</xdr:rowOff>
    </xdr:from>
    <xdr:to>
      <xdr:col>3</xdr:col>
      <xdr:colOff>459195</xdr:colOff>
      <xdr:row>47</xdr:row>
      <xdr:rowOff>134471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B2499F-762F-4CD6-9ECF-9C83B26C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1" y="19083617"/>
          <a:ext cx="2823639" cy="1972236"/>
        </a:xfrm>
        <a:prstGeom prst="rect">
          <a:avLst/>
        </a:prstGeom>
      </xdr:spPr>
    </xdr:pic>
    <xdr:clientData/>
  </xdr:twoCellAnchor>
  <xdr:twoCellAnchor>
    <xdr:from>
      <xdr:col>6</xdr:col>
      <xdr:colOff>235323</xdr:colOff>
      <xdr:row>36</xdr:row>
      <xdr:rowOff>67235</xdr:rowOff>
    </xdr:from>
    <xdr:to>
      <xdr:col>9</xdr:col>
      <xdr:colOff>421901</xdr:colOff>
      <xdr:row>47</xdr:row>
      <xdr:rowOff>151371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B41831B-BA9B-41AB-9EFF-FFD623C26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9882" y="19094823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5" t="s">
        <v>160</v>
      </c>
      <c r="D1" s="135"/>
      <c r="E1" s="135"/>
      <c r="F1" s="134" t="s">
        <v>161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">
        <v>152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">
        <v>153</v>
      </c>
      <c r="B5" s="136"/>
      <c r="C5" s="136"/>
      <c r="D5" s="136"/>
      <c r="E5" s="136"/>
      <c r="F5" s="6"/>
      <c r="G5" s="138" t="s">
        <v>140</v>
      </c>
      <c r="H5" s="138"/>
      <c r="I5" s="138"/>
      <c r="J5" s="138"/>
      <c r="K5" s="138"/>
      <c r="L5" s="138"/>
      <c r="M5" s="138"/>
    </row>
    <row r="6" spans="1:15" ht="15" customHeight="1" x14ac:dyDescent="0.25">
      <c r="A6" s="142" t="s">
        <v>148</v>
      </c>
      <c r="B6" s="143"/>
      <c r="C6" s="143"/>
      <c r="D6" s="143"/>
      <c r="E6" s="143"/>
      <c r="F6" s="7"/>
      <c r="G6" s="140" t="s">
        <v>141</v>
      </c>
      <c r="H6" s="140"/>
      <c r="I6" s="140"/>
      <c r="J6" s="140"/>
      <c r="K6" s="140"/>
      <c r="L6" s="140"/>
      <c r="M6" s="140"/>
      <c r="N6" s="4"/>
    </row>
    <row r="7" spans="1:15" ht="13.8" x14ac:dyDescent="0.25">
      <c r="A7" s="143" t="s">
        <v>154</v>
      </c>
      <c r="B7" s="143"/>
      <c r="C7" s="143"/>
      <c r="D7" s="143"/>
      <c r="E7" s="143"/>
      <c r="F7" s="63"/>
      <c r="G7" s="140" t="s">
        <v>142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149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155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150</v>
      </c>
      <c r="B10" s="125"/>
      <c r="C10" s="125"/>
      <c r="D10" s="125"/>
      <c r="E10" s="125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151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156</v>
      </c>
      <c r="B12" s="8"/>
      <c r="C12" s="8"/>
      <c r="D12" s="8"/>
      <c r="E12" s="8"/>
      <c r="F12" s="7"/>
      <c r="G12" s="139" t="s">
        <v>146</v>
      </c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">
        <v>153</v>
      </c>
      <c r="B14" s="136"/>
      <c r="C14" s="136"/>
      <c r="D14" s="136"/>
      <c r="E14" s="136"/>
      <c r="F14" s="6"/>
      <c r="G14" s="138" t="s">
        <v>140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">
        <v>148</v>
      </c>
      <c r="B15" s="143"/>
      <c r="C15" s="143"/>
      <c r="D15" s="143"/>
      <c r="E15" s="143"/>
      <c r="F15" s="7"/>
      <c r="G15" s="140" t="s">
        <v>141</v>
      </c>
      <c r="H15" s="140"/>
      <c r="I15" s="140"/>
      <c r="J15" s="140"/>
      <c r="K15" s="140"/>
      <c r="L15" s="140"/>
      <c r="M15" s="140"/>
    </row>
    <row r="16" spans="1:15" ht="13.8" x14ac:dyDescent="0.25">
      <c r="A16" s="143" t="s">
        <v>154</v>
      </c>
      <c r="B16" s="143"/>
      <c r="C16" s="143"/>
      <c r="D16" s="143"/>
      <c r="E16" s="143"/>
      <c r="F16" s="63"/>
      <c r="G16" s="140" t="s">
        <v>142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149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155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150</v>
      </c>
      <c r="B19" s="125"/>
      <c r="C19" s="125"/>
      <c r="D19" s="125"/>
      <c r="E19" s="125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151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3.8" x14ac:dyDescent="0.25">
      <c r="A21" s="99" t="s">
        <v>156</v>
      </c>
      <c r="B21" s="8"/>
      <c r="C21" s="8"/>
      <c r="D21" s="8"/>
      <c r="E21" s="8"/>
      <c r="G21" s="139" t="s">
        <v>146</v>
      </c>
      <c r="H21" s="139"/>
      <c r="I21" s="139"/>
      <c r="J21" s="139"/>
      <c r="K21" s="139"/>
      <c r="L21" s="139"/>
      <c r="M21" s="139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4" t="s">
        <v>117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6" x14ac:dyDescent="0.3">
      <c r="A24" s="20" t="s">
        <v>22</v>
      </c>
      <c r="C24" s="18" t="s">
        <v>138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">
        <v>162</v>
      </c>
      <c r="F26" s="156"/>
      <c r="G26" s="156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7.6" x14ac:dyDescent="0.25">
      <c r="A30" s="127">
        <v>1</v>
      </c>
      <c r="B30" s="101" t="s">
        <v>126</v>
      </c>
      <c r="C30" s="107" t="s">
        <v>127</v>
      </c>
      <c r="D30" s="109" t="s">
        <v>112</v>
      </c>
      <c r="E30" s="101">
        <v>920</v>
      </c>
      <c r="F30" s="110" t="s">
        <v>27</v>
      </c>
      <c r="G30" s="106">
        <v>22750</v>
      </c>
      <c r="H30" s="106">
        <v>21094</v>
      </c>
      <c r="I30" s="108">
        <v>0.25</v>
      </c>
      <c r="J30" s="13">
        <f t="shared" ref="J30" si="0">H30*I30</f>
        <v>5273.5</v>
      </c>
      <c r="K30" s="12">
        <v>0</v>
      </c>
      <c r="L30" s="12">
        <v>0</v>
      </c>
      <c r="M30" s="13">
        <f t="shared" ref="M30" si="1">J30</f>
        <v>5273.5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920</v>
      </c>
      <c r="F31" s="15"/>
      <c r="G31" s="64">
        <f>SUM(G30:G30)</f>
        <v>22750</v>
      </c>
      <c r="H31" s="64">
        <f>SUM(H30:H30)</f>
        <v>21094</v>
      </c>
      <c r="I31" s="102"/>
      <c r="J31" s="17">
        <f>SUM(J30:J30)</f>
        <v>5273.5</v>
      </c>
      <c r="K31" s="16"/>
      <c r="L31" s="16"/>
      <c r="M31" s="17">
        <f>SUM(M30:M30)</f>
        <v>5273.5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Пять тысяч двести семьдесят три доллара США,50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3.8" x14ac:dyDescent="0.25">
      <c r="A36" s="7" t="s">
        <v>28</v>
      </c>
      <c r="B36" s="7"/>
      <c r="D36" s="25" t="s">
        <v>157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7" zoomScale="115" zoomScaleNormal="115" workbookViewId="0">
      <selection activeCell="I39" sqref="I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UCHQIZIL FRUITS EXPORT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ТЕРМИЗСКИЙ РАЙОН,ЯНГИХАЯТ МФЙ, УЛИЦА БОГИ ШАМОЛ, 20-А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30.08.2025г.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UFG-M-30 от  30.08.2025г.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920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22750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"Легион Сибирь Плюс" 10609030 - т/п Новосибирский западный 630052, Новосибирская обл., г. Новосибирск, ул. Толмачевская, д. 1/1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30.08.2025г.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40X801HA/408603AA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8" zoomScaleNormal="100" workbookViewId="0">
      <selection activeCell="G37" sqref="G36:H37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3" t="s">
        <v>96</v>
      </c>
      <c r="C2" s="163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4" t="str">
        <f>+Инвойс!E26</f>
        <v>40X801HA/408603AA</v>
      </c>
      <c r="C14" s="164"/>
      <c r="D14" s="164"/>
      <c r="E14" s="164"/>
      <c r="F14" s="164"/>
      <c r="G14" s="164"/>
      <c r="H14" s="165" t="s">
        <v>107</v>
      </c>
      <c r="I14" s="165"/>
      <c r="J14" s="88" t="str">
        <f>+Инвойс!F1</f>
        <v xml:space="preserve"> 30.08.2025г.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UFG-M-30 от  30.08.2025г.</v>
      </c>
      <c r="I15" s="166"/>
      <c r="J15" s="166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920</v>
      </c>
      <c r="G18" s="167" t="str">
        <f>+CMR!F30</f>
        <v>Дыни свежие</v>
      </c>
      <c r="H18" s="167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22750</v>
      </c>
    </row>
    <row r="20" spans="2:10" ht="13.5" customHeight="1" x14ac:dyDescent="0.3">
      <c r="B20" s="83"/>
      <c r="E20" s="123"/>
      <c r="F20" s="118"/>
      <c r="G20" s="167"/>
      <c r="H20" s="167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3">
      <c r="B22" s="83"/>
      <c r="E22" s="123"/>
      <c r="F22" s="118"/>
      <c r="G22" s="167"/>
      <c r="H22" s="167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7"/>
      <c r="H24" s="167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7"/>
      <c r="H26" s="167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7"/>
      <c r="H28" s="167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7"/>
      <c r="H30" s="167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7"/>
      <c r="H32" s="167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7"/>
      <c r="H34" s="167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7"/>
      <c r="H36" s="167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7"/>
      <c r="H38" s="167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7"/>
      <c r="H40" s="167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7"/>
      <c r="H42" s="167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9"/>
      <c r="H44" s="169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70">
        <f>+F18+F20+F22+F24+F26+F28+F30+F32+F34+F36+F38+F40+F42</f>
        <v>920</v>
      </c>
      <c r="E47" s="143"/>
    </row>
    <row r="48" spans="2:10" ht="17.25" customHeight="1" x14ac:dyDescent="0.3">
      <c r="B48" s="168" t="s">
        <v>105</v>
      </c>
      <c r="C48" s="168"/>
      <c r="D48" s="168"/>
      <c r="E48" s="168"/>
    </row>
    <row r="49" spans="2:5" ht="21.75" customHeight="1" x14ac:dyDescent="0.3">
      <c r="B49" s="168"/>
      <c r="C49" s="168"/>
      <c r="D49" s="168"/>
      <c r="E49" s="168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3" zoomScale="85" zoomScaleNormal="85" workbookViewId="0">
      <selection activeCell="C32" sqref="C32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4" t="s">
        <v>163</v>
      </c>
      <c r="C1" s="174"/>
      <c r="D1" s="174"/>
      <c r="E1" s="174"/>
      <c r="F1" s="134" t="str">
        <f>+Инвойс!F1</f>
        <v xml:space="preserve"> 30.08.2025г.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tr">
        <f>+Инвойс!C2</f>
        <v>к контракту № GR-UF-01 от 22.08.2025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tr">
        <f>+Инвойс!A5</f>
        <v>OOO UCHQIZIL FRUITS EXPORT</v>
      </c>
      <c r="B5" s="136"/>
      <c r="C5" s="136"/>
      <c r="D5" s="136"/>
      <c r="E5" s="136"/>
      <c r="F5" s="6"/>
      <c r="G5" s="138" t="str">
        <f>+Инвойс!G5</f>
        <v>ООО «ГРИН ВОРЛД»</v>
      </c>
      <c r="H5" s="138"/>
      <c r="I5" s="138"/>
      <c r="J5" s="138"/>
      <c r="K5" s="138"/>
      <c r="L5" s="138"/>
      <c r="M5" s="138"/>
    </row>
    <row r="6" spans="1:15" ht="13.8" x14ac:dyDescent="0.25">
      <c r="A6" s="172" t="str">
        <f>+Инвойс!A6</f>
        <v>РЕСПУБЛИКА УЗБЕКИСТАН. СУРХАНДАРЬИНСКАЯ ОБЛАСТЬ,</v>
      </c>
      <c r="B6" s="172"/>
      <c r="C6" s="172"/>
      <c r="D6" s="172"/>
      <c r="E6" s="172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3.8" x14ac:dyDescent="0.25">
      <c r="A7" s="172" t="str">
        <f>+Инвойс!A7</f>
        <v>ТЕРМИЗСКИЙ РАЙОН,ЯНГИХАЯТ МФЙ, УЛИЦА БОГИ ШАМОЛ, 20-А</v>
      </c>
      <c r="B7" s="172"/>
      <c r="C7" s="172"/>
      <c r="D7" s="172"/>
      <c r="E7" s="172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72" t="str">
        <f>+Инвойс!A8</f>
        <v>в АКБ“KAPITAL BANK”  МФО: 01158  Swift: KACHUZ22</v>
      </c>
      <c r="B8" s="172"/>
      <c r="C8" s="172"/>
      <c r="D8" s="172"/>
      <c r="E8" s="172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3.8" x14ac:dyDescent="0.25">
      <c r="A9" s="172" t="str">
        <f>+Инвойс!A9</f>
        <v>Доллар США: 20208840207293094001</v>
      </c>
      <c r="B9" s="172"/>
      <c r="C9" s="172"/>
      <c r="D9" s="172"/>
      <c r="E9" s="172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3.8" x14ac:dyDescent="0.25">
      <c r="A10" s="172" t="str">
        <f>+Инвойс!A10</f>
        <v>Корреспондирующий банк (RUB): АКБ "Азия Инвест Банк" (АО) :</v>
      </c>
      <c r="B10" s="172"/>
      <c r="C10" s="172"/>
      <c r="D10" s="172"/>
      <c r="E10" s="172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3.8" x14ac:dyDescent="0.25">
      <c r="A11" s="172" t="str">
        <f>+Инвойс!A11</f>
        <v>SWIFT:ASIJRUMM / БИК 044525234,</v>
      </c>
      <c r="B11" s="172"/>
      <c r="C11" s="172"/>
      <c r="D11" s="172"/>
      <c r="E11" s="172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tr">
        <f>+Инвойс!A14</f>
        <v>OOO UCHQIZIL FRUITS EXPORT</v>
      </c>
      <c r="B14" s="136"/>
      <c r="C14" s="136"/>
      <c r="D14" s="136"/>
      <c r="E14" s="136"/>
      <c r="F14" s="6"/>
      <c r="G14" s="138" t="str">
        <f>+Инвойс!G14</f>
        <v>ООО «ГРИН ВОРЛД»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72" t="str">
        <f>+Инвойс!A15</f>
        <v>РЕСПУБЛИКА УЗБЕКИСТАН. СУРХАНДАРЬИНСКАЯ ОБЛАСТЬ,</v>
      </c>
      <c r="B15" s="172"/>
      <c r="C15" s="172"/>
      <c r="D15" s="172"/>
      <c r="E15" s="172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3.8" x14ac:dyDescent="0.25">
      <c r="A16" s="172" t="str">
        <f>+Инвойс!A16</f>
        <v>ТЕРМИЗСКИЙ РАЙОН,ЯНГИХАЯТ МФЙ, УЛИЦА БОГИ ШАМОЛ, 20-А</v>
      </c>
      <c r="B16" s="172"/>
      <c r="C16" s="172"/>
      <c r="D16" s="172"/>
      <c r="E16" s="172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72" t="str">
        <f>+Инвойс!A17</f>
        <v>в АКБ“KAPITAL BANK”  МФО: 01158  Swift: KACHUZ22</v>
      </c>
      <c r="B17" s="172"/>
      <c r="C17" s="172"/>
      <c r="D17" s="172"/>
      <c r="E17" s="172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3.8" x14ac:dyDescent="0.25">
      <c r="A18" s="172" t="str">
        <f>+Инвойс!A18</f>
        <v>Доллар США: 20208840207293094001</v>
      </c>
      <c r="B18" s="172"/>
      <c r="C18" s="172"/>
      <c r="D18" s="172"/>
      <c r="E18" s="172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3.8" x14ac:dyDescent="0.25">
      <c r="A19" s="172" t="str">
        <f>+Инвойс!A19</f>
        <v>Корреспондирующий банк (RUB): АКБ "Азия Инвест Банк" (АО) :</v>
      </c>
      <c r="B19" s="172"/>
      <c r="C19" s="172"/>
      <c r="D19" s="172"/>
      <c r="E19" s="172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3.8" x14ac:dyDescent="0.25">
      <c r="A20" s="172" t="str">
        <f>+Инвойс!A20</f>
        <v>SWIFT:ASIJRUMM / БИК 044525234,</v>
      </c>
      <c r="B20" s="172"/>
      <c r="C20" s="172"/>
      <c r="D20" s="172"/>
      <c r="E20" s="172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3.8" x14ac:dyDescent="0.25">
      <c r="A21" s="172"/>
      <c r="B21" s="172"/>
      <c r="C21" s="172"/>
      <c r="D21" s="172"/>
      <c r="E21" s="172"/>
      <c r="G21" s="7"/>
      <c r="H21" s="23"/>
      <c r="I21" s="23"/>
      <c r="J21" s="23"/>
    </row>
    <row r="22" spans="1:17" ht="43.5" customHeight="1" x14ac:dyDescent="0.3">
      <c r="A22" s="1" t="s">
        <v>124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115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tr">
        <f>+Инвойс!E26</f>
        <v>40X801HA/408603AA</v>
      </c>
      <c r="F26" s="156"/>
      <c r="G26" s="156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7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920</v>
      </c>
      <c r="F30" s="116" t="str">
        <f>+Инвойс!F30</f>
        <v>кг</v>
      </c>
      <c r="G30" s="106">
        <f>+Инвойс!G30</f>
        <v>22750</v>
      </c>
      <c r="H30" s="106">
        <f>+Инвойс!H30</f>
        <v>21094</v>
      </c>
      <c r="I30" s="108">
        <f>+Инвойс!I30</f>
        <v>0.25</v>
      </c>
      <c r="J30" s="13">
        <f>+Инвойс!J30</f>
        <v>5273.5</v>
      </c>
      <c r="K30" s="12">
        <v>0</v>
      </c>
      <c r="L30" s="12">
        <v>0</v>
      </c>
      <c r="M30" s="13">
        <f>+Инвойс!M30</f>
        <v>5273.5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920</v>
      </c>
      <c r="F31" s="15"/>
      <c r="G31" s="64">
        <f>SUM(G30:G30)</f>
        <v>22750</v>
      </c>
      <c r="H31" s="64">
        <f>SUM(H30:H30)</f>
        <v>21094</v>
      </c>
      <c r="I31" s="102"/>
      <c r="J31" s="17">
        <f>SUM(J30:J30)</f>
        <v>5273.5</v>
      </c>
      <c r="K31" s="16"/>
      <c r="L31" s="16"/>
      <c r="M31" s="17">
        <f>SUM(M30:M30)</f>
        <v>5273.5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Пять тысяч двести семьдесят три доллара США,50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6" x14ac:dyDescent="0.3">
      <c r="A36" s="131" t="s">
        <v>158</v>
      </c>
      <c r="B36" s="131"/>
      <c r="D36" s="18" t="str">
        <f>+Инвойс!D36</f>
        <v>ЭШТЕМИРОВ Х.Х</v>
      </c>
      <c r="E36" s="132"/>
      <c r="G36" s="129" t="s">
        <v>130</v>
      </c>
      <c r="H36" s="18" t="str">
        <f>Инвойс!G5</f>
        <v>ООО «ГРИН ВОРЛД»</v>
      </c>
      <c r="K36" s="133" t="s">
        <v>147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116</v>
      </c>
    </row>
    <row r="3" spans="1:10" ht="52.8" x14ac:dyDescent="0.25">
      <c r="A3" s="130" t="s">
        <v>128</v>
      </c>
    </row>
    <row r="5" spans="1:10" ht="39.6" x14ac:dyDescent="0.25">
      <c r="A5" s="126" t="s">
        <v>117</v>
      </c>
    </row>
    <row r="6" spans="1:10" x14ac:dyDescent="0.25">
      <c r="E6" s="18" t="s">
        <v>129</v>
      </c>
      <c r="J6" s="25" t="s">
        <v>132</v>
      </c>
    </row>
    <row r="7" spans="1:10" ht="52.8" x14ac:dyDescent="0.25">
      <c r="A7" s="126" t="s">
        <v>118</v>
      </c>
    </row>
    <row r="8" spans="1:10" x14ac:dyDescent="0.25">
      <c r="E8" s="18" t="s">
        <v>138</v>
      </c>
      <c r="J8" s="25" t="s">
        <v>133</v>
      </c>
    </row>
    <row r="9" spans="1:10" ht="52.8" x14ac:dyDescent="0.25">
      <c r="A9" s="126" t="s">
        <v>119</v>
      </c>
    </row>
    <row r="10" spans="1:10" x14ac:dyDescent="0.25">
      <c r="A10" s="126"/>
      <c r="E10" s="18" t="s">
        <v>134</v>
      </c>
      <c r="J10" s="25" t="s">
        <v>135</v>
      </c>
    </row>
    <row r="11" spans="1:10" ht="52.8" x14ac:dyDescent="0.25">
      <c r="A11" s="126" t="s">
        <v>159</v>
      </c>
    </row>
    <row r="12" spans="1:10" x14ac:dyDescent="0.25">
      <c r="E12" s="18" t="s">
        <v>136</v>
      </c>
      <c r="J12" s="25" t="s">
        <v>137</v>
      </c>
    </row>
    <row r="13" spans="1:10" ht="52.8" x14ac:dyDescent="0.25">
      <c r="A13" s="126" t="s">
        <v>120</v>
      </c>
    </row>
    <row r="15" spans="1:10" ht="39.6" x14ac:dyDescent="0.25">
      <c r="A15" s="126" t="s">
        <v>121</v>
      </c>
    </row>
    <row r="17" spans="1:1" ht="39.6" x14ac:dyDescent="0.25">
      <c r="A17" s="126" t="s">
        <v>122</v>
      </c>
    </row>
    <row r="19" spans="1:1" ht="39.6" x14ac:dyDescent="0.25">
      <c r="A19" s="128" t="s">
        <v>123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5273.5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двести семьдесят три доллара США,50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45899</v>
      </c>
      <c r="O3" s="178"/>
      <c r="P3">
        <f ca="1">DAY(N3)</f>
        <v>30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Пять тысяч двести семьдесят три доллара США,50 центов. (в т.ч. НДС - 357,79)</v>
      </c>
      <c r="H4" s="32"/>
      <c r="I4" s="32"/>
      <c r="J4" s="32"/>
      <c r="K4" s="179" t="str">
        <f ca="1">CONCATENATE(" «  ",P3,"  »  ",Q3,"  ",R3," г.")</f>
        <v xml:space="preserve"> «  30  »  августа  2025 г.</v>
      </c>
      <c r="L4" s="179"/>
      <c r="M4" s="179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двести семьдесят три доллара США,50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двести семьдесят три доллара США,50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>двести семьдесят три доллара США,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50 центов.</v>
      </c>
      <c r="D12" s="47"/>
      <c r="E12" s="48"/>
      <c r="M12" s="50">
        <f ca="1">TODAY()</f>
        <v>45899</v>
      </c>
    </row>
    <row r="13" spans="1:19" s="43" customFormat="1" x14ac:dyDescent="0.25">
      <c r="A13" s="49"/>
      <c r="D13" s="51"/>
      <c r="E13" s="52">
        <f>TRUNC(E2)</f>
        <v>5273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527</v>
      </c>
      <c r="B28" s="58">
        <f>TRUNC(RIGHT(A28))</f>
        <v>7</v>
      </c>
      <c r="C28" s="51">
        <f>IF(B28=1,"",B28)</f>
        <v>7</v>
      </c>
      <c r="E28" s="56" t="str">
        <f>IF(OR(C28=0,B28=1),"",IF(C28=2,E35,IF(C28=3,E36,IF(C28=4,E37,IF(C28=5,E38,IF(C28=6,E39,IF(C28=7,E40,IF(C28=8,E41,E42))))))))</f>
        <v xml:space="preserve">семьдесят </v>
      </c>
      <c r="G28" s="47"/>
    </row>
    <row r="29" spans="1:9" s="43" customFormat="1" x14ac:dyDescent="0.25">
      <c r="A29" s="54">
        <f>E13</f>
        <v>5273</v>
      </c>
      <c r="B29" s="47">
        <f>TRUNC(RIGHT(A29))</f>
        <v>3</v>
      </c>
      <c r="C29" s="51">
        <f>IF(B28=1,B29+10,IF(B29=0,0,B29))</f>
        <v>3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три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273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5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2025-08-30T05:40:48Z</cp:lastPrinted>
  <dcterms:created xsi:type="dcterms:W3CDTF">1996-10-14T23:33:28Z</dcterms:created>
  <dcterms:modified xsi:type="dcterms:W3CDTF">2025-08-30T05:40:52Z</dcterms:modified>
</cp:coreProperties>
</file>