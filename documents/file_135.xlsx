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4AF9437-0BC3-4AEB-8BB5-EA89E65022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<sst xmlns="http://schemas.openxmlformats.org/spreadsheetml/2006/main" count="201" uniqueCount="163">
  <si>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</si>
  <si>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</si>
  <si>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</si>
  <si>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</si>
  <si>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</si>
  <si>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</si>
  <si>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</si>
  <si>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</si>
  <si>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</si>
  <si>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</si>
  <si>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</si>
  <si>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</si>
  <si>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</si>
  <si>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</si>
  <si>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</si>
  <si>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</si>
  <si>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</si>
  <si>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</si>
  <si>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</si>
  <si>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</si>
  <si>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</si>
  <si>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</si>
  <si>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</si>
  <si>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</si>
  <si>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</si>
  <si>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</si>
  <si>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</si>
  <si>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</si>
  <si>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</si>
  <si>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</si>
  <si>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</si>
  <si>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</si>
  <si>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</si>
  <si>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</si>
  <si>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</si>
  <si>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</si>
  <si>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</si>
  <si>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</si>
  <si>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</si>
  <si>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</si>
  <si>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</si>
  <si>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</si>
  <si>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</si>
  <si>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</si>
  <si>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</si>
  <si>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</si>
  <si>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</si>
  <si>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</si>
  <si>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</si>
  <si>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</si>
  <si>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</si>
  <si>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</si>
  <si>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</si>
  <si>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</si>
  <si>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</si>
  <si>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</si>
  <si>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</si>
  <si>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</si>
  <si>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</si>
  <si>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</si>
  <si>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</si>
  <si>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</si>
  <si>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</si>
  <si>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</si>
  <si>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</si>
  <si>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</si>
  <si>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</si>
  <si>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</si>
  <si>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</si>
  <si>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</si>
  <si>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</si>
  <si>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</si>
  <si>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</si>
  <si>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</si>
  <si>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</si>
  <si>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</si>
  <si>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</si>
  <si>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</si>
  <si>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</si>
  <si>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</si>
  <si>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</si>
  <si>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</si>
  <si>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</si>
  <si>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</si>
  <si>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</si>
  <si>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</si>
  <si>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</si>
  <si>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</si>
  <si>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</si>
  <si>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</si>
  <si>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</si>
  <si>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</si>
  <si>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</si>
  <si>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</si>
  <si>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</si>
  <si>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</si>
  <si>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</si>
  <si>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</si>
  <si>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</si>
  <si>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</si>
  <si>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</si>
  <si>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</si>
  <si>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</si>
  <si>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</si>
  <si>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</si>
  <si>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</si>
  <si>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</si>
  <si>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</si>
  <si>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</si>
  <si>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</si>
  <si>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</si>
  <si>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</si>
  <si>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</si>
  <si>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</si>
  <si>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</si>
  <si>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</si>
  <si>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</si>
  <si>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</si>
  <si>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</si>
  <si>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</si>
  <si>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</si>
  <si>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</si>
  <si>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</si>
  <si>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</si>
  <si>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</si>
  <si>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</si>
  <si>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</si>
  <si>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</si>
  <si>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</si>
  <si>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</si>
  <si>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</si>
  <si>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</si>
  <si>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</si>
  <si>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</si>
  <si>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</si>
  <si>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</si>
  <si>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</si>
  <si>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</si>
  <si>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</si>
  <si>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</si>
  <si>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</si>
  <si>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</si>
  <si>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</si>
  <si>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</si>
  <si>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</si>
  <si>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</si>
  <si>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</si>
  <si>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</si>
  <si>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</si>
  <si>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</si>
  <si>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</si>
  <si>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</si>
  <si>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</si>
  <si>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</si>
  <si>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</si>
  <si>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</si>
  <si>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</si>
  <si>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</si>
  <si>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 15.08.2025г.</t>
  </si>
  <si>
    <t>DAP - с Жибек Жолы , Республика Казахстан</t>
  </si>
  <si>
    <t>М819УЕ67/UL954</t>
  </si>
  <si>
    <t xml:space="preserve">ИНВОЙС № BEZ-A-104 от </t>
  </si>
  <si>
    <t xml:space="preserve">СПЕЦИФИКАЦИЯ № BEZ-A-104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</si>
</sst>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  <col min="19" max="19" width="7.5546875" customWidth="1"/>
  </cols>
  <sheetData>
    <row r="1" spans="1:15" ht="17.399999999999999" x14ac:dyDescent="0.3">
      <c r="B1" s="19"/>
      <c r="C1" s="133" t="s">
        <v>161</v>
      </c>
      <c r="D1" s="133"/>
      <c r="E1" s="133"/>
      <c r="F1" s="132" t="s">
        <v>158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137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159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160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950</v>
      </c>
      <c r="F30" s="110" t="s">
        <v>27</v>
      </c>
      <c r="G30" s="106">
        <v>22000</v>
      </c>
      <c r="H30" s="106">
        <v>20290</v>
      </c>
      <c r="I30" s="108">
        <v>0.2</v>
      </c>
      <c r="J30" s="13">
        <f t="shared" ref="J30" si="0">H30*I30</f>
        <v>4058</v>
      </c>
      <c r="K30" s="12">
        <v>0</v>
      </c>
      <c r="L30" s="12">
        <v>0</v>
      </c>
      <c r="M30" s="13">
        <f t="shared" ref="M30" si="1">J30</f>
        <v>4058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950</v>
      </c>
      <c r="F31" s="15"/>
      <c r="G31" s="64">
        <f>SUM(G30:G30)</f>
        <v>22000</v>
      </c>
      <c r="H31" s="64">
        <f>SUM(H30:H30)</f>
        <v>20290</v>
      </c>
      <c r="I31" s="102"/>
      <c r="J31" s="17">
        <f>SUM(J30:J30)</f>
        <v>4058</v>
      </c>
      <c r="K31" s="16"/>
      <c r="L31" s="16"/>
      <c r="M31" s="17">
        <f>SUM(M30:M30)</f>
        <v>4058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пятьдесят восемь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D38" sqref="D38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BEZ-A-104 от  15.08.2025г.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15.08.2025г.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М819УЕ67/UL954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I29" sqref="I2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М819УЕ67/UL954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15.08.2025г.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BEZ-A-104 от  15.08.2025г.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950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22000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950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7" zoomScale="85" zoomScaleNormal="85" workbookViewId="0">
      <selection activeCell="B2" sqref="B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15.08.2025г.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Жибек Жолы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М819УЕ67/UL954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5.2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22000</v>
      </c>
      <c r="H30" s="106">
        <f>+Инвойс!H30</f>
        <v>20290</v>
      </c>
      <c r="I30" s="108">
        <f>+Инвойс!I30</f>
        <v>0.2</v>
      </c>
      <c r="J30" s="13">
        <f>+Инвойс!J30</f>
        <v>4058</v>
      </c>
      <c r="K30" s="12">
        <v>0</v>
      </c>
      <c r="L30" s="12">
        <v>0</v>
      </c>
      <c r="M30" s="13">
        <f>+Инвойс!M30</f>
        <v>4058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950</v>
      </c>
      <c r="F31" s="15"/>
      <c r="G31" s="64">
        <f>SUM(G30:G30)</f>
        <v>22000</v>
      </c>
      <c r="H31" s="64">
        <f>SUM(H30:H30)</f>
        <v>20290</v>
      </c>
      <c r="I31" s="102"/>
      <c r="J31" s="17">
        <f>SUM(J30:J30)</f>
        <v>4058</v>
      </c>
      <c r="K31" s="16"/>
      <c r="L31" s="16"/>
      <c r="M31" s="17">
        <f>SUM(M30:M30)</f>
        <v>4058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пятьдесят восемь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4058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пятьдесят восемь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45884</v>
      </c>
      <c r="O3" s="176"/>
      <c r="P3">
        <f ca="1">DAY(N3)</f>
        <v>15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пятьдесят восемь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15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пятьдесят восемь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пятьдесят восемь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пятьдесят восемь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45884</v>
      </c>
    </row>
    <row r="13" spans="1:19" s="43" customFormat="1" x14ac:dyDescent="0.25">
      <c r="A13" s="49"/>
      <c r="D13" s="51"/>
      <c r="E13" s="52">
        <f>TRUNC(E2)</f>
        <v>4058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405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4058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58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2025-08-15T10:11:11Z</cp:lastPrinted>
  <dcterms:created xsi:type="dcterms:W3CDTF">1996-10-14T23:33:28Z</dcterms:created>
  <dcterms:modified xsi:type="dcterms:W3CDTF">2025-08-15T10:11:34Z</dcterms:modified>
</cp:coreProperties>
</file>