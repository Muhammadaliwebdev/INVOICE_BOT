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151EAEB-073C-4D88-8549-E95616047C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<sst xmlns="http://schemas.openxmlformats.org/spreadsheetml/2006/main" count="211" uniqueCount="164">
  <si>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</si>
  <si>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</si>
  <si>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</si>
  <si>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</si>
  <si>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</si>
  <si>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</si>
  <si>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</si>
  <si>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</si>
  <si>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</si>
  <si>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</si>
  <si>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</si>
  <si>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</si>
  <si>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</si>
  <si>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</si>
  <si>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</si>
  <si>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</si>
  <si>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</si>
  <si>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</si>
  <si>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</si>
  <si>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</si>
  <si>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</si>
  <si>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</si>
  <si>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</si>
  <si>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</si>
  <si>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</si>
  <si>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</si>
  <si>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</si>
  <si>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</si>
  <si>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</si>
  <si>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</si>
  <si>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</si>
  <si>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</si>
  <si>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</si>
  <si>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</si>
  <si>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</si>
  <si>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</si>
  <si>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</si>
  <si>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</si>
  <si>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</si>
  <si>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</si>
  <si>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</si>
  <si>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</si>
  <si>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</si>
  <si>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</si>
  <si>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</si>
  <si>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</si>
  <si>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</si>
  <si>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</si>
  <si>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</si>
  <si>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</si>
  <si>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</si>
  <si>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</si>
  <si>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</si>
  <si>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</si>
  <si>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</si>
  <si>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</si>
  <si>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</si>
  <si>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</si>
  <si>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</si>
  <si>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</si>
  <si>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</si>
  <si>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</si>
  <si>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</si>
  <si>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</si>
  <si>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</si>
  <si>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</si>
  <si>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</si>
  <si>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</si>
  <si>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</si>
  <si>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</si>
  <si>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</si>
  <si>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</si>
  <si>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</si>
  <si>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</si>
  <si>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</si>
  <si>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</si>
  <si>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</si>
  <si>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</si>
  <si>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</si>
  <si>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</si>
  <si>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</si>
  <si>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</si>
  <si>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</si>
  <si>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</si>
  <si>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</si>
  <si>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</si>
  <si>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</si>
  <si>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</si>
  <si>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</si>
  <si>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</si>
  <si>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</si>
  <si>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</si>
  <si>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</si>
  <si>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</si>
  <si>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</si>
  <si>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</si>
  <si>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</si>
  <si>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</si>
  <si>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</si>
  <si>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</si>
  <si>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</si>
  <si>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</si>
  <si>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</si>
  <si>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</si>
  <si>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</si>
  <si>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</si>
  <si>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</si>
  <si>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</si>
  <si>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</si>
  <si>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</si>
  <si>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</si>
  <si>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</si>
  <si>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</si>
  <si>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</si>
  <si>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</si>
  <si>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</si>
  <si>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</si>
  <si>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</si>
  <si>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</si>
  <si>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</si>
  <si>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</si>
  <si>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</si>
  <si>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</si>
  <si>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</si>
  <si>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</si>
  <si>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</si>
  <si>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</si>
  <si>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</si>
  <si>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</si>
  <si>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</si>
  <si>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</si>
  <si>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</si>
  <si>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</si>
  <si>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</si>
  <si>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</si>
  <si>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</si>
  <si>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</si>
  <si>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</si>
  <si>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</si>
  <si>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</si>
  <si>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 xml:space="preserve"> 25.08.2025г.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</si>
  <si>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</si>
  <si>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</si>
  <si>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</si>
  <si>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</si>
  <si>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</si>
  <si>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</si>
  <si>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</si>
  <si>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</si>
  <si>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</si>
  <si>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</si>
  <si>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</si>
  <si>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</si>
  <si>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</si>
  <si>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</si>
  <si>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</si>
  <si>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</si>
  <si>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</si>
  <si>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</si>
  <si>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</si>
  <si>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</si>
  <si>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EXG-F-3 от </t>
  </si>
  <si>
    <t>40846LCA/400350CA</t>
  </si>
  <si>
    <t xml:space="preserve">СПЕЦИФИКАЦИЯ № EXG-F-3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</si>
</sst>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173914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392206</xdr:colOff>
      <xdr:row>36</xdr:row>
      <xdr:rowOff>44824</xdr:rowOff>
    </xdr:from>
    <xdr:to>
      <xdr:col>9</xdr:col>
      <xdr:colOff>578784</xdr:colOff>
      <xdr:row>47</xdr:row>
      <xdr:rowOff>128960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658576F-F5FF-4638-85E8-A6CCF1357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65" y="19072412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161</v>
      </c>
      <c r="D1" s="135"/>
      <c r="E1" s="135"/>
      <c r="F1" s="134" t="s">
        <v>140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149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150</v>
      </c>
      <c r="B5" s="136"/>
      <c r="C5" s="136"/>
      <c r="D5" s="136"/>
      <c r="E5" s="136"/>
      <c r="F5" s="6"/>
      <c r="G5" s="138" t="s">
        <v>141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151</v>
      </c>
      <c r="B6" s="143"/>
      <c r="C6" s="143"/>
      <c r="D6" s="143"/>
      <c r="E6" s="143"/>
      <c r="F6" s="7"/>
      <c r="G6" s="140" t="s">
        <v>142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152</v>
      </c>
      <c r="B7" s="143"/>
      <c r="C7" s="143"/>
      <c r="D7" s="143"/>
      <c r="E7" s="143"/>
      <c r="F7" s="63"/>
      <c r="G7" s="140" t="s">
        <v>143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144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154</v>
      </c>
      <c r="B9" s="8"/>
      <c r="C9" s="8"/>
      <c r="D9" s="8"/>
      <c r="E9" s="8"/>
      <c r="F9" s="7"/>
      <c r="G9" s="7" t="s">
        <v>145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155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156</v>
      </c>
      <c r="B11" s="8"/>
      <c r="C11" s="8"/>
      <c r="D11" s="8"/>
      <c r="E11" s="8"/>
      <c r="F11" s="7"/>
      <c r="G11" s="7" t="s">
        <v>146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157</v>
      </c>
      <c r="B12" s="8"/>
      <c r="C12" s="8"/>
      <c r="D12" s="8"/>
      <c r="E12" s="8"/>
      <c r="F12" s="7"/>
      <c r="G12" s="139" t="s">
        <v>147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150</v>
      </c>
      <c r="B14" s="136"/>
      <c r="C14" s="136"/>
      <c r="D14" s="136"/>
      <c r="E14" s="136"/>
      <c r="F14" s="6"/>
      <c r="G14" s="138" t="s">
        <v>141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151</v>
      </c>
      <c r="B15" s="143"/>
      <c r="C15" s="143"/>
      <c r="D15" s="143"/>
      <c r="E15" s="143"/>
      <c r="F15" s="7"/>
      <c r="G15" s="140" t="s">
        <v>142</v>
      </c>
      <c r="H15" s="140"/>
      <c r="I15" s="140"/>
      <c r="J15" s="140"/>
      <c r="K15" s="140"/>
      <c r="L15" s="140"/>
      <c r="M15" s="140"/>
    </row>
    <row r="16" spans="1:15" ht="13.8" x14ac:dyDescent="0.25">
      <c r="A16" s="143" t="s">
        <v>152</v>
      </c>
      <c r="B16" s="143"/>
      <c r="C16" s="143"/>
      <c r="D16" s="143"/>
      <c r="E16" s="143"/>
      <c r="F16" s="63"/>
      <c r="G16" s="140" t="s">
        <v>143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144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154</v>
      </c>
      <c r="B18" s="8"/>
      <c r="C18" s="8"/>
      <c r="D18" s="8"/>
      <c r="E18" s="8"/>
      <c r="F18" s="7"/>
      <c r="G18" s="7" t="s">
        <v>145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155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156</v>
      </c>
      <c r="B20" s="8"/>
      <c r="C20" s="8"/>
      <c r="D20" s="8"/>
      <c r="E20" s="8"/>
      <c r="F20" s="7"/>
      <c r="G20" s="7" t="s">
        <v>146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157</v>
      </c>
      <c r="B21" s="8"/>
      <c r="C21" s="8"/>
      <c r="D21" s="8"/>
      <c r="E21" s="8"/>
      <c r="G21" s="139" t="s">
        <v>147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4" t="s">
        <v>118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">
        <v>138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162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1000</v>
      </c>
      <c r="F30" s="110" t="s">
        <v>27</v>
      </c>
      <c r="G30" s="106">
        <v>22976</v>
      </c>
      <c r="H30" s="106">
        <v>21176</v>
      </c>
      <c r="I30" s="108">
        <v>0.25</v>
      </c>
      <c r="J30" s="13">
        <f t="shared" ref="J30" si="0">H30*I30</f>
        <v>5294</v>
      </c>
      <c r="K30" s="12">
        <v>0</v>
      </c>
      <c r="L30" s="12">
        <v>0</v>
      </c>
      <c r="M30" s="13">
        <f t="shared" ref="M30" si="1">J30</f>
        <v>5294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1000</v>
      </c>
      <c r="F31" s="15"/>
      <c r="G31" s="64">
        <f>SUM(G30:G30)</f>
        <v>22976</v>
      </c>
      <c r="H31" s="64">
        <f>SUM(H30:H30)</f>
        <v>21176</v>
      </c>
      <c r="I31" s="102"/>
      <c r="J31" s="17">
        <f>SUM(J30:J30)</f>
        <v>5294</v>
      </c>
      <c r="K31" s="16"/>
      <c r="L31" s="16"/>
      <c r="M31" s="17">
        <f>SUM(M30:M30)</f>
        <v>5294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двести девяносто четыре доллара США,00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158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J37" sqref="J37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25.08.2025г.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EXG-F-3 от  25.08.2025г.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22976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"Уралкомплект" 10412130 - т/п Оренбургский
460027, Оренбургская обл., г. Оренбург, ул. Донгузская, д. 62А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25.08.2025г.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40846LCA/400350CA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G32" sqref="G32:H32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40846LCA/400350CA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25.08.2025г.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EXG-F-3 от  25.08.2025г.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1000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22976</v>
      </c>
    </row>
    <row r="20" spans="2:10" ht="13.5" customHeight="1" x14ac:dyDescent="0.3">
      <c r="B20" s="83"/>
      <c r="E20" s="123"/>
      <c r="F20" s="118"/>
      <c r="G20" s="167"/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f>+F18+F20+F22+F24+F26+F28+F30+F32+F34+F36+F38+F40+F42</f>
        <v>1000</v>
      </c>
      <c r="E47" s="171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3" zoomScale="85" zoomScaleNormal="85" workbookViewId="0">
      <selection activeCell="B28" sqref="B28:B29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163</v>
      </c>
      <c r="C1" s="174"/>
      <c r="D1" s="174"/>
      <c r="E1" s="174"/>
      <c r="F1" s="134" t="str">
        <f>+Инвойс!F1</f>
        <v xml:space="preserve"> 25.08.2025г.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GR-EX-01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OOO “EXACT GROUP”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42" t="str">
        <f>+Инвойс!A6</f>
        <v>РЕСПУБЛИКА УЗБЕКИСТАН. СУРХАНДАРЬИНСКАЯ ОБЛАСТЬ,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42" t="str">
        <f>+Инвойс!A7</f>
        <v>ШЕРАБАДСКИЙ РАЙОН, МФЙ «БАХОР», УЛИЦА ШЕРЖАН, ДОМ 19Б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АКБ“KAPITAL BANK”  МФО: 01158  Swift: KACHUZ22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42" t="str">
        <f>+Инвойс!A9</f>
        <v>Доллар США: 20208840607280925001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42" t="str">
        <f>+Инвойс!A10</f>
        <v>Корреспондирующий банк (RUB): АКБ "Азия Инвест Банк" (АО) :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42" t="str">
        <f>+Инвойс!A11</f>
        <v>SWIFT:ASIJRUMM / БИК 044525234,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OOO “EXACT GROUP”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tr">
        <f>+Инвойс!A15</f>
        <v>РЕСПУБЛИКА УЗБЕКИСТАН. СУРХАНДАРЬИНСКАЯ ОБЛАСТЬ,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42" t="str">
        <f>+Инвойс!A16</f>
        <v>ШЕРАБАДСКИЙ РАЙОН, МФЙ «БАХОР», УЛИЦА ШЕРЖАН, ДОМ 19Б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АКБ“KAPITAL BANK”  МФО: 01158  Swift: KACHUZ22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42" t="str">
        <f>+Инвойс!A18</f>
        <v>Доллар США: 20208840607280925001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42" t="str">
        <f>+Инвойс!A19</f>
        <v>Корреспондирующий банк (RUB): АКБ "Азия Инвест Банк" (АО) :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42" t="str">
        <f>+Инвойс!A20</f>
        <v>SWIFT:ASIJRUMM / БИК 044525234,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40846LCA/400350CA</v>
      </c>
      <c r="F26" s="156"/>
      <c r="G26" s="156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34.200000000000003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1000</v>
      </c>
      <c r="F30" s="116" t="str">
        <f>+Инвойс!F30</f>
        <v>кг</v>
      </c>
      <c r="G30" s="106">
        <f>+Инвойс!G30</f>
        <v>22976</v>
      </c>
      <c r="H30" s="106">
        <f>+Инвойс!H30</f>
        <v>21176</v>
      </c>
      <c r="I30" s="108">
        <f>+Инвойс!I30</f>
        <v>0.25</v>
      </c>
      <c r="J30" s="13">
        <f>+Инвойс!J30</f>
        <v>5294</v>
      </c>
      <c r="K30" s="12">
        <v>0</v>
      </c>
      <c r="L30" s="12">
        <v>0</v>
      </c>
      <c r="M30" s="13">
        <f>+Инвойс!M30</f>
        <v>5294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1000</v>
      </c>
      <c r="F31" s="15"/>
      <c r="G31" s="64">
        <f>SUM(G30:G30)</f>
        <v>22976</v>
      </c>
      <c r="H31" s="64">
        <f>SUM(H30:H30)</f>
        <v>21176</v>
      </c>
      <c r="I31" s="102"/>
      <c r="J31" s="17">
        <f>SUM(J30:J30)</f>
        <v>5294</v>
      </c>
      <c r="K31" s="16"/>
      <c r="L31" s="16"/>
      <c r="M31" s="17">
        <f>SUM(M30:M30)</f>
        <v>5294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двести девяносто четыре доллара США,00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1" t="s">
        <v>159</v>
      </c>
      <c r="B36" s="131"/>
      <c r="D36" s="18" t="str">
        <f>+Инвойс!D36</f>
        <v>АБДИЛАКИМОВ А.А</v>
      </c>
      <c r="E36" s="132"/>
      <c r="G36" s="129" t="s">
        <v>130</v>
      </c>
      <c r="H36" s="18" t="str">
        <f>Инвойс!G5</f>
        <v>ООО «ГРИН ВОРЛД»</v>
      </c>
      <c r="K36" s="133" t="s">
        <v>148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128</v>
      </c>
    </row>
    <row r="5" spans="1:10" ht="39.6" x14ac:dyDescent="0.25">
      <c r="A5" s="126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6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134</v>
      </c>
      <c r="J10" s="25" t="s">
        <v>135</v>
      </c>
    </row>
    <row r="11" spans="1:10" ht="52.8" x14ac:dyDescent="0.25">
      <c r="A11" s="126" t="s">
        <v>160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5294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двести девяносто четыре доллара США,00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45894</v>
      </c>
      <c r="O3" s="178"/>
      <c r="P3">
        <f ca="1">DAY(N3)</f>
        <v>25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двести девяносто четыре доллара США,00 центов. (в т.ч. НДС - 357,79)</v>
      </c>
      <c r="H4" s="32"/>
      <c r="I4" s="32"/>
      <c r="J4" s="32"/>
      <c r="K4" s="179" t="str">
        <f ca="1">CONCATENATE(" «  ",P3,"  »  ",Q3,"  ",R3," г.")</f>
        <v xml:space="preserve"> «  25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двести девяносто четыре доллара США,00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двести девяносто четыре доллара США,00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двести девяносто четыре доллара США,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45894</v>
      </c>
    </row>
    <row r="13" spans="1:19" s="43" customFormat="1" x14ac:dyDescent="0.25">
      <c r="A13" s="49"/>
      <c r="D13" s="51"/>
      <c r="E13" s="52">
        <f>TRUNC(E2)</f>
        <v>5294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529</v>
      </c>
      <c r="B28" s="58">
        <f>TRUNC(RIGHT(A28))</f>
        <v>9</v>
      </c>
      <c r="C28" s="51">
        <f>IF(B28=1,"",B28)</f>
        <v>9</v>
      </c>
      <c r="E28" s="56" t="str">
        <f>IF(OR(C28=0,B28=1),"",IF(C28=2,E35,IF(C28=3,E36,IF(C28=4,E37,IF(C28=5,E38,IF(C28=6,E39,IF(C28=7,E40,IF(C28=8,E41,E42))))))))</f>
        <v xml:space="preserve">девяносто </v>
      </c>
      <c r="G28" s="47"/>
    </row>
    <row r="29" spans="1:9" s="43" customFormat="1" x14ac:dyDescent="0.25">
      <c r="A29" s="54">
        <f>E13</f>
        <v>5294</v>
      </c>
      <c r="B29" s="47">
        <f>TRUNC(RIGHT(A29))</f>
        <v>4</v>
      </c>
      <c r="C29" s="51">
        <f>IF(B28=1,B29+10,IF(B29=0,0,B29))</f>
        <v>4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четыре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294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2025-08-25T12:58:05Z</cp:lastPrinted>
  <dcterms:created xsi:type="dcterms:W3CDTF">1996-10-14T23:33:28Z</dcterms:created>
  <dcterms:modified xsi:type="dcterms:W3CDTF">2025-08-25T12:58:09Z</dcterms:modified>
</cp:coreProperties>
</file>