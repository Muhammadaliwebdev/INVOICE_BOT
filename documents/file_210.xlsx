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D78C347E-AF97-48D2-A02C-BE1FEC51F2E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43" i="7" l="1"/>
  <c r="H43" i="7" l="1"/>
  <c r="I31" i="4" l="1"/>
  <c r="I32" i="4"/>
  <c r="I33" i="4"/>
  <c r="I34" i="4"/>
  <c r="I35" i="4"/>
  <c r="I36" i="4"/>
  <c r="I37" i="4"/>
  <c r="G31" i="4"/>
  <c r="G32" i="4"/>
  <c r="G33" i="4"/>
  <c r="G34" i="4"/>
  <c r="G35" i="4"/>
  <c r="G36" i="4"/>
  <c r="G37" i="4"/>
  <c r="F31" i="4"/>
  <c r="F32" i="4"/>
  <c r="F33" i="4"/>
  <c r="F34" i="4"/>
  <c r="F35" i="4"/>
  <c r="F36" i="4"/>
  <c r="F37" i="4"/>
  <c r="B31" i="4"/>
  <c r="C31" i="4"/>
  <c r="D31" i="4"/>
  <c r="B32" i="4"/>
  <c r="C32" i="4"/>
  <c r="D32" i="4"/>
  <c r="B33" i="4"/>
  <c r="C33" i="4"/>
  <c r="D33" i="4"/>
  <c r="B34" i="4"/>
  <c r="C34" i="4"/>
  <c r="D34" i="4"/>
  <c r="B35" i="4"/>
  <c r="C35" i="4"/>
  <c r="D35" i="4"/>
  <c r="B36" i="4"/>
  <c r="C36" i="4"/>
  <c r="D36" i="4"/>
  <c r="B37" i="4"/>
  <c r="C37" i="4"/>
  <c r="D37" i="4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14" i="7"/>
  <c r="A6" i="7"/>
  <c r="A7" i="7"/>
  <c r="A8" i="7"/>
  <c r="A9" i="7"/>
  <c r="A10" i="7"/>
  <c r="A5" i="7"/>
  <c r="C2" i="7"/>
  <c r="C37" i="7" l="1"/>
  <c r="C36" i="7"/>
  <c r="C35" i="7"/>
  <c r="C34" i="7"/>
  <c r="C33" i="7"/>
  <c r="C32" i="7"/>
  <c r="C31" i="7"/>
  <c r="C30" i="7"/>
  <c r="A31" i="7"/>
  <c r="B31" i="7"/>
  <c r="D31" i="7"/>
  <c r="E31" i="7"/>
  <c r="F31" i="7"/>
  <c r="G31" i="7"/>
  <c r="H31" i="7"/>
  <c r="I31" i="7"/>
  <c r="A32" i="7"/>
  <c r="B32" i="7"/>
  <c r="D32" i="7"/>
  <c r="E32" i="7"/>
  <c r="F32" i="7"/>
  <c r="G32" i="7"/>
  <c r="H32" i="7"/>
  <c r="I32" i="7"/>
  <c r="A33" i="7"/>
  <c r="B33" i="7"/>
  <c r="D33" i="7"/>
  <c r="E33" i="7"/>
  <c r="F33" i="7"/>
  <c r="G33" i="7"/>
  <c r="H33" i="7"/>
  <c r="I33" i="7"/>
  <c r="A34" i="7"/>
  <c r="B34" i="7"/>
  <c r="D34" i="7"/>
  <c r="E34" i="7"/>
  <c r="F34" i="7"/>
  <c r="G34" i="7"/>
  <c r="H34" i="7"/>
  <c r="I34" i="7"/>
  <c r="A35" i="7"/>
  <c r="B35" i="7"/>
  <c r="D35" i="7"/>
  <c r="E35" i="7"/>
  <c r="F35" i="7"/>
  <c r="G35" i="7"/>
  <c r="H35" i="7"/>
  <c r="I35" i="7"/>
  <c r="A36" i="7"/>
  <c r="B36" i="7"/>
  <c r="D36" i="7"/>
  <c r="E36" i="7"/>
  <c r="F36" i="7"/>
  <c r="G36" i="7"/>
  <c r="H36" i="7"/>
  <c r="I36" i="7"/>
  <c r="A37" i="7"/>
  <c r="B37" i="7"/>
  <c r="D37" i="7"/>
  <c r="E37" i="7"/>
  <c r="F37" i="7"/>
  <c r="G37" i="7"/>
  <c r="H37" i="7"/>
  <c r="I37" i="7"/>
  <c r="I30" i="7"/>
  <c r="H30" i="7"/>
  <c r="F30" i="7"/>
  <c r="G30" i="7"/>
  <c r="E30" i="7"/>
  <c r="D30" i="7"/>
  <c r="B30" i="7"/>
  <c r="A30" i="7"/>
  <c r="E26" i="7"/>
  <c r="C24" i="7"/>
  <c r="F1" i="7"/>
  <c r="G38" i="7" l="1"/>
  <c r="E38" i="7"/>
  <c r="H38" i="7" l="1"/>
  <c r="E38" i="2" l="1"/>
  <c r="G38" i="2" l="1"/>
  <c r="H38" i="2"/>
  <c r="G33" i="5"/>
  <c r="G31" i="5"/>
  <c r="G29" i="5"/>
  <c r="G27" i="5"/>
  <c r="G25" i="5"/>
  <c r="G23" i="5"/>
  <c r="G21" i="5"/>
  <c r="G19" i="5"/>
  <c r="J33" i="5"/>
  <c r="J31" i="5"/>
  <c r="J29" i="5"/>
  <c r="J27" i="5"/>
  <c r="J25" i="5"/>
  <c r="J23" i="5"/>
  <c r="J21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J19" i="5"/>
  <c r="G30" i="4"/>
  <c r="G20" i="5"/>
  <c r="G22" i="5"/>
  <c r="G24" i="5"/>
  <c r="G26" i="5"/>
  <c r="G28" i="5"/>
  <c r="G30" i="5"/>
  <c r="G32" i="5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7" i="2"/>
  <c r="J36" i="2"/>
  <c r="J36" i="7" s="1"/>
  <c r="J35" i="2"/>
  <c r="J34" i="2"/>
  <c r="J33" i="2"/>
  <c r="J32" i="2"/>
  <c r="J32" i="7" s="1"/>
  <c r="J31" i="2"/>
  <c r="J30" i="2"/>
  <c r="M30" i="2" l="1"/>
  <c r="M30" i="7" s="1"/>
  <c r="J30" i="7"/>
  <c r="M31" i="2"/>
  <c r="M31" i="7" s="1"/>
  <c r="J31" i="7"/>
  <c r="M37" i="2"/>
  <c r="M37" i="7" s="1"/>
  <c r="J37" i="7"/>
  <c r="M34" i="2"/>
  <c r="M34" i="7" s="1"/>
  <c r="J34" i="7"/>
  <c r="M33" i="2"/>
  <c r="M33" i="7" s="1"/>
  <c r="J33" i="7"/>
  <c r="M35" i="2"/>
  <c r="M35" i="7" s="1"/>
  <c r="J35" i="7"/>
  <c r="M36" i="2"/>
  <c r="M36" i="7" s="1"/>
  <c r="J38" i="2"/>
  <c r="M32" i="2"/>
  <c r="M32" i="7" s="1"/>
  <c r="S3" i="3"/>
  <c r="S4" i="3"/>
  <c r="P3" i="3"/>
  <c r="R3" i="3"/>
  <c r="Q3" i="3" l="1"/>
  <c r="K4" i="3" s="1"/>
  <c r="J38" i="7"/>
  <c r="M38" i="7"/>
  <c r="M38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9" i="2" l="1"/>
  <c r="E39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<sst xmlns="http://schemas.openxmlformats.org/spreadsheetml/2006/main" count="233" uniqueCount="177">
  <si>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</si>
  <si>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</si>
  <si>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</si>
  <si>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</si>
  <si>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</si>
  <si>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</si>
  <si>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</si>
  <si>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</si>
  <si>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</si>
  <si>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</si>
  <si>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</si>
  <si>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</si>
  <si>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</si>
  <si>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</si>
  <si>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</si>
  <si>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</si>
  <si>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</si>
  <si>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</si>
  <si>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</si>
  <si>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</si>
  <si>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</si>
  <si>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</si>
  <si>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</si>
  <si>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</si>
  <si>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</si>
  <si>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</si>
  <si>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</si>
  <si>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</si>
  <si>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</si>
  <si>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</si>
  <si>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</si>
  <si>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</si>
  <si>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</si>
  <si>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</si>
  <si>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</si>
  <si>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</si>
  <si>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</si>
  <si>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</si>
  <si>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</si>
  <si>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</si>
  <si>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</si>
  <si>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</si>
  <si>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</si>
  <si>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</si>
  <si>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</si>
  <si>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</si>
  <si>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</si>
  <si>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</si>
  <si>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</si>
  <si>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</si>
  <si>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</si>
  <si>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</si>
  <si>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</si>
  <si>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</si>
  <si>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</si>
  <si>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</si>
  <si>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</si>
  <si>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</si>
  <si>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</si>
  <si>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</si>
  <si>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</si>
  <si>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</si>
  <si>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</si>
  <si>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</si>
  <si>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</si>
  <si>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</si>
  <si>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</si>
  <si>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</si>
  <si>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</si>
  <si>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</si>
  <si>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</si>
  <si>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</si>
  <si>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</si>
  <si>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</si>
  <si>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</si>
  <si>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</si>
  <si>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</si>
  <si>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</si>
  <si>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</si>
  <si>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</si>
  <si>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</si>
  <si>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</si>
  <si>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</si>
  <si>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</si>
  <si>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</si>
  <si>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</si>
  <si>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</si>
  <si>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</si>
  <si>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</si>
  <si>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</si>
  <si>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</si>
  <si>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</si>
  <si>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</si>
  <si>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</si>
  <si>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</si>
  <si>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</si>
  <si>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</si>
  <si>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</si>
  <si>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</si>
  <si>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</si>
  <si>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</si>
  <si>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</si>
  <si>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</si>
  <si>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</si>
  <si>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</si>
  <si>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</si>
  <si>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</si>
  <si>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</si>
  <si>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</si>
  <si>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</si>
  <si>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</si>
  <si>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</si>
  <si>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Пласт. ящик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</si>
  <si>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</si>
  <si>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Дер. ящик</t>
  </si>
  <si>
    <t>Лимоны свежие некалиброванный</t>
  </si>
  <si>
    <t xml:space="preserve">                    Узбекистан Сыр. обл.</t>
  </si>
  <si>
    <t xml:space="preserve">                 Сыр. обл   </t>
  </si>
  <si>
    <t>Груши свежие</t>
  </si>
  <si>
    <t>Персики свежие</t>
  </si>
  <si>
    <t>Нектарины свежие</t>
  </si>
  <si>
    <t>Перец горький свежий</t>
  </si>
  <si>
    <t>0709609900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</si>
  <si>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</si>
  <si>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</si>
  <si>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</si>
  <si>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</si>
  <si>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</si>
  <si>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</si>
  <si>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</si>
  <si>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</si>
  <si>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</si>
  <si>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</si>
  <si>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</si>
  <si>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</si>
  <si>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</si>
  <si>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</si>
  <si>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</si>
  <si>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</si>
  <si>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0808309001</t>
  </si>
  <si>
    <t>0809309001</t>
  </si>
  <si>
    <t>0809301001</t>
  </si>
  <si>
    <t>0805501009</t>
  </si>
  <si>
    <t>0806101001</t>
  </si>
  <si>
    <t>Виноград свежий столовых сортов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</si>
  <si>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</si>
  <si>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</si>
  <si>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</si>
  <si>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Сливы свежие</t>
  </si>
  <si>
    <t>0809400501</t>
  </si>
  <si>
    <t>Инжир свежий</t>
  </si>
  <si>
    <t>0804201000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</si>
  <si>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</si>
  <si>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</si>
  <si>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</si>
  <si>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</si>
  <si>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</si>
  <si>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</si>
  <si>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</si>
  <si>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</si>
  <si>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</si>
  <si>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</si>
  <si>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</si>
  <si>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EX0508 от 05.08.2025 года</t>
  </si>
  <si>
    <t>ООО «MEGA EXIMPORT»</t>
  </si>
  <si>
    <t xml:space="preserve">Республика Узбекистан, Ферганская область, </t>
  </si>
  <si>
    <t xml:space="preserve">в АКБ «KAPITAL BANK» МФО: 01088 Swift: KACHUZ22  </t>
  </si>
  <si>
    <r>
      <t xml:space="preserve">Р/с N </t>
    </r>
    <r>
      <rPr>
        <sz val="11"/>
        <color indexed="8"/>
        <rFont val="Times New Roman"/>
        <family val="1"/>
        <charset val="204"/>
      </rPr>
      <t>20208840607249418001   (USD)</t>
    </r>
    <r>
      <rPr>
        <sz val="11"/>
        <rFont val="Times New Roman"/>
        <family val="1"/>
        <charset val="204"/>
      </rPr>
      <t xml:space="preserve">    </t>
    </r>
  </si>
  <si>
    <t xml:space="preserve"> ИНН: 312169146</t>
  </si>
  <si>
    <t>Эргашев О.Р</t>
  </si>
  <si>
    <t>Кува Район, Гулобод МФЙ, Сарбоз улитца</t>
  </si>
  <si>
    <t>Директор:  OOO MEGA EXIMPORT</t>
  </si>
  <si>
    <t xml:space="preserve">ИНВОЙС № MEZ-Z-5 от </t>
  </si>
  <si>
    <t xml:space="preserve"> 13.08.2025г.</t>
  </si>
  <si>
    <t>40055PBA/404626BA</t>
  </si>
  <si>
    <t>DAP - с Амандык , Республика Казахстан</t>
  </si>
  <si>
    <t xml:space="preserve">СПЕЦИФИКАЦИЯ № MEZ-Z-5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</si>
</sst>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1" xfId="0" applyFont="1" applyBorder="1" applyAlignment="1">
      <alignment horizontal="center" vertical="center" wrapText="1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78" fillId="0" borderId="0" xfId="0" applyFont="1"/>
    <xf numFmtId="0" fontId="23" fillId="0" borderId="0" xfId="0" applyFont="1" applyAlignment="1">
      <alignment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3.jpeg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1019735</xdr:colOff>
      <xdr:row>44</xdr:row>
      <xdr:rowOff>33618</xdr:rowOff>
    </xdr:from>
    <xdr:to>
      <xdr:col>3</xdr:col>
      <xdr:colOff>224118</xdr:colOff>
      <xdr:row>56</xdr:row>
      <xdr:rowOff>22094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62524D4A-2ED9-3577-B4D0-A3A044A09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8323" y="20943794"/>
          <a:ext cx="2017060" cy="2005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324971</xdr:colOff>
      <xdr:row>44</xdr:row>
      <xdr:rowOff>100855</xdr:rowOff>
    </xdr:from>
    <xdr:to>
      <xdr:col>4</xdr:col>
      <xdr:colOff>389833</xdr:colOff>
      <xdr:row>46</xdr:row>
      <xdr:rowOff>151841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46A7D6F4-2A7F-4631-6147-071719DC7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6236" y="21011031"/>
          <a:ext cx="793244" cy="431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46</xdr:row>
      <xdr:rowOff>20172</xdr:rowOff>
    </xdr:from>
    <xdr:to>
      <xdr:col>12</xdr:col>
      <xdr:colOff>149486</xdr:colOff>
      <xdr:row>49</xdr:row>
      <xdr:rowOff>113593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44</xdr:row>
      <xdr:rowOff>98613</xdr:rowOff>
    </xdr:from>
    <xdr:to>
      <xdr:col>9</xdr:col>
      <xdr:colOff>159123</xdr:colOff>
      <xdr:row>56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448235</xdr:colOff>
      <xdr:row>44</xdr:row>
      <xdr:rowOff>22412</xdr:rowOff>
    </xdr:from>
    <xdr:to>
      <xdr:col>2</xdr:col>
      <xdr:colOff>392207</xdr:colOff>
      <xdr:row>56</xdr:row>
      <xdr:rowOff>10888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524D4A-2ED9-3577-B4D0-A3A044A09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823" y="19621500"/>
          <a:ext cx="2017060" cy="2005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493060</xdr:colOff>
      <xdr:row>44</xdr:row>
      <xdr:rowOff>89649</xdr:rowOff>
    </xdr:from>
    <xdr:to>
      <xdr:col>3</xdr:col>
      <xdr:colOff>546715</xdr:colOff>
      <xdr:row>46</xdr:row>
      <xdr:rowOff>140635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46A7D6F4-2A7F-4631-6147-071719DC7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736" y="19688737"/>
          <a:ext cx="793244" cy="431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9"/>
  <sheetViews>
    <sheetView tabSelected="1" topLeftCell="A20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35" t="s">
        <v>172</v>
      </c>
      <c r="D1" s="135"/>
      <c r="E1" s="135"/>
      <c r="F1" s="134" t="s">
        <v>173</v>
      </c>
      <c r="G1" s="134"/>
      <c r="H1" s="134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1" t="s">
        <v>163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">
      <c r="A5" s="136" t="s">
        <v>164</v>
      </c>
      <c r="B5" s="136"/>
      <c r="C5" s="136"/>
      <c r="D5" s="136"/>
      <c r="E5" s="136"/>
      <c r="F5" s="6"/>
      <c r="G5" s="138" t="s">
        <v>153</v>
      </c>
      <c r="H5" s="138"/>
      <c r="I5" s="138"/>
      <c r="J5" s="138"/>
      <c r="K5" s="138"/>
      <c r="L5" s="138"/>
      <c r="M5" s="138"/>
    </row>
    <row r="6" spans="1:15" ht="15" x14ac:dyDescent="0.25">
      <c r="A6" s="127" t="s">
        <v>165</v>
      </c>
      <c r="B6" s="125"/>
      <c r="C6" s="125"/>
      <c r="D6" s="125"/>
      <c r="E6" s="125"/>
      <c r="F6" s="7"/>
      <c r="G6" s="140" t="s">
        <v>154</v>
      </c>
      <c r="H6" s="140"/>
      <c r="I6" s="140"/>
      <c r="J6" s="140"/>
      <c r="K6" s="140"/>
      <c r="L6" s="140"/>
      <c r="M6" s="140"/>
      <c r="N6" s="4"/>
    </row>
    <row r="7" spans="1:15" ht="15" x14ac:dyDescent="0.25">
      <c r="A7" s="127" t="s">
        <v>170</v>
      </c>
      <c r="B7" s="125"/>
      <c r="C7" s="125"/>
      <c r="D7" s="125"/>
      <c r="E7" s="125"/>
      <c r="F7" s="63"/>
      <c r="G7" s="140" t="s">
        <v>155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167</v>
      </c>
      <c r="B8" s="8"/>
      <c r="C8" s="8"/>
      <c r="D8" s="8"/>
      <c r="E8" s="8"/>
      <c r="F8" s="63"/>
      <c r="G8" s="7" t="s">
        <v>156</v>
      </c>
      <c r="H8" s="23"/>
      <c r="I8" s="23"/>
      <c r="J8" s="23"/>
      <c r="K8" s="23"/>
      <c r="L8" s="23"/>
      <c r="M8" s="23"/>
    </row>
    <row r="9" spans="1:15" ht="15" x14ac:dyDescent="0.25">
      <c r="A9" s="8" t="s">
        <v>166</v>
      </c>
      <c r="B9" s="8"/>
      <c r="C9" s="8"/>
      <c r="D9" s="8"/>
      <c r="E9" s="8"/>
      <c r="F9" s="7"/>
      <c r="G9" s="7" t="s">
        <v>157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168</v>
      </c>
      <c r="B10" s="125"/>
      <c r="C10" s="125"/>
      <c r="D10" s="125"/>
      <c r="E10" s="125"/>
      <c r="F10" s="7"/>
      <c r="G10" s="7" t="s">
        <v>158</v>
      </c>
      <c r="H10" s="23"/>
      <c r="I10" s="23"/>
      <c r="J10" s="23"/>
      <c r="K10" s="23"/>
      <c r="L10" s="23"/>
      <c r="M10" s="23"/>
    </row>
    <row r="11" spans="1:15" ht="15" x14ac:dyDescent="0.25">
      <c r="A11" s="8"/>
      <c r="B11" s="8"/>
      <c r="C11" s="8"/>
      <c r="D11" s="8"/>
      <c r="E11" s="8"/>
      <c r="F11" s="7"/>
      <c r="G11" s="7" t="s">
        <v>159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25">
      <c r="A13" s="137" t="s">
        <v>31</v>
      </c>
      <c r="B13" s="137"/>
      <c r="C13" s="137"/>
      <c r="D13" s="137"/>
      <c r="E13" s="137"/>
      <c r="G13" s="137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">
      <c r="A14" s="136" t="s">
        <v>164</v>
      </c>
      <c r="B14" s="136"/>
      <c r="C14" s="136"/>
      <c r="D14" s="136"/>
      <c r="E14" s="136"/>
      <c r="F14" s="6"/>
      <c r="G14" s="138" t="s">
        <v>132</v>
      </c>
      <c r="H14" s="138"/>
      <c r="I14" s="138"/>
      <c r="J14" s="138"/>
      <c r="K14" s="138"/>
      <c r="L14" s="138"/>
      <c r="M14" s="138"/>
    </row>
    <row r="15" spans="1:15" ht="13.9" customHeight="1" x14ac:dyDescent="0.25">
      <c r="A15" s="127" t="s">
        <v>165</v>
      </c>
      <c r="B15" s="125"/>
      <c r="C15" s="125"/>
      <c r="D15" s="125"/>
      <c r="E15" s="125"/>
      <c r="F15" s="7"/>
      <c r="G15" s="140" t="s">
        <v>133</v>
      </c>
      <c r="H15" s="143"/>
      <c r="I15" s="143"/>
      <c r="J15" s="143"/>
      <c r="K15" s="143"/>
      <c r="L15" s="143"/>
      <c r="M15" s="143"/>
    </row>
    <row r="16" spans="1:15" ht="15" x14ac:dyDescent="0.25">
      <c r="A16" s="127" t="s">
        <v>170</v>
      </c>
      <c r="B16" s="125"/>
      <c r="C16" s="125"/>
      <c r="D16" s="125"/>
      <c r="E16" s="125"/>
      <c r="F16" s="63"/>
      <c r="G16" s="140" t="s">
        <v>134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167</v>
      </c>
      <c r="B17" s="8"/>
      <c r="C17" s="8"/>
      <c r="D17" s="8"/>
      <c r="E17" s="8"/>
      <c r="F17" s="63"/>
      <c r="G17" s="7" t="s">
        <v>135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166</v>
      </c>
      <c r="B18" s="8"/>
      <c r="C18" s="8"/>
      <c r="D18" s="8"/>
      <c r="E18" s="8"/>
      <c r="F18" s="7"/>
      <c r="G18" s="8" t="s">
        <v>136</v>
      </c>
      <c r="H18" s="8"/>
      <c r="I18" s="8"/>
      <c r="J18" s="8"/>
      <c r="K18" s="8"/>
      <c r="L18" s="8"/>
      <c r="M18" s="8"/>
    </row>
    <row r="19" spans="1:17" ht="15" x14ac:dyDescent="0.25">
      <c r="A19" s="125" t="s">
        <v>168</v>
      </c>
      <c r="B19" s="125"/>
      <c r="C19" s="125"/>
      <c r="D19" s="125"/>
      <c r="E19" s="125"/>
      <c r="F19" s="7"/>
      <c r="G19" s="7" t="s">
        <v>137</v>
      </c>
      <c r="H19" s="23"/>
      <c r="I19" s="23"/>
      <c r="J19" s="23"/>
      <c r="K19" s="23"/>
      <c r="L19" s="23"/>
      <c r="M19" s="23"/>
    </row>
    <row r="20" spans="1:17" ht="15" x14ac:dyDescent="0.25">
      <c r="A20" s="8"/>
      <c r="B20" s="8"/>
      <c r="C20" s="8"/>
      <c r="D20" s="8"/>
      <c r="E20" s="8"/>
      <c r="F20" s="7"/>
      <c r="G20" s="7" t="s">
        <v>138</v>
      </c>
      <c r="H20" s="23"/>
      <c r="I20" s="23"/>
      <c r="J20" s="23"/>
    </row>
    <row r="21" spans="1:17" ht="15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81" t="s">
        <v>126</v>
      </c>
      <c r="D23" s="181"/>
      <c r="E23" s="181"/>
      <c r="F23" s="181"/>
      <c r="G23" s="181"/>
      <c r="H23" s="181"/>
      <c r="I23" s="181"/>
      <c r="J23" s="181"/>
      <c r="K23" s="181"/>
      <c r="L23" s="181"/>
      <c r="M23" s="181"/>
    </row>
    <row r="24" spans="1:17" ht="15.75" x14ac:dyDescent="0.25">
      <c r="A24" s="20" t="s">
        <v>22</v>
      </c>
      <c r="C24" s="18" t="s">
        <v>175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4" t="s">
        <v>174</v>
      </c>
      <c r="F26" s="155"/>
      <c r="G26" s="155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1" t="s">
        <v>9</v>
      </c>
      <c r="K28" s="151" t="s">
        <v>10</v>
      </c>
      <c r="L28" s="152"/>
      <c r="M28" s="147" t="s">
        <v>11</v>
      </c>
    </row>
    <row r="29" spans="1:17" ht="32.25" x14ac:dyDescent="0.2">
      <c r="A29" s="148"/>
      <c r="B29" s="148"/>
      <c r="C29" s="148"/>
      <c r="D29" s="148"/>
      <c r="E29" s="148"/>
      <c r="F29" s="148"/>
      <c r="G29" s="111" t="s">
        <v>12</v>
      </c>
      <c r="H29" s="111" t="s">
        <v>13</v>
      </c>
      <c r="I29" s="148"/>
      <c r="J29" s="112" t="s">
        <v>14</v>
      </c>
      <c r="K29" s="10" t="s">
        <v>15</v>
      </c>
      <c r="L29" s="10" t="s">
        <v>16</v>
      </c>
      <c r="M29" s="148"/>
    </row>
    <row r="30" spans="1:17" ht="15" x14ac:dyDescent="0.2">
      <c r="A30" s="129">
        <v>1</v>
      </c>
      <c r="B30" s="101" t="s">
        <v>150</v>
      </c>
      <c r="C30" s="107" t="s">
        <v>151</v>
      </c>
      <c r="D30" s="109" t="s">
        <v>114</v>
      </c>
      <c r="E30" s="101">
        <v>128</v>
      </c>
      <c r="F30" s="110" t="s">
        <v>27</v>
      </c>
      <c r="G30" s="106">
        <v>415</v>
      </c>
      <c r="H30" s="106">
        <v>260</v>
      </c>
      <c r="I30" s="108">
        <v>1.25</v>
      </c>
      <c r="J30" s="13">
        <f t="shared" ref="J30:J37" si="0">H30*I30</f>
        <v>325</v>
      </c>
      <c r="K30" s="12">
        <v>0</v>
      </c>
      <c r="L30" s="12">
        <v>0</v>
      </c>
      <c r="M30" s="13">
        <f t="shared" ref="M30:M37" si="1">J30</f>
        <v>325</v>
      </c>
      <c r="O30" s="100"/>
      <c r="Q30" s="100"/>
    </row>
    <row r="31" spans="1:17" ht="30" x14ac:dyDescent="0.2">
      <c r="A31" s="129">
        <v>2</v>
      </c>
      <c r="B31" s="101" t="s">
        <v>118</v>
      </c>
      <c r="C31" s="107" t="s">
        <v>139</v>
      </c>
      <c r="D31" s="109" t="s">
        <v>112</v>
      </c>
      <c r="E31" s="101">
        <v>141</v>
      </c>
      <c r="F31" s="116" t="s">
        <v>27</v>
      </c>
      <c r="G31" s="106">
        <v>505</v>
      </c>
      <c r="H31" s="106">
        <v>405</v>
      </c>
      <c r="I31" s="108">
        <v>1.4</v>
      </c>
      <c r="J31" s="13">
        <f t="shared" si="0"/>
        <v>567</v>
      </c>
      <c r="K31" s="12">
        <v>0</v>
      </c>
      <c r="L31" s="12">
        <v>0</v>
      </c>
      <c r="M31" s="13">
        <f t="shared" si="1"/>
        <v>567</v>
      </c>
      <c r="O31" s="100"/>
      <c r="Q31" s="100"/>
    </row>
    <row r="32" spans="1:17" ht="15" x14ac:dyDescent="0.2">
      <c r="A32" s="129">
        <v>3</v>
      </c>
      <c r="B32" s="101" t="s">
        <v>119</v>
      </c>
      <c r="C32" s="107" t="s">
        <v>140</v>
      </c>
      <c r="D32" s="109" t="s">
        <v>114</v>
      </c>
      <c r="E32" s="101">
        <v>201</v>
      </c>
      <c r="F32" s="110" t="s">
        <v>27</v>
      </c>
      <c r="G32" s="106">
        <v>1175</v>
      </c>
      <c r="H32" s="106">
        <v>935</v>
      </c>
      <c r="I32" s="108">
        <v>1</v>
      </c>
      <c r="J32" s="13">
        <f t="shared" si="0"/>
        <v>935</v>
      </c>
      <c r="K32" s="12">
        <v>0</v>
      </c>
      <c r="L32" s="12">
        <v>0</v>
      </c>
      <c r="M32" s="13">
        <f t="shared" si="1"/>
        <v>935</v>
      </c>
      <c r="O32" s="100"/>
      <c r="Q32" s="100"/>
    </row>
    <row r="33" spans="1:17" ht="15" x14ac:dyDescent="0.2">
      <c r="A33" s="129">
        <v>4</v>
      </c>
      <c r="B33" s="101" t="s">
        <v>148</v>
      </c>
      <c r="C33" s="107" t="s">
        <v>149</v>
      </c>
      <c r="D33" s="109" t="s">
        <v>114</v>
      </c>
      <c r="E33" s="101">
        <v>210</v>
      </c>
      <c r="F33" s="110" t="s">
        <v>27</v>
      </c>
      <c r="G33" s="106">
        <v>2205</v>
      </c>
      <c r="H33" s="106">
        <v>1910</v>
      </c>
      <c r="I33" s="108">
        <v>0.4</v>
      </c>
      <c r="J33" s="13">
        <f t="shared" si="0"/>
        <v>764</v>
      </c>
      <c r="K33" s="12">
        <v>0</v>
      </c>
      <c r="L33" s="12">
        <v>0</v>
      </c>
      <c r="M33" s="13">
        <f t="shared" si="1"/>
        <v>764</v>
      </c>
      <c r="O33" s="100"/>
      <c r="Q33" s="100"/>
    </row>
    <row r="34" spans="1:17" ht="30" x14ac:dyDescent="0.2">
      <c r="A34" s="129">
        <v>5</v>
      </c>
      <c r="B34" s="101" t="s">
        <v>115</v>
      </c>
      <c r="C34" s="107" t="s">
        <v>142</v>
      </c>
      <c r="D34" s="109" t="s">
        <v>114</v>
      </c>
      <c r="E34" s="101">
        <v>60</v>
      </c>
      <c r="F34" s="110" t="s">
        <v>27</v>
      </c>
      <c r="G34" s="106">
        <v>245</v>
      </c>
      <c r="H34" s="106">
        <v>160</v>
      </c>
      <c r="I34" s="108">
        <v>3</v>
      </c>
      <c r="J34" s="13">
        <f t="shared" si="0"/>
        <v>480</v>
      </c>
      <c r="K34" s="12">
        <v>0</v>
      </c>
      <c r="L34" s="12">
        <v>0</v>
      </c>
      <c r="M34" s="13">
        <f t="shared" si="1"/>
        <v>480</v>
      </c>
      <c r="O34" s="100"/>
      <c r="Q34" s="100"/>
    </row>
    <row r="35" spans="1:17" ht="15" x14ac:dyDescent="0.2">
      <c r="A35" s="129">
        <v>6</v>
      </c>
      <c r="B35" s="126" t="s">
        <v>121</v>
      </c>
      <c r="C35" s="107" t="s">
        <v>122</v>
      </c>
      <c r="D35" s="109" t="s">
        <v>114</v>
      </c>
      <c r="E35" s="101">
        <v>45</v>
      </c>
      <c r="F35" s="110" t="s">
        <v>27</v>
      </c>
      <c r="G35" s="106">
        <v>413</v>
      </c>
      <c r="H35" s="106">
        <v>350</v>
      </c>
      <c r="I35" s="108">
        <v>1</v>
      </c>
      <c r="J35" s="13">
        <f t="shared" si="0"/>
        <v>350</v>
      </c>
      <c r="K35" s="12">
        <v>0</v>
      </c>
      <c r="L35" s="12">
        <v>0</v>
      </c>
      <c r="M35" s="13">
        <f t="shared" si="1"/>
        <v>350</v>
      </c>
      <c r="O35" s="100"/>
      <c r="Q35" s="100"/>
    </row>
    <row r="36" spans="1:17" ht="15" x14ac:dyDescent="0.2">
      <c r="A36" s="129">
        <v>7</v>
      </c>
      <c r="B36" s="101" t="s">
        <v>120</v>
      </c>
      <c r="C36" s="107" t="s">
        <v>141</v>
      </c>
      <c r="D36" s="109" t="s">
        <v>114</v>
      </c>
      <c r="E36" s="101">
        <v>110</v>
      </c>
      <c r="F36" s="110" t="s">
        <v>27</v>
      </c>
      <c r="G36" s="106">
        <v>880</v>
      </c>
      <c r="H36" s="106">
        <v>725</v>
      </c>
      <c r="I36" s="108">
        <v>0.9</v>
      </c>
      <c r="J36" s="13">
        <f t="shared" si="0"/>
        <v>652.5</v>
      </c>
      <c r="K36" s="12">
        <v>0</v>
      </c>
      <c r="L36" s="12">
        <v>0</v>
      </c>
      <c r="M36" s="13">
        <f t="shared" si="1"/>
        <v>652.5</v>
      </c>
      <c r="O36" s="100"/>
      <c r="Q36" s="100"/>
    </row>
    <row r="37" spans="1:17" ht="30" x14ac:dyDescent="0.2">
      <c r="A37" s="129">
        <v>8</v>
      </c>
      <c r="B37" s="101" t="s">
        <v>144</v>
      </c>
      <c r="C37" s="107" t="s">
        <v>143</v>
      </c>
      <c r="D37" s="109" t="s">
        <v>114</v>
      </c>
      <c r="E37" s="101">
        <v>1673</v>
      </c>
      <c r="F37" s="110" t="s">
        <v>27</v>
      </c>
      <c r="G37" s="106">
        <v>16147</v>
      </c>
      <c r="H37" s="106">
        <v>13805</v>
      </c>
      <c r="I37" s="108">
        <v>1</v>
      </c>
      <c r="J37" s="13">
        <f t="shared" si="0"/>
        <v>13805</v>
      </c>
      <c r="K37" s="12">
        <v>0</v>
      </c>
      <c r="L37" s="12">
        <v>0</v>
      </c>
      <c r="M37" s="13">
        <f t="shared" si="1"/>
        <v>13805</v>
      </c>
      <c r="O37" s="100"/>
      <c r="Q37" s="100"/>
    </row>
    <row r="38" spans="1:17" ht="14.25" x14ac:dyDescent="0.2">
      <c r="A38" s="149" t="s">
        <v>0</v>
      </c>
      <c r="B38" s="150"/>
      <c r="C38" s="14"/>
      <c r="D38" s="15"/>
      <c r="E38" s="64">
        <f>SUM(E30:E37)</f>
        <v>2568</v>
      </c>
      <c r="F38" s="15"/>
      <c r="G38" s="64">
        <f>SUM(G30:G37)</f>
        <v>21985</v>
      </c>
      <c r="H38" s="64">
        <f>SUM(H30:H37)</f>
        <v>18550</v>
      </c>
      <c r="I38" s="102"/>
      <c r="J38" s="17">
        <f>SUM(J30:J37)</f>
        <v>17878.5</v>
      </c>
      <c r="K38" s="16"/>
      <c r="L38" s="16"/>
      <c r="M38" s="17">
        <f>SUM(M30:M37)</f>
        <v>17878.5</v>
      </c>
      <c r="P38" s="66"/>
    </row>
    <row r="39" spans="1:17" ht="13.5" x14ac:dyDescent="0.25">
      <c r="A39" s="2" t="s">
        <v>17</v>
      </c>
      <c r="B39" s="3"/>
      <c r="C39" s="11"/>
      <c r="D39" s="11"/>
      <c r="E39" s="145" t="str">
        <f>Лист1!B3</f>
        <v>Семнадцать тысяч восемьсот семьдесят восемь долларов США, 50 центов.</v>
      </c>
      <c r="F39" s="146"/>
      <c r="G39" s="146"/>
      <c r="H39" s="146"/>
      <c r="I39" s="146"/>
      <c r="J39" s="146"/>
      <c r="K39" s="146"/>
      <c r="L39" s="146"/>
      <c r="M39" s="146"/>
    </row>
    <row r="40" spans="1:17" ht="20.25" customHeight="1" x14ac:dyDescent="0.2">
      <c r="A40" s="142"/>
      <c r="B40" s="142"/>
      <c r="C40" s="142"/>
      <c r="D40" s="142"/>
      <c r="E40" s="142"/>
      <c r="F40" s="142"/>
      <c r="G40" s="142"/>
      <c r="H40" s="142"/>
      <c r="I40" s="142"/>
      <c r="J40" s="142"/>
      <c r="K40" s="142"/>
      <c r="L40" s="142"/>
      <c r="M40" s="142"/>
    </row>
    <row r="41" spans="1:17" ht="25.5" customHeight="1" x14ac:dyDescent="0.2">
      <c r="A41" s="142" t="s">
        <v>110</v>
      </c>
      <c r="B41" s="142"/>
      <c r="C41" s="142"/>
      <c r="D41" s="142"/>
      <c r="E41" s="142"/>
      <c r="F41" s="142"/>
      <c r="G41" s="142"/>
      <c r="H41" s="142"/>
      <c r="I41" s="142"/>
      <c r="J41" s="142"/>
      <c r="K41" s="142"/>
      <c r="L41" s="142"/>
      <c r="M41" s="142"/>
      <c r="N41" s="26"/>
    </row>
    <row r="43" spans="1:17" ht="15" x14ac:dyDescent="0.25">
      <c r="A43" s="7" t="s">
        <v>28</v>
      </c>
      <c r="B43" s="7"/>
      <c r="D43" s="25" t="s">
        <v>169</v>
      </c>
      <c r="E43" s="24"/>
    </row>
    <row r="44" spans="1:17" ht="15" x14ac:dyDescent="0.25">
      <c r="A44" s="7"/>
      <c r="B44" s="9"/>
    </row>
    <row r="45" spans="1:17" ht="15" x14ac:dyDescent="0.25">
      <c r="A45" s="7" t="s">
        <v>18</v>
      </c>
      <c r="B45" s="9"/>
    </row>
    <row r="46" spans="1:17" ht="15" x14ac:dyDescent="0.25">
      <c r="A46" s="7"/>
      <c r="B46" s="9"/>
    </row>
    <row r="47" spans="1:17" ht="15" x14ac:dyDescent="0.25">
      <c r="A47" s="7" t="s">
        <v>29</v>
      </c>
      <c r="B47" s="9"/>
    </row>
    <row r="48" spans="1:17" ht="15" x14ac:dyDescent="0.25">
      <c r="A48" s="8"/>
      <c r="B48" s="9"/>
    </row>
    <row r="49" spans="1:1" x14ac:dyDescent="0.2">
      <c r="A49" s="4"/>
    </row>
  </sheetData>
  <mergeCells count="32">
    <mergeCell ref="I28:I29"/>
    <mergeCell ref="G28:H28"/>
    <mergeCell ref="C23:M23"/>
    <mergeCell ref="E26:G26"/>
    <mergeCell ref="G7:M7"/>
    <mergeCell ref="A41:M41"/>
    <mergeCell ref="G15:M15"/>
    <mergeCell ref="G13:M13"/>
    <mergeCell ref="G14:M14"/>
    <mergeCell ref="E39:M39"/>
    <mergeCell ref="E28:E29"/>
    <mergeCell ref="C28:C29"/>
    <mergeCell ref="D28:D29"/>
    <mergeCell ref="A40:M40"/>
    <mergeCell ref="A38:B38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9" zoomScale="115" zoomScaleNormal="115" workbookViewId="0">
      <selection activeCell="B38" sqref="B38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«MEGA EXIMPORT»</v>
      </c>
    </row>
    <row r="3" spans="1:11" ht="11.25" customHeight="1" x14ac:dyDescent="0.2">
      <c r="B3" s="70" t="str">
        <f>+Инвойс!A6</f>
        <v xml:space="preserve">Республика Узбекистан, Ферганская область, </v>
      </c>
    </row>
    <row r="4" spans="1:11" ht="11.25" customHeight="1" x14ac:dyDescent="0.2">
      <c r="B4" s="70" t="str">
        <f>+Инвойс!A7</f>
        <v>Кува Район, Гулобод МФЙ, Сарбоз улитца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113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162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116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13.08.2025г.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MEZ-Z-5 от  13.08.2025г.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107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128</v>
      </c>
      <c r="D30" s="103" t="str">
        <f>+Инвойс!D30</f>
        <v>Дер. ящик</v>
      </c>
      <c r="E30" s="103"/>
      <c r="F30" s="103" t="str">
        <f>+Инвойс!B30</f>
        <v>Инжир свежий</v>
      </c>
      <c r="G30" s="104" t="str">
        <f>+Инвойс!C30</f>
        <v>0804201000</v>
      </c>
      <c r="H30" s="103"/>
      <c r="I30" s="105">
        <f>+Инвойс!G30</f>
        <v>415</v>
      </c>
    </row>
    <row r="31" spans="1:9" ht="9" customHeight="1" x14ac:dyDescent="0.2">
      <c r="A31" s="74"/>
      <c r="B31" s="103">
        <f>+Инвойс!A31</f>
        <v>2</v>
      </c>
      <c r="C31" s="103">
        <f>+Инвойс!E31</f>
        <v>141</v>
      </c>
      <c r="D31" s="103" t="str">
        <f>+Инвойс!D31</f>
        <v>Пласт. ящик</v>
      </c>
      <c r="E31" s="103"/>
      <c r="F31" s="103" t="str">
        <f>+Инвойс!B31</f>
        <v>Груши свежие</v>
      </c>
      <c r="G31" s="104" t="str">
        <f>+Инвойс!C31</f>
        <v>0808309001</v>
      </c>
      <c r="H31" s="103"/>
      <c r="I31" s="105">
        <f>+Инвойс!G31</f>
        <v>505</v>
      </c>
    </row>
    <row r="32" spans="1:9" ht="9" customHeight="1" x14ac:dyDescent="0.2">
      <c r="A32" s="74"/>
      <c r="B32" s="103">
        <f>+Инвойс!A32</f>
        <v>3</v>
      </c>
      <c r="C32" s="103">
        <f>+Инвойс!E32</f>
        <v>201</v>
      </c>
      <c r="D32" s="103" t="str">
        <f>+Инвойс!D32</f>
        <v>Дер. ящик</v>
      </c>
      <c r="E32" s="103"/>
      <c r="F32" s="103" t="str">
        <f>+Инвойс!B32</f>
        <v>Персики свежие</v>
      </c>
      <c r="G32" s="104" t="str">
        <f>+Инвойс!C32</f>
        <v>0809309001</v>
      </c>
      <c r="H32" s="103"/>
      <c r="I32" s="105">
        <f>+Инвойс!G32</f>
        <v>1175</v>
      </c>
    </row>
    <row r="33" spans="1:9" ht="9" customHeight="1" x14ac:dyDescent="0.2">
      <c r="A33" s="74"/>
      <c r="B33" s="103">
        <f>+Инвойс!A33</f>
        <v>4</v>
      </c>
      <c r="C33" s="103">
        <f>+Инвойс!E33</f>
        <v>210</v>
      </c>
      <c r="D33" s="103" t="str">
        <f>+Инвойс!D33</f>
        <v>Дер. ящик</v>
      </c>
      <c r="E33" s="103"/>
      <c r="F33" s="103" t="str">
        <f>+Инвойс!B33</f>
        <v>Сливы свежие</v>
      </c>
      <c r="G33" s="104" t="str">
        <f>+Инвойс!C33</f>
        <v>0809400501</v>
      </c>
      <c r="H33" s="103"/>
      <c r="I33" s="105">
        <f>+Инвойс!G33</f>
        <v>2205</v>
      </c>
    </row>
    <row r="34" spans="1:9" ht="9" customHeight="1" x14ac:dyDescent="0.2">
      <c r="A34" s="74"/>
      <c r="B34" s="103">
        <f>+Инвойс!A34</f>
        <v>5</v>
      </c>
      <c r="C34" s="103">
        <f>+Инвойс!E34</f>
        <v>60</v>
      </c>
      <c r="D34" s="103" t="str">
        <f>+Инвойс!D34</f>
        <v>Дер. ящик</v>
      </c>
      <c r="E34" s="103"/>
      <c r="F34" s="103" t="str">
        <f>+Инвойс!B34</f>
        <v>Лимоны свежие некалиброванный</v>
      </c>
      <c r="G34" s="104" t="str">
        <f>+Инвойс!C34</f>
        <v>0805501009</v>
      </c>
      <c r="H34" s="103"/>
      <c r="I34" s="105">
        <f>+Инвойс!G34</f>
        <v>245</v>
      </c>
    </row>
    <row r="35" spans="1:9" ht="9" customHeight="1" x14ac:dyDescent="0.2">
      <c r="B35" s="103">
        <f>+Инвойс!A35</f>
        <v>6</v>
      </c>
      <c r="C35" s="103">
        <f>+Инвойс!E35</f>
        <v>45</v>
      </c>
      <c r="D35" s="103" t="str">
        <f>+Инвойс!D35</f>
        <v>Дер. ящик</v>
      </c>
      <c r="E35" s="103"/>
      <c r="F35" s="103" t="str">
        <f>+Инвойс!B35</f>
        <v>Перец горький свежий</v>
      </c>
      <c r="G35" s="104" t="str">
        <f>+Инвойс!C35</f>
        <v>0709609900</v>
      </c>
      <c r="H35" s="103"/>
      <c r="I35" s="105">
        <f>+Инвойс!G35</f>
        <v>413</v>
      </c>
    </row>
    <row r="36" spans="1:9" x14ac:dyDescent="0.2">
      <c r="B36" s="103">
        <f>+Инвойс!A36</f>
        <v>7</v>
      </c>
      <c r="C36" s="103">
        <f>+Инвойс!E36</f>
        <v>110</v>
      </c>
      <c r="D36" s="103" t="str">
        <f>+Инвойс!D36</f>
        <v>Дер. ящик</v>
      </c>
      <c r="E36" s="103"/>
      <c r="F36" s="103" t="str">
        <f>+Инвойс!B36</f>
        <v>Нектарины свежие</v>
      </c>
      <c r="G36" s="104" t="str">
        <f>+Инвойс!C36</f>
        <v>0809301001</v>
      </c>
      <c r="H36" s="103"/>
      <c r="I36" s="105">
        <f>+Инвойс!G36</f>
        <v>880</v>
      </c>
    </row>
    <row r="37" spans="1:9" ht="9.75" customHeight="1" x14ac:dyDescent="0.2">
      <c r="B37" s="103">
        <f>+Инвойс!A37</f>
        <v>8</v>
      </c>
      <c r="C37" s="103">
        <f>+Инвойс!E37</f>
        <v>1673</v>
      </c>
      <c r="D37" s="103" t="str">
        <f>+Инвойс!D37</f>
        <v>Дер. ящик</v>
      </c>
      <c r="E37" s="103"/>
      <c r="F37" s="103" t="str">
        <f>+Инвойс!B37</f>
        <v>Виноград свежий столовых сортов</v>
      </c>
      <c r="G37" s="104" t="str">
        <f>+Инвойс!C37</f>
        <v>0806101001</v>
      </c>
      <c r="H37" s="103"/>
      <c r="I37" s="105">
        <f>+Инвойс!G37</f>
        <v>16147</v>
      </c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"Уралкомплект" 10412130 - т/п Оренбургский
460027, Оренбургская обл., г. Оренбург, ул. Донгузская, д. 62А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117</v>
      </c>
      <c r="D49" s="159" t="str">
        <f>+C22</f>
        <v xml:space="preserve"> 13.08.2025г.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40055PBA/404626BA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5" zoomScaleNormal="100" workbookViewId="0">
      <selection activeCell="F34" sqref="F34:XFD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2" t="s">
        <v>96</v>
      </c>
      <c r="C2" s="162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3" t="str">
        <f>+Инвойс!E26</f>
        <v>40055PBA/404626BA</v>
      </c>
      <c r="C14" s="163"/>
      <c r="D14" s="163"/>
      <c r="E14" s="163"/>
      <c r="F14" s="163"/>
      <c r="G14" s="163"/>
      <c r="H14" s="164" t="s">
        <v>108</v>
      </c>
      <c r="I14" s="164"/>
      <c r="J14" s="88" t="str">
        <f>+Инвойс!F1</f>
        <v xml:space="preserve"> 13.08.2025г.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5" t="str">
        <f>+CMR!B24</f>
        <v>ИНВОЙС № MEZ-Z-5 от  13.08.2025г.</v>
      </c>
      <c r="I15" s="165"/>
      <c r="J15" s="165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7"/>
      <c r="F18" s="118">
        <f>+Инвойс!E30</f>
        <v>128</v>
      </c>
      <c r="G18" s="166" t="str">
        <f>+CMR!F30</f>
        <v>Инжир свежий</v>
      </c>
      <c r="H18" s="166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Дер. ящик</v>
      </c>
      <c r="G19" s="160" t="str">
        <f>+Инвойс!C30</f>
        <v>0804201000</v>
      </c>
      <c r="H19" s="161"/>
      <c r="I19" s="122" t="s">
        <v>103</v>
      </c>
      <c r="J19" s="120">
        <f>+Инвойс!G30</f>
        <v>415</v>
      </c>
    </row>
    <row r="20" spans="2:10" ht="13.5" customHeight="1" x14ac:dyDescent="0.25">
      <c r="B20" s="83"/>
      <c r="E20" s="123"/>
      <c r="F20" s="118">
        <f>+Инвойс!E31</f>
        <v>141</v>
      </c>
      <c r="G20" s="166" t="str">
        <f>+CMR!F31</f>
        <v>Груши свежие</v>
      </c>
      <c r="H20" s="166"/>
      <c r="I20" s="119"/>
      <c r="J20" s="120"/>
    </row>
    <row r="21" spans="2:10" ht="13.5" customHeight="1" x14ac:dyDescent="0.25">
      <c r="B21" s="83" t="s">
        <v>104</v>
      </c>
      <c r="E21" s="123"/>
      <c r="F21" s="121" t="str">
        <f>+Инвойс!D31</f>
        <v>Пласт. ящик</v>
      </c>
      <c r="G21" s="160" t="str">
        <f>+Инвойс!C31</f>
        <v>0808309001</v>
      </c>
      <c r="H21" s="161"/>
      <c r="I21" s="122" t="s">
        <v>103</v>
      </c>
      <c r="J21" s="120">
        <f>+Инвойс!G31</f>
        <v>505</v>
      </c>
    </row>
    <row r="22" spans="2:10" ht="12.75" customHeight="1" x14ac:dyDescent="0.25">
      <c r="B22" s="83"/>
      <c r="E22" s="123"/>
      <c r="F22" s="118">
        <f>+Инвойс!E32</f>
        <v>201</v>
      </c>
      <c r="G22" s="166" t="str">
        <f>+CMR!F32</f>
        <v>Персики свежие</v>
      </c>
      <c r="H22" s="166"/>
      <c r="I22" s="119"/>
      <c r="J22" s="120"/>
    </row>
    <row r="23" spans="2:10" ht="14.25" customHeight="1" x14ac:dyDescent="0.25">
      <c r="B23" s="83"/>
      <c r="E23" s="123"/>
      <c r="F23" s="121" t="str">
        <f>+Инвойс!D32</f>
        <v>Дер. ящик</v>
      </c>
      <c r="G23" s="160" t="str">
        <f>+Инвойс!C32</f>
        <v>0809309001</v>
      </c>
      <c r="H23" s="161"/>
      <c r="I23" s="122" t="s">
        <v>103</v>
      </c>
      <c r="J23" s="120">
        <f>+Инвойс!G32</f>
        <v>1175</v>
      </c>
    </row>
    <row r="24" spans="2:10" ht="12.75" customHeight="1" x14ac:dyDescent="0.25">
      <c r="B24" s="87"/>
      <c r="E24" s="123"/>
      <c r="F24" s="118">
        <f>+Инвойс!E33</f>
        <v>210</v>
      </c>
      <c r="G24" s="166" t="str">
        <f>+CMR!F33</f>
        <v>Сливы свежие</v>
      </c>
      <c r="H24" s="166"/>
      <c r="I24" s="119"/>
      <c r="J24" s="120"/>
    </row>
    <row r="25" spans="2:10" ht="12.75" customHeight="1" x14ac:dyDescent="0.25">
      <c r="B25" s="87"/>
      <c r="E25" s="123"/>
      <c r="F25" s="121" t="str">
        <f>+Инвойс!D33</f>
        <v>Дер. ящик</v>
      </c>
      <c r="G25" s="160" t="str">
        <f>+Инвойс!C33</f>
        <v>0809400501</v>
      </c>
      <c r="H25" s="161"/>
      <c r="I25" s="122" t="s">
        <v>103</v>
      </c>
      <c r="J25" s="120">
        <f>+Инвойс!G33</f>
        <v>2205</v>
      </c>
    </row>
    <row r="26" spans="2:10" ht="12" customHeight="1" x14ac:dyDescent="0.25">
      <c r="B26" s="87"/>
      <c r="E26" s="123"/>
      <c r="F26" s="118">
        <f>+Инвойс!E34</f>
        <v>60</v>
      </c>
      <c r="G26" s="166" t="str">
        <f>+CMR!F34</f>
        <v>Лимоны свежие некалиброванный</v>
      </c>
      <c r="H26" s="166"/>
      <c r="I26" s="119"/>
      <c r="J26" s="120"/>
    </row>
    <row r="27" spans="2:10" ht="14.25" customHeight="1" x14ac:dyDescent="0.25">
      <c r="B27" s="87"/>
      <c r="E27" s="123"/>
      <c r="F27" s="121" t="str">
        <f>+Инвойс!D34</f>
        <v>Дер. ящик</v>
      </c>
      <c r="G27" s="160" t="str">
        <f>+Инвойс!C34</f>
        <v>0805501009</v>
      </c>
      <c r="H27" s="161"/>
      <c r="I27" s="122" t="s">
        <v>103</v>
      </c>
      <c r="J27" s="120">
        <f>+Инвойс!G34</f>
        <v>245</v>
      </c>
    </row>
    <row r="28" spans="2:10" ht="12.75" customHeight="1" x14ac:dyDescent="0.25">
      <c r="B28" s="87"/>
      <c r="E28" s="123"/>
      <c r="F28" s="118">
        <f>+Инвойс!E35</f>
        <v>45</v>
      </c>
      <c r="G28" s="166" t="str">
        <f>+CMR!F35</f>
        <v>Перец горький свежий</v>
      </c>
      <c r="H28" s="166"/>
      <c r="I28" s="119"/>
      <c r="J28" s="120"/>
    </row>
    <row r="29" spans="2:10" ht="12.75" customHeight="1" x14ac:dyDescent="0.25">
      <c r="B29" s="87"/>
      <c r="E29" s="123"/>
      <c r="F29" s="121" t="str">
        <f>+Инвойс!D35</f>
        <v>Дер. ящик</v>
      </c>
      <c r="G29" s="160" t="str">
        <f>+Инвойс!C35</f>
        <v>0709609900</v>
      </c>
      <c r="H29" s="161"/>
      <c r="I29" s="122" t="s">
        <v>103</v>
      </c>
      <c r="J29" s="120">
        <f>+Инвойс!G35</f>
        <v>413</v>
      </c>
    </row>
    <row r="30" spans="2:10" ht="12.75" customHeight="1" x14ac:dyDescent="0.25">
      <c r="B30" s="87"/>
      <c r="E30" s="123"/>
      <c r="F30" s="118">
        <f>+Инвойс!E36</f>
        <v>110</v>
      </c>
      <c r="G30" s="166" t="str">
        <f>+CMR!F36</f>
        <v>Нектарины свежие</v>
      </c>
      <c r="H30" s="166"/>
      <c r="I30" s="119"/>
      <c r="J30" s="120"/>
    </row>
    <row r="31" spans="2:10" ht="13.5" customHeight="1" x14ac:dyDescent="0.25">
      <c r="B31" s="87"/>
      <c r="E31" s="123"/>
      <c r="F31" s="121" t="str">
        <f>+Инвойс!D36</f>
        <v>Дер. ящик</v>
      </c>
      <c r="G31" s="160" t="str">
        <f>+Инвойс!C36</f>
        <v>0809301001</v>
      </c>
      <c r="H31" s="161"/>
      <c r="I31" s="122" t="s">
        <v>103</v>
      </c>
      <c r="J31" s="120">
        <f>+Инвойс!G36</f>
        <v>880</v>
      </c>
    </row>
    <row r="32" spans="2:10" ht="13.5" customHeight="1" x14ac:dyDescent="0.25">
      <c r="B32" s="87"/>
      <c r="E32" s="123"/>
      <c r="F32" s="118">
        <f>+Инвойс!E37</f>
        <v>1673</v>
      </c>
      <c r="G32" s="166" t="str">
        <f>+CMR!F37</f>
        <v>Виноград свежий столовых сортов</v>
      </c>
      <c r="H32" s="166"/>
      <c r="I32" s="119"/>
      <c r="J32" s="120"/>
    </row>
    <row r="33" spans="2:10" ht="13.5" customHeight="1" x14ac:dyDescent="0.25">
      <c r="B33" s="87"/>
      <c r="E33" s="123"/>
      <c r="F33" s="121" t="str">
        <f>+Инвойс!D37</f>
        <v>Дер. ящик</v>
      </c>
      <c r="G33" s="160" t="str">
        <f>+Инвойс!C37</f>
        <v>0806101001</v>
      </c>
      <c r="H33" s="161"/>
      <c r="I33" s="122" t="s">
        <v>103</v>
      </c>
      <c r="J33" s="120">
        <f>+Инвойс!G37</f>
        <v>16147</v>
      </c>
    </row>
    <row r="34" spans="2:10" ht="13.5" customHeight="1" x14ac:dyDescent="0.25">
      <c r="B34" s="87"/>
      <c r="E34" s="123"/>
      <c r="F34" s="118"/>
      <c r="G34" s="166"/>
      <c r="H34" s="166"/>
      <c r="I34" s="119"/>
      <c r="J34" s="120"/>
    </row>
    <row r="35" spans="2:10" ht="12.75" customHeight="1" x14ac:dyDescent="0.25">
      <c r="B35" s="87"/>
      <c r="E35" s="123"/>
      <c r="F35" s="121"/>
      <c r="G35" s="160"/>
      <c r="H35" s="161"/>
      <c r="I35" s="122"/>
      <c r="J35" s="120"/>
    </row>
    <row r="36" spans="2:10" x14ac:dyDescent="0.25">
      <c r="B36" s="87"/>
      <c r="E36" s="123"/>
      <c r="F36" s="118"/>
      <c r="G36" s="166"/>
      <c r="H36" s="166"/>
      <c r="I36" s="119"/>
      <c r="J36" s="120"/>
    </row>
    <row r="37" spans="2:10" ht="13.5" customHeight="1" x14ac:dyDescent="0.25">
      <c r="B37" s="87"/>
      <c r="E37" s="123"/>
      <c r="F37" s="121"/>
      <c r="G37" s="160"/>
      <c r="H37" s="161"/>
      <c r="I37" s="122"/>
      <c r="J37" s="120"/>
    </row>
    <row r="38" spans="2:10" x14ac:dyDescent="0.25">
      <c r="B38" s="87"/>
      <c r="E38" s="123"/>
      <c r="F38" s="118"/>
      <c r="G38" s="166"/>
      <c r="H38" s="166"/>
      <c r="I38" s="119"/>
      <c r="J38" s="120"/>
    </row>
    <row r="39" spans="2:10" ht="13.5" customHeight="1" x14ac:dyDescent="0.25">
      <c r="B39" s="87"/>
      <c r="E39" s="123"/>
      <c r="F39" s="121"/>
      <c r="G39" s="160"/>
      <c r="H39" s="161"/>
      <c r="I39" s="122"/>
      <c r="J39" s="120"/>
    </row>
    <row r="40" spans="2:10" ht="14.25" hidden="1" customHeight="1" x14ac:dyDescent="0.25">
      <c r="B40" s="87"/>
      <c r="E40" s="123"/>
      <c r="F40" s="118"/>
      <c r="G40" s="166"/>
      <c r="H40" s="166"/>
      <c r="I40" s="119"/>
      <c r="J40" s="120"/>
    </row>
    <row r="41" spans="2:10" ht="14.25" hidden="1" customHeight="1" x14ac:dyDescent="0.25">
      <c r="B41" s="87"/>
      <c r="E41" s="123"/>
      <c r="F41" s="121"/>
      <c r="G41" s="160"/>
      <c r="H41" s="161"/>
      <c r="I41" s="122"/>
      <c r="J41" s="120"/>
    </row>
    <row r="42" spans="2:10" hidden="1" x14ac:dyDescent="0.25">
      <c r="B42" s="87"/>
      <c r="E42" s="123"/>
      <c r="F42" s="118"/>
      <c r="G42" s="166"/>
      <c r="H42" s="166"/>
      <c r="I42" s="119"/>
      <c r="J42" s="120"/>
    </row>
    <row r="43" spans="2:10" x14ac:dyDescent="0.25">
      <c r="B43" s="87"/>
      <c r="E43" s="123"/>
      <c r="F43" s="121"/>
      <c r="G43" s="160"/>
      <c r="H43" s="161"/>
      <c r="I43" s="122"/>
      <c r="J43" s="120"/>
    </row>
    <row r="44" spans="2:10" ht="9" customHeight="1" x14ac:dyDescent="0.25">
      <c r="B44" s="87"/>
      <c r="E44" s="95"/>
      <c r="F44" s="92"/>
      <c r="G44" s="168"/>
      <c r="H44" s="168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9">
        <f>+F18+F20+F22+F24+F26+F28+F30+F32+F34+F36+F38+F40+F42</f>
        <v>2568</v>
      </c>
      <c r="E47" s="170"/>
    </row>
    <row r="48" spans="2:10" ht="17.25" customHeight="1" x14ac:dyDescent="0.25">
      <c r="B48" s="167" t="s">
        <v>105</v>
      </c>
      <c r="C48" s="167"/>
      <c r="D48" s="167"/>
      <c r="E48" s="167"/>
    </row>
    <row r="49" spans="2:5" ht="21.75" customHeight="1" x14ac:dyDescent="0.25">
      <c r="B49" s="167"/>
      <c r="C49" s="167"/>
      <c r="D49" s="167"/>
      <c r="E49" s="167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9"/>
  <sheetViews>
    <sheetView topLeftCell="A28" zoomScale="85" zoomScaleNormal="85" workbookViewId="0">
      <selection activeCell="A38" sqref="A38:XFD63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3" t="s">
        <v>176</v>
      </c>
      <c r="C1" s="173"/>
      <c r="D1" s="173"/>
      <c r="E1" s="173"/>
      <c r="F1" s="134" t="str">
        <f>+Инвойс!F1</f>
        <v xml:space="preserve"> 13.08.2025г.</v>
      </c>
      <c r="G1" s="134"/>
      <c r="H1" s="134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1" t="str">
        <f>+Инвойс!C2</f>
        <v>к контракту № EX0508 от 05.08.2025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">
      <c r="A5" s="136" t="str">
        <f>+Инвойс!A5</f>
        <v>ООО «MEGA EXIMPORT»</v>
      </c>
      <c r="B5" s="136"/>
      <c r="C5" s="136"/>
      <c r="D5" s="136"/>
      <c r="E5" s="136"/>
      <c r="F5" s="6"/>
      <c r="G5" s="138" t="str">
        <f>+Инвойс!G5</f>
        <v>ООО ТД «РЕСУРС»</v>
      </c>
      <c r="H5" s="138"/>
      <c r="I5" s="138"/>
      <c r="J5" s="138"/>
      <c r="K5" s="138"/>
      <c r="L5" s="138"/>
      <c r="M5" s="138"/>
    </row>
    <row r="6" spans="1:15" ht="15" x14ac:dyDescent="0.25">
      <c r="A6" s="172" t="str">
        <f>+Инвойс!A6</f>
        <v xml:space="preserve">Республика Узбекистан, Ферганская область, </v>
      </c>
      <c r="B6" s="172"/>
      <c r="C6" s="172"/>
      <c r="D6" s="172"/>
      <c r="E6" s="172"/>
      <c r="F6" s="7"/>
      <c r="G6" s="171" t="str">
        <f>+Инвойс!G6</f>
        <v xml:space="preserve">125362, Город Москва, вн.тер.г. муниципальный округ </v>
      </c>
      <c r="H6" s="171"/>
      <c r="I6" s="171"/>
      <c r="J6" s="171"/>
      <c r="K6" s="171"/>
      <c r="L6" s="171"/>
      <c r="M6" s="171"/>
      <c r="N6" s="4"/>
    </row>
    <row r="7" spans="1:15" ht="15" x14ac:dyDescent="0.25">
      <c r="A7" s="172" t="str">
        <f>+Инвойс!A7</f>
        <v>Кува Район, Гулобод МФЙ, Сарбоз улитца</v>
      </c>
      <c r="B7" s="172"/>
      <c r="C7" s="172"/>
      <c r="D7" s="172"/>
      <c r="E7" s="172"/>
      <c r="F7" s="63"/>
      <c r="G7" s="171" t="str">
        <f>+Инвойс!G7</f>
        <v xml:space="preserve">Южное Тушино, ул Свободы, д. 35, стр. 43, помещ. 92/3 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2" t="str">
        <f>+Инвойс!A8</f>
        <v xml:space="preserve">Р/с N 20208840607249418001   (USD)    </v>
      </c>
      <c r="B8" s="172"/>
      <c r="C8" s="172"/>
      <c r="D8" s="172"/>
      <c r="E8" s="172"/>
      <c r="F8" s="63"/>
      <c r="G8" s="171" t="str">
        <f>+Инвойс!G8</f>
        <v>Банк: Азия-Инвест Банк (АО) ИНН: 9705116064 КПП: 770501001</v>
      </c>
      <c r="H8" s="171"/>
      <c r="I8" s="171"/>
      <c r="J8" s="171"/>
      <c r="K8" s="171"/>
      <c r="L8" s="171"/>
      <c r="M8" s="171"/>
    </row>
    <row r="9" spans="1:15" ht="15" x14ac:dyDescent="0.25">
      <c r="A9" s="172" t="str">
        <f>+Инвойс!A9</f>
        <v xml:space="preserve">в АКБ «KAPITAL BANK» МФО: 01088 Swift: KACHUZ22  </v>
      </c>
      <c r="B9" s="172"/>
      <c r="C9" s="172"/>
      <c r="D9" s="172"/>
      <c r="E9" s="172"/>
      <c r="F9" s="7"/>
      <c r="G9" s="171" t="str">
        <f>+Инвойс!G9</f>
        <v xml:space="preserve">Р/Счет: 40702840100000019384 ; БИК:  044525234 </v>
      </c>
      <c r="H9" s="171"/>
      <c r="I9" s="171"/>
      <c r="J9" s="171"/>
      <c r="K9" s="171"/>
      <c r="L9" s="171"/>
      <c r="M9" s="171"/>
      <c r="O9" s="7"/>
    </row>
    <row r="10" spans="1:15" ht="15" x14ac:dyDescent="0.25">
      <c r="A10" s="172" t="str">
        <f>+Инвойс!A10</f>
        <v xml:space="preserve"> ИНН: 312169146</v>
      </c>
      <c r="B10" s="172"/>
      <c r="C10" s="172"/>
      <c r="D10" s="172"/>
      <c r="E10" s="172"/>
      <c r="F10" s="7"/>
      <c r="G10" s="171" t="str">
        <f>+Инвойс!G10</f>
        <v xml:space="preserve">Корр.счет: 30101810445250000234  </v>
      </c>
      <c r="H10" s="171"/>
      <c r="I10" s="171"/>
      <c r="J10" s="171"/>
      <c r="K10" s="171"/>
      <c r="L10" s="171"/>
      <c r="M10" s="171"/>
    </row>
    <row r="11" spans="1:15" ht="15" x14ac:dyDescent="0.25">
      <c r="A11" s="172"/>
      <c r="B11" s="172"/>
      <c r="C11" s="172"/>
      <c r="D11" s="172"/>
      <c r="E11" s="172"/>
      <c r="F11" s="7"/>
      <c r="G11" s="171" t="str">
        <f>+Инвойс!G11</f>
        <v>(SWIFT code: ASIJRUMM)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25">
      <c r="A13" s="137" t="s">
        <v>31</v>
      </c>
      <c r="B13" s="137"/>
      <c r="C13" s="137"/>
      <c r="D13" s="137"/>
      <c r="E13" s="137"/>
      <c r="G13" s="137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">
      <c r="A14" s="136" t="str">
        <f>+Инвойс!A14</f>
        <v>ООО «MEGA EXIMPORT»</v>
      </c>
      <c r="B14" s="136"/>
      <c r="C14" s="136"/>
      <c r="D14" s="136"/>
      <c r="E14" s="136"/>
      <c r="F14" s="6"/>
      <c r="G14" s="138" t="str">
        <f>+Инвойс!G14</f>
        <v>OOO «Западные ворота»</v>
      </c>
      <c r="H14" s="138"/>
      <c r="I14" s="138"/>
      <c r="J14" s="138"/>
      <c r="K14" s="138"/>
      <c r="L14" s="138"/>
      <c r="M14" s="138"/>
    </row>
    <row r="15" spans="1:15" ht="13.9" customHeight="1" x14ac:dyDescent="0.25">
      <c r="A15" s="172" t="str">
        <f>+Инвойс!A15</f>
        <v xml:space="preserve">Республика Узбекистан, Ферганская область, </v>
      </c>
      <c r="B15" s="172"/>
      <c r="C15" s="172"/>
      <c r="D15" s="172"/>
      <c r="E15" s="172"/>
      <c r="F15" s="7"/>
      <c r="G15" s="171" t="str">
        <f>+Инвойс!G15</f>
        <v>108811, г. Москва, вн.тер.г. муниципальный округ</v>
      </c>
      <c r="H15" s="171"/>
      <c r="I15" s="171"/>
      <c r="J15" s="171"/>
      <c r="K15" s="171"/>
      <c r="L15" s="171"/>
      <c r="M15" s="171"/>
    </row>
    <row r="16" spans="1:15" ht="15" x14ac:dyDescent="0.25">
      <c r="A16" s="172" t="str">
        <f>+Инвойс!A16</f>
        <v>Кува Район, Гулобод МФЙ, Сарбоз улитца</v>
      </c>
      <c r="B16" s="172"/>
      <c r="C16" s="172"/>
      <c r="D16" s="172"/>
      <c r="E16" s="172"/>
      <c r="F16" s="63"/>
      <c r="G16" s="171" t="str">
        <f>+Инвойс!G16</f>
        <v>Солнцево, Киевское шоссе, 23-й км, д.8, стр.1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2" t="str">
        <f>+Инвойс!A17</f>
        <v xml:space="preserve">Р/с N 20208840607249418001   (USD)    </v>
      </c>
      <c r="B17" s="172"/>
      <c r="C17" s="172"/>
      <c r="D17" s="172"/>
      <c r="E17" s="172"/>
      <c r="F17" s="63"/>
      <c r="G17" s="171" t="str">
        <f>+Инвойс!G17</f>
        <v xml:space="preserve">р/с USD 40702810501400013450 </v>
      </c>
      <c r="H17" s="171"/>
      <c r="I17" s="171"/>
      <c r="J17" s="171"/>
      <c r="K17" s="171"/>
      <c r="L17" s="171"/>
      <c r="M17" s="171"/>
    </row>
    <row r="18" spans="1:17" ht="15" x14ac:dyDescent="0.25">
      <c r="A18" s="172" t="str">
        <f>+Инвойс!A18</f>
        <v xml:space="preserve">в АКБ «KAPITAL BANK» МФО: 01088 Swift: KACHUZ22  </v>
      </c>
      <c r="B18" s="172"/>
      <c r="C18" s="172"/>
      <c r="D18" s="172"/>
      <c r="E18" s="172"/>
      <c r="F18" s="7"/>
      <c r="G18" s="171" t="str">
        <f>+Инвойс!G18</f>
        <v>Банк: Филиал АО «АЛЬФА-БАНК»</v>
      </c>
      <c r="H18" s="171"/>
      <c r="I18" s="171"/>
      <c r="J18" s="171"/>
      <c r="K18" s="171"/>
      <c r="L18" s="171"/>
      <c r="M18" s="171"/>
    </row>
    <row r="19" spans="1:17" ht="15" x14ac:dyDescent="0.25">
      <c r="A19" s="172" t="str">
        <f>+Инвойс!A19</f>
        <v xml:space="preserve"> ИНН: 312169146</v>
      </c>
      <c r="B19" s="172"/>
      <c r="C19" s="172"/>
      <c r="D19" s="172"/>
      <c r="E19" s="172"/>
      <c r="F19" s="7"/>
      <c r="G19" s="171" t="str">
        <f>+Инвойс!G19</f>
        <v>к/с:  30101810200000000593</v>
      </c>
      <c r="H19" s="171"/>
      <c r="I19" s="171"/>
      <c r="J19" s="171"/>
      <c r="K19" s="171"/>
      <c r="L19" s="171"/>
      <c r="M19" s="171"/>
    </row>
    <row r="20" spans="1:17" ht="15" x14ac:dyDescent="0.25">
      <c r="A20" s="172"/>
      <c r="B20" s="172"/>
      <c r="C20" s="172"/>
      <c r="D20" s="172"/>
      <c r="E20" s="172"/>
      <c r="F20" s="7"/>
      <c r="G20" s="171" t="str">
        <f>+Инвойс!G20</f>
        <v>ИНН/КПП 5004025693/775101001 ОГРН 1135004001802</v>
      </c>
      <c r="H20" s="171"/>
      <c r="I20" s="171"/>
      <c r="J20" s="171"/>
      <c r="K20" s="171"/>
      <c r="L20" s="171"/>
      <c r="M20" s="171"/>
    </row>
    <row r="21" spans="1:17" ht="15" x14ac:dyDescent="0.25">
      <c r="A21" s="172"/>
      <c r="B21" s="172"/>
      <c r="C21" s="172"/>
      <c r="D21" s="172"/>
      <c r="E21" s="172"/>
      <c r="G21" s="7"/>
      <c r="H21" s="23"/>
      <c r="I21" s="23"/>
      <c r="J21" s="23"/>
    </row>
    <row r="22" spans="1:17" ht="43.5" customHeight="1" x14ac:dyDescent="0.25">
      <c r="A22" s="1" t="s">
        <v>146</v>
      </c>
      <c r="C22" s="65"/>
      <c r="F22" s="1"/>
    </row>
    <row r="23" spans="1:17" ht="26.25" hidden="1" customHeight="1" x14ac:dyDescent="0.2">
      <c r="A23" s="69" t="s">
        <v>87</v>
      </c>
      <c r="B23" s="68"/>
      <c r="C23" s="153" t="s">
        <v>123</v>
      </c>
      <c r="D23" s="153"/>
      <c r="E23" s="153"/>
      <c r="F23" s="153"/>
      <c r="G23" s="153"/>
      <c r="H23" s="153"/>
      <c r="I23" s="153"/>
      <c r="J23" s="153"/>
      <c r="K23" s="153"/>
      <c r="L23" s="153"/>
      <c r="M23" s="153"/>
    </row>
    <row r="24" spans="1:17" ht="15.75" x14ac:dyDescent="0.25">
      <c r="A24" s="20" t="s">
        <v>22</v>
      </c>
      <c r="C24" s="18" t="str">
        <f>+Инвойс!C24</f>
        <v>DAP - с Амандык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4" t="str">
        <f>+Инвойс!E26</f>
        <v>40055PBA/404626BA</v>
      </c>
      <c r="F26" s="155"/>
      <c r="G26" s="155"/>
      <c r="J26" s="21"/>
    </row>
    <row r="27" spans="1:17" ht="34.5" customHeight="1" x14ac:dyDescent="0.25">
      <c r="A27" s="67" t="s">
        <v>147</v>
      </c>
      <c r="C27" s="18"/>
      <c r="E27" s="22"/>
      <c r="F27" s="22"/>
      <c r="G27" s="22"/>
      <c r="J27" s="21"/>
    </row>
    <row r="28" spans="1:17" ht="24" customHeight="1" x14ac:dyDescent="0.2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1" t="s">
        <v>9</v>
      </c>
      <c r="K28" s="151" t="s">
        <v>10</v>
      </c>
      <c r="L28" s="152"/>
      <c r="M28" s="147" t="s">
        <v>11</v>
      </c>
    </row>
    <row r="29" spans="1:17" ht="32.25" x14ac:dyDescent="0.2">
      <c r="A29" s="148"/>
      <c r="B29" s="148"/>
      <c r="C29" s="148"/>
      <c r="D29" s="148"/>
      <c r="E29" s="148"/>
      <c r="F29" s="148"/>
      <c r="G29" s="111" t="s">
        <v>12</v>
      </c>
      <c r="H29" s="111" t="s">
        <v>13</v>
      </c>
      <c r="I29" s="148"/>
      <c r="J29" s="112" t="s">
        <v>14</v>
      </c>
      <c r="K29" s="10" t="s">
        <v>15</v>
      </c>
      <c r="L29" s="10" t="s">
        <v>16</v>
      </c>
      <c r="M29" s="148"/>
    </row>
    <row r="30" spans="1:17" ht="15" x14ac:dyDescent="0.2">
      <c r="A30" s="129">
        <f>+Инвойс!A30</f>
        <v>1</v>
      </c>
      <c r="B30" s="101" t="str">
        <f>+Инвойс!B30</f>
        <v>Инжир свежий</v>
      </c>
      <c r="C30" s="107" t="str">
        <f>+Инвойс!C30</f>
        <v>0804201000</v>
      </c>
      <c r="D30" s="115" t="str">
        <f>+Инвойс!D30</f>
        <v>Дер. ящик</v>
      </c>
      <c r="E30" s="101">
        <f>+Инвойс!E30</f>
        <v>128</v>
      </c>
      <c r="F30" s="116" t="str">
        <f>+Инвойс!F30</f>
        <v>кг</v>
      </c>
      <c r="G30" s="106">
        <f>+Инвойс!G30</f>
        <v>415</v>
      </c>
      <c r="H30" s="106">
        <f>+Инвойс!H30</f>
        <v>260</v>
      </c>
      <c r="I30" s="108">
        <f>+Инвойс!I30</f>
        <v>1.25</v>
      </c>
      <c r="J30" s="13">
        <f>+Инвойс!J30</f>
        <v>325</v>
      </c>
      <c r="K30" s="12">
        <v>0</v>
      </c>
      <c r="L30" s="12">
        <v>0</v>
      </c>
      <c r="M30" s="13">
        <f>+Инвойс!M30</f>
        <v>325</v>
      </c>
      <c r="O30" s="100"/>
      <c r="Q30" s="100"/>
    </row>
    <row r="31" spans="1:17" ht="15" x14ac:dyDescent="0.2">
      <c r="A31" s="129">
        <f>+Инвойс!A31</f>
        <v>2</v>
      </c>
      <c r="B31" s="101" t="str">
        <f>+Инвойс!B31</f>
        <v>Груши свежие</v>
      </c>
      <c r="C31" s="107" t="str">
        <f>+Инвойс!C31</f>
        <v>0808309001</v>
      </c>
      <c r="D31" s="115" t="str">
        <f>+Инвойс!D31</f>
        <v>Пласт. ящик</v>
      </c>
      <c r="E31" s="101">
        <f>+Инвойс!E31</f>
        <v>141</v>
      </c>
      <c r="F31" s="116" t="str">
        <f>+Инвойс!F31</f>
        <v>кг</v>
      </c>
      <c r="G31" s="106">
        <f>+Инвойс!G31</f>
        <v>505</v>
      </c>
      <c r="H31" s="106">
        <f>+Инвойс!H31</f>
        <v>405</v>
      </c>
      <c r="I31" s="108">
        <f>+Инвойс!I31</f>
        <v>1.4</v>
      </c>
      <c r="J31" s="13">
        <f>+Инвойс!J31</f>
        <v>567</v>
      </c>
      <c r="K31" s="12">
        <v>0</v>
      </c>
      <c r="L31" s="12">
        <v>0</v>
      </c>
      <c r="M31" s="13">
        <f>+Инвойс!M31</f>
        <v>567</v>
      </c>
      <c r="O31" s="100"/>
      <c r="Q31" s="100"/>
    </row>
    <row r="32" spans="1:17" ht="15" x14ac:dyDescent="0.2">
      <c r="A32" s="129">
        <f>+Инвойс!A32</f>
        <v>3</v>
      </c>
      <c r="B32" s="101" t="str">
        <f>+Инвойс!B32</f>
        <v>Персики свежие</v>
      </c>
      <c r="C32" s="107" t="str">
        <f>+Инвойс!C32</f>
        <v>0809309001</v>
      </c>
      <c r="D32" s="115" t="str">
        <f>+Инвойс!D32</f>
        <v>Дер. ящик</v>
      </c>
      <c r="E32" s="101">
        <f>+Инвойс!E32</f>
        <v>201</v>
      </c>
      <c r="F32" s="116" t="str">
        <f>+Инвойс!F32</f>
        <v>кг</v>
      </c>
      <c r="G32" s="106">
        <f>+Инвойс!G32</f>
        <v>1175</v>
      </c>
      <c r="H32" s="106">
        <f>+Инвойс!H32</f>
        <v>935</v>
      </c>
      <c r="I32" s="108">
        <f>+Инвойс!I32</f>
        <v>1</v>
      </c>
      <c r="J32" s="13">
        <f>+Инвойс!J32</f>
        <v>935</v>
      </c>
      <c r="K32" s="12">
        <v>0</v>
      </c>
      <c r="L32" s="12">
        <v>0</v>
      </c>
      <c r="M32" s="13">
        <f>+Инвойс!M32</f>
        <v>935</v>
      </c>
      <c r="O32" s="100"/>
      <c r="Q32" s="100"/>
    </row>
    <row r="33" spans="1:17" ht="15" x14ac:dyDescent="0.2">
      <c r="A33" s="129">
        <f>+Инвойс!A33</f>
        <v>4</v>
      </c>
      <c r="B33" s="101" t="str">
        <f>+Инвойс!B33</f>
        <v>Сливы свежие</v>
      </c>
      <c r="C33" s="107" t="str">
        <f>+Инвойс!C33</f>
        <v>0809400501</v>
      </c>
      <c r="D33" s="115" t="str">
        <f>+Инвойс!D33</f>
        <v>Дер. ящик</v>
      </c>
      <c r="E33" s="101">
        <f>+Инвойс!E33</f>
        <v>210</v>
      </c>
      <c r="F33" s="116" t="str">
        <f>+Инвойс!F33</f>
        <v>кг</v>
      </c>
      <c r="G33" s="106">
        <f>+Инвойс!G33</f>
        <v>2205</v>
      </c>
      <c r="H33" s="106">
        <f>+Инвойс!H33</f>
        <v>1910</v>
      </c>
      <c r="I33" s="108">
        <f>+Инвойс!I33</f>
        <v>0.4</v>
      </c>
      <c r="J33" s="13">
        <f>+Инвойс!J33</f>
        <v>764</v>
      </c>
      <c r="K33" s="12">
        <v>0</v>
      </c>
      <c r="L33" s="12">
        <v>0</v>
      </c>
      <c r="M33" s="13">
        <f>+Инвойс!M33</f>
        <v>764</v>
      </c>
      <c r="O33" s="100"/>
      <c r="Q33" s="100"/>
    </row>
    <row r="34" spans="1:17" ht="15" x14ac:dyDescent="0.2">
      <c r="A34" s="129">
        <f>+Инвойс!A34</f>
        <v>5</v>
      </c>
      <c r="B34" s="101" t="str">
        <f>+Инвойс!B34</f>
        <v>Лимоны свежие некалиброванный</v>
      </c>
      <c r="C34" s="107" t="str">
        <f>+Инвойс!C34</f>
        <v>0805501009</v>
      </c>
      <c r="D34" s="115" t="str">
        <f>+Инвойс!D34</f>
        <v>Дер. ящик</v>
      </c>
      <c r="E34" s="101">
        <f>+Инвойс!E34</f>
        <v>60</v>
      </c>
      <c r="F34" s="116" t="str">
        <f>+Инвойс!F34</f>
        <v>кг</v>
      </c>
      <c r="G34" s="106">
        <f>+Инвойс!G34</f>
        <v>245</v>
      </c>
      <c r="H34" s="106">
        <f>+Инвойс!H34</f>
        <v>160</v>
      </c>
      <c r="I34" s="108">
        <f>+Инвойс!I34</f>
        <v>3</v>
      </c>
      <c r="J34" s="13">
        <f>+Инвойс!J34</f>
        <v>480</v>
      </c>
      <c r="K34" s="12">
        <v>0</v>
      </c>
      <c r="L34" s="12">
        <v>0</v>
      </c>
      <c r="M34" s="13">
        <f>+Инвойс!M34</f>
        <v>480</v>
      </c>
      <c r="O34" s="100"/>
      <c r="Q34" s="100"/>
    </row>
    <row r="35" spans="1:17" ht="15" x14ac:dyDescent="0.2">
      <c r="A35" s="129">
        <f>+Инвойс!A35</f>
        <v>6</v>
      </c>
      <c r="B35" s="101" t="str">
        <f>+Инвойс!B35</f>
        <v>Перец горький свежий</v>
      </c>
      <c r="C35" s="107" t="str">
        <f>+Инвойс!C35</f>
        <v>0709609900</v>
      </c>
      <c r="D35" s="115" t="str">
        <f>+Инвойс!D35</f>
        <v>Дер. ящик</v>
      </c>
      <c r="E35" s="101">
        <f>+Инвойс!E35</f>
        <v>45</v>
      </c>
      <c r="F35" s="116" t="str">
        <f>+Инвойс!F35</f>
        <v>кг</v>
      </c>
      <c r="G35" s="106">
        <f>+Инвойс!G35</f>
        <v>413</v>
      </c>
      <c r="H35" s="106">
        <f>+Инвойс!H35</f>
        <v>350</v>
      </c>
      <c r="I35" s="108">
        <f>+Инвойс!I35</f>
        <v>1</v>
      </c>
      <c r="J35" s="13">
        <f>+Инвойс!J35</f>
        <v>350</v>
      </c>
      <c r="K35" s="12">
        <v>0</v>
      </c>
      <c r="L35" s="12">
        <v>0</v>
      </c>
      <c r="M35" s="13">
        <f>+Инвойс!M35</f>
        <v>350</v>
      </c>
      <c r="O35" s="100"/>
      <c r="Q35" s="100"/>
    </row>
    <row r="36" spans="1:17" ht="15" x14ac:dyDescent="0.2">
      <c r="A36" s="129">
        <f>+Инвойс!A36</f>
        <v>7</v>
      </c>
      <c r="B36" s="101" t="str">
        <f>+Инвойс!B36</f>
        <v>Нектарины свежие</v>
      </c>
      <c r="C36" s="107" t="str">
        <f>+Инвойс!C36</f>
        <v>0809301001</v>
      </c>
      <c r="D36" s="115" t="str">
        <f>+Инвойс!D36</f>
        <v>Дер. ящик</v>
      </c>
      <c r="E36" s="101">
        <f>+Инвойс!E36</f>
        <v>110</v>
      </c>
      <c r="F36" s="116" t="str">
        <f>+Инвойс!F36</f>
        <v>кг</v>
      </c>
      <c r="G36" s="106">
        <f>+Инвойс!G36</f>
        <v>880</v>
      </c>
      <c r="H36" s="106">
        <f>+Инвойс!H36</f>
        <v>725</v>
      </c>
      <c r="I36" s="108">
        <f>+Инвойс!I36</f>
        <v>0.9</v>
      </c>
      <c r="J36" s="13">
        <f>+Инвойс!J36</f>
        <v>652.5</v>
      </c>
      <c r="K36" s="12">
        <v>0</v>
      </c>
      <c r="L36" s="12">
        <v>0</v>
      </c>
      <c r="M36" s="13">
        <f>+Инвойс!M36</f>
        <v>652.5</v>
      </c>
      <c r="O36" s="100"/>
      <c r="Q36" s="100"/>
    </row>
    <row r="37" spans="1:17" ht="15" x14ac:dyDescent="0.2">
      <c r="A37" s="129">
        <f>+Инвойс!A37</f>
        <v>8</v>
      </c>
      <c r="B37" s="101" t="str">
        <f>+Инвойс!B37</f>
        <v>Виноград свежий столовых сортов</v>
      </c>
      <c r="C37" s="107" t="str">
        <f>+Инвойс!C37</f>
        <v>0806101001</v>
      </c>
      <c r="D37" s="115" t="str">
        <f>+Инвойс!D37</f>
        <v>Дер. ящик</v>
      </c>
      <c r="E37" s="101">
        <f>+Инвойс!E37</f>
        <v>1673</v>
      </c>
      <c r="F37" s="116" t="str">
        <f>+Инвойс!F37</f>
        <v>кг</v>
      </c>
      <c r="G37" s="106">
        <f>+Инвойс!G37</f>
        <v>16147</v>
      </c>
      <c r="H37" s="106">
        <f>+Инвойс!H37</f>
        <v>13805</v>
      </c>
      <c r="I37" s="108">
        <f>+Инвойс!I37</f>
        <v>1</v>
      </c>
      <c r="J37" s="13">
        <f>+Инвойс!J37</f>
        <v>13805</v>
      </c>
      <c r="K37" s="12">
        <v>0</v>
      </c>
      <c r="L37" s="12">
        <v>0</v>
      </c>
      <c r="M37" s="13">
        <f>+Инвойс!M37</f>
        <v>13805</v>
      </c>
      <c r="O37" s="100"/>
      <c r="Q37" s="100"/>
    </row>
    <row r="38" spans="1:17" ht="14.25" x14ac:dyDescent="0.2">
      <c r="A38" s="149" t="s">
        <v>0</v>
      </c>
      <c r="B38" s="150"/>
      <c r="C38" s="14"/>
      <c r="D38" s="15"/>
      <c r="E38" s="64">
        <f>SUM(E30:E37)</f>
        <v>2568</v>
      </c>
      <c r="F38" s="15"/>
      <c r="G38" s="64">
        <f>SUM(G30:G37)</f>
        <v>21985</v>
      </c>
      <c r="H38" s="64">
        <f>SUM(H30:H37)</f>
        <v>18550</v>
      </c>
      <c r="I38" s="102"/>
      <c r="J38" s="17">
        <f>SUM(J30:J37)</f>
        <v>17878.5</v>
      </c>
      <c r="K38" s="16"/>
      <c r="L38" s="16"/>
      <c r="M38" s="17">
        <f>SUM(M30:M37)</f>
        <v>17878.5</v>
      </c>
      <c r="P38" s="66"/>
    </row>
    <row r="39" spans="1:17" ht="13.5" x14ac:dyDescent="0.25">
      <c r="A39" s="2" t="s">
        <v>17</v>
      </c>
      <c r="B39" s="3"/>
      <c r="C39" s="11"/>
      <c r="D39" s="11"/>
      <c r="E39" s="145" t="str">
        <f>Лист1!B3</f>
        <v>Семнадцать тысяч восемьсот семьдесят восемь долларов США, 50 центов.</v>
      </c>
      <c r="F39" s="146"/>
      <c r="G39" s="146"/>
      <c r="H39" s="146"/>
      <c r="I39" s="146"/>
      <c r="J39" s="146"/>
      <c r="K39" s="146"/>
      <c r="L39" s="146"/>
      <c r="M39" s="146"/>
    </row>
    <row r="40" spans="1:17" ht="20.25" customHeight="1" x14ac:dyDescent="0.2">
      <c r="A40" s="142"/>
      <c r="B40" s="142"/>
      <c r="C40" s="142"/>
      <c r="D40" s="142"/>
      <c r="E40" s="142"/>
      <c r="F40" s="142"/>
      <c r="G40" s="142"/>
      <c r="H40" s="142"/>
      <c r="I40" s="142"/>
      <c r="J40" s="142"/>
      <c r="K40" s="142"/>
      <c r="L40" s="142"/>
      <c r="M40" s="142"/>
    </row>
    <row r="41" spans="1:17" ht="25.5" customHeight="1" x14ac:dyDescent="0.2">
      <c r="A41" s="142"/>
      <c r="B41" s="142"/>
      <c r="C41" s="142"/>
      <c r="D41" s="142"/>
      <c r="E41" s="142"/>
      <c r="F41" s="142"/>
      <c r="G41" s="142"/>
      <c r="H41" s="142"/>
      <c r="I41" s="142"/>
      <c r="J41" s="142"/>
      <c r="K41" s="142"/>
      <c r="L41" s="142"/>
      <c r="M41" s="142"/>
      <c r="N41" s="26"/>
    </row>
    <row r="43" spans="1:17" ht="15.75" x14ac:dyDescent="0.25">
      <c r="A43" s="7" t="s">
        <v>171</v>
      </c>
      <c r="B43" s="7"/>
      <c r="D43" s="25" t="str">
        <f>+Инвойс!D43</f>
        <v>Эргашев О.Р</v>
      </c>
      <c r="E43" s="24"/>
      <c r="G43" s="131" t="s">
        <v>160</v>
      </c>
      <c r="H43" t="str">
        <f>Инвойс!G5</f>
        <v>ООО ТД «РЕСУРС»</v>
      </c>
      <c r="K43" s="132" t="s">
        <v>161</v>
      </c>
    </row>
    <row r="44" spans="1:17" ht="15" x14ac:dyDescent="0.25">
      <c r="A44" s="7"/>
      <c r="B44" s="9"/>
    </row>
    <row r="45" spans="1:17" ht="15" x14ac:dyDescent="0.25">
      <c r="A45" s="7"/>
      <c r="B45" s="9"/>
    </row>
    <row r="46" spans="1:17" ht="15" x14ac:dyDescent="0.25">
      <c r="A46" s="7"/>
      <c r="B46" s="9"/>
    </row>
    <row r="47" spans="1:17" ht="15" x14ac:dyDescent="0.25">
      <c r="A47" s="7"/>
      <c r="B47" s="9"/>
    </row>
    <row r="48" spans="1:17" ht="15" x14ac:dyDescent="0.25">
      <c r="A48" s="8"/>
      <c r="B48" s="9"/>
    </row>
    <row r="49" spans="1:1" x14ac:dyDescent="0.2">
      <c r="A49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40:M40"/>
    <mergeCell ref="A41:M41"/>
    <mergeCell ref="G28:H28"/>
    <mergeCell ref="I28:I29"/>
    <mergeCell ref="K28:L28"/>
    <mergeCell ref="M28:M29"/>
    <mergeCell ref="A38:B38"/>
    <mergeCell ref="E39:M39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3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9"/>
  <sheetViews>
    <sheetView zoomScale="85" zoomScaleNormal="85" workbookViewId="0">
      <selection activeCell="A7" sqref="A7"/>
    </sheetView>
  </sheetViews>
  <sheetFormatPr defaultRowHeight="12.75" x14ac:dyDescent="0.2"/>
  <cols>
    <col min="1" max="1" width="48.7109375" bestFit="1" customWidth="1"/>
  </cols>
  <sheetData>
    <row r="1" spans="1:1" ht="38.25" x14ac:dyDescent="0.2">
      <c r="A1" s="128" t="s">
        <v>124</v>
      </c>
    </row>
    <row r="3" spans="1:1" ht="51" x14ac:dyDescent="0.2">
      <c r="A3" s="133" t="s">
        <v>152</v>
      </c>
    </row>
    <row r="5" spans="1:1" ht="38.25" x14ac:dyDescent="0.2">
      <c r="A5" s="128" t="s">
        <v>125</v>
      </c>
    </row>
    <row r="7" spans="1:1" ht="51" x14ac:dyDescent="0.2">
      <c r="A7" s="128" t="s">
        <v>126</v>
      </c>
    </row>
    <row r="9" spans="1:1" ht="51" x14ac:dyDescent="0.2">
      <c r="A9" s="128" t="s">
        <v>127</v>
      </c>
    </row>
    <row r="10" spans="1:1" x14ac:dyDescent="0.2">
      <c r="A10" s="128"/>
    </row>
    <row r="11" spans="1:1" ht="51" x14ac:dyDescent="0.2">
      <c r="A11" s="128" t="s">
        <v>128</v>
      </c>
    </row>
    <row r="13" spans="1:1" ht="51" x14ac:dyDescent="0.2">
      <c r="A13" s="128" t="s">
        <v>129</v>
      </c>
    </row>
    <row r="15" spans="1:1" ht="38.25" x14ac:dyDescent="0.2">
      <c r="A15" s="128" t="s">
        <v>130</v>
      </c>
    </row>
    <row r="17" spans="1:1" ht="38.25" x14ac:dyDescent="0.2">
      <c r="A17" s="128" t="s">
        <v>131</v>
      </c>
    </row>
    <row r="19" spans="1:1" ht="38.25" x14ac:dyDescent="0.2">
      <c r="A19" s="130" t="s">
        <v>145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75" x14ac:dyDescent="0.25">
      <c r="E2" s="27">
        <f>Инвойс!M38</f>
        <v>17878.5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Семнадцать тысяч восемьсот семьдесят восемь долларов США, 50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45882</v>
      </c>
      <c r="O3" s="177"/>
      <c r="P3">
        <f ca="1">DAY(N3)</f>
        <v>13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Семнадцать тысяч восемьсот семьдесят восемь долларов США, 50 центов. (в т.ч. НДС - 357,79)</v>
      </c>
      <c r="H4" s="32"/>
      <c r="I4" s="32"/>
      <c r="J4" s="32"/>
      <c r="K4" s="178" t="str">
        <f ca="1">CONCATENATE(" «  ",P3,"  »  ",Q3,"  ",R3," г.")</f>
        <v xml:space="preserve"> «  13  »  августа  2025 г.</v>
      </c>
      <c r="L4" s="178"/>
      <c r="M4" s="178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семнадцать тысяч восемьсот семьдесят восемь долларов США, 50 центов.</v>
      </c>
    </row>
    <row r="6" spans="1:19" s="36" customFormat="1" x14ac:dyDescent="0.2">
      <c r="A6" s="38" t="s">
        <v>37</v>
      </c>
      <c r="B6" s="36" t="str">
        <f>CONCATENATE(A8,A9,A10,A11,A12,B8,B9,C9)</f>
        <v>семнадцать тысяч восемьсот семьдесят восемь долларов США, 50 центов. (в т.ч. НДС - 357,79)</v>
      </c>
      <c r="C6"/>
      <c r="D6"/>
      <c r="E6"/>
      <c r="H6" s="39"/>
    </row>
    <row r="7" spans="1:19" x14ac:dyDescent="0.2">
      <c r="D7" s="33"/>
      <c r="H7" s="179" t="s">
        <v>38</v>
      </c>
      <c r="I7" s="179"/>
      <c r="J7" s="179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241</v>
      </c>
      <c r="G8" s="42"/>
      <c r="H8" s="179"/>
      <c r="I8" s="179"/>
      <c r="J8" s="179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с</v>
      </c>
      <c r="G9" s="42"/>
      <c r="H9" s="179"/>
      <c r="I9" s="179"/>
      <c r="J9" s="179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семнадцать тысяч </v>
      </c>
      <c r="D10" s="47"/>
      <c r="E10" s="48"/>
      <c r="F10" s="41" t="str">
        <f>PROPER(F9)</f>
        <v>С</v>
      </c>
      <c r="G10" s="42"/>
      <c r="H10" s="179"/>
      <c r="I10" s="179"/>
      <c r="J10" s="179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восемьсот семьдесят восемь долларов США, </v>
      </c>
      <c r="D11" s="47"/>
      <c r="E11" s="48"/>
      <c r="H11" s="179"/>
      <c r="I11" s="179"/>
      <c r="J11" s="179"/>
    </row>
    <row r="12" spans="1:19" s="43" customFormat="1" x14ac:dyDescent="0.2">
      <c r="A12" s="49" t="str">
        <f>CONCATENATE(IF(C31=0,"0",C31),IF(C32=0,"0",C32)," ",F33)</f>
        <v>50 центов.</v>
      </c>
      <c r="D12" s="47"/>
      <c r="E12" s="48"/>
      <c r="M12" s="50">
        <f ca="1">TODAY()</f>
        <v>45882</v>
      </c>
    </row>
    <row r="13" spans="1:19" s="43" customFormat="1" x14ac:dyDescent="0.2">
      <c r="A13" s="49"/>
      <c r="D13" s="51"/>
      <c r="E13" s="52">
        <f>TRUNC(E2)</f>
        <v>17878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1</v>
      </c>
      <c r="B24" s="47">
        <f>TRUNC(RIGHT(A24))</f>
        <v>1</v>
      </c>
      <c r="C24" s="51" t="str">
        <f>IF(B24=1,"",B24)</f>
        <v/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17</v>
      </c>
      <c r="B25" s="47">
        <f>TRUNC(RIGHT(A25))</f>
        <v>7</v>
      </c>
      <c r="C25" s="51">
        <f>IF(B24=1,B25+10,IF(B25=0,0,B25))</f>
        <v>17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семь </v>
      </c>
      <c r="F25" s="43" t="str">
        <f>IF(AND(C25&gt;15,C25&lt;20),IF(C25=16,D40,IF(C25=17,D41,IF(C25=18,D42,IF(C25=19,D43,)))),"")</f>
        <v xml:space="preserve">семнадцать </v>
      </c>
    </row>
    <row r="26" spans="1:9" s="43" customFormat="1" x14ac:dyDescent="0.2">
      <c r="A26" s="54"/>
      <c r="B26" s="47"/>
      <c r="C26" s="51"/>
      <c r="E26" s="57">
        <f>B23*100+B24*10+B25</f>
        <v>17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178</v>
      </c>
      <c r="B27" s="47">
        <f>TRUNC(RIGHT(A27))</f>
        <v>8</v>
      </c>
      <c r="C27" s="51">
        <f>B27</f>
        <v>8</v>
      </c>
      <c r="E27" s="55" t="str">
        <f>IF(B27=1,E43,IF(B27=2,G35,IF(B27=3,G36,IF(B27=4,G37,IF(B27=5,G38,IF(B27=6,G39,IF(B27=7,G40,IF(B27=8,G41,G42))))))))</f>
        <v xml:space="preserve">восемьсот </v>
      </c>
    </row>
    <row r="28" spans="1:9" s="43" customFormat="1" x14ac:dyDescent="0.2">
      <c r="A28" s="54">
        <f>TRUNC(A29/10)</f>
        <v>1787</v>
      </c>
      <c r="B28" s="58">
        <f>TRUNC(RIGHT(A28))</f>
        <v>7</v>
      </c>
      <c r="C28" s="51">
        <f>IF(B28=1,"",B28)</f>
        <v>7</v>
      </c>
      <c r="E28" s="56" t="str">
        <f>IF(OR(C28=0,B28=1),"",IF(C28=2,E35,IF(C28=3,E36,IF(C28=4,E37,IF(C28=5,E38,IF(C28=6,E39,IF(C28=7,E40,IF(C28=8,E41,E42))))))))</f>
        <v xml:space="preserve">семьдесят </v>
      </c>
      <c r="G28" s="47"/>
    </row>
    <row r="29" spans="1:9" s="43" customFormat="1" x14ac:dyDescent="0.2">
      <c r="A29" s="54">
        <f>E13</f>
        <v>17878</v>
      </c>
      <c r="B29" s="47">
        <f>TRUNC(RIGHT(A29))</f>
        <v>8</v>
      </c>
      <c r="C29" s="51">
        <f>IF(B28=1,B29+10,IF(B29=0,0,B29))</f>
        <v>8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восемь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878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5" t="s">
        <v>85</v>
      </c>
      <c r="B100" s="175"/>
      <c r="C100" s="175"/>
      <c r="D100" s="175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2025-08-13T05:29:02Z</cp:lastPrinted>
  <dcterms:created xsi:type="dcterms:W3CDTF">1996-10-14T23:33:28Z</dcterms:created>
  <dcterms:modified xsi:type="dcterms:W3CDTF">2025-08-13T05:29:06Z</dcterms:modified>
</cp:coreProperties>
</file>