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05ECB37E-46C5-4A57-B6F5-E7336C168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<sst xmlns="http://schemas.openxmlformats.org/spreadsheetml/2006/main" count="209" uniqueCount="163">
  <si>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</si>
  <si>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</si>
  <si>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</si>
  <si>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</si>
  <si>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</si>
  <si>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</si>
  <si>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</si>
  <si>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</si>
  <si>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</si>
  <si>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</si>
  <si>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</si>
  <si>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</si>
  <si>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</si>
  <si>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</si>
  <si>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</si>
  <si>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</si>
  <si>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</si>
  <si>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</si>
  <si>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</si>
  <si>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</si>
  <si>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</si>
  <si>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</si>
  <si>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</si>
  <si>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</si>
  <si>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</si>
  <si>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</si>
  <si>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</si>
  <si>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</si>
  <si>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</si>
  <si>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</si>
  <si>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</si>
  <si>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</si>
  <si>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</si>
  <si>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</si>
  <si>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</si>
  <si>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</si>
  <si>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</si>
  <si>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</si>
  <si>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</si>
  <si>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</si>
  <si>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</si>
  <si>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</si>
  <si>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</si>
  <si>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</si>
  <si>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</si>
  <si>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</si>
  <si>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</si>
  <si>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</si>
  <si>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</si>
  <si>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</si>
  <si>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</si>
  <si>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</si>
  <si>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</si>
  <si>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</si>
  <si>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</si>
  <si>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</si>
  <si>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</si>
  <si>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</si>
  <si>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</si>
  <si>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</si>
  <si>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</si>
  <si>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</si>
  <si>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</si>
  <si>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</si>
  <si>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</si>
  <si>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</si>
  <si>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</si>
  <si>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</si>
  <si>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</si>
  <si>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</si>
  <si>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</si>
  <si>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</si>
  <si>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</si>
  <si>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</si>
  <si>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</si>
  <si>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</si>
  <si>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</si>
  <si>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</si>
  <si>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</si>
  <si>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</si>
  <si>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</si>
  <si>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</si>
  <si>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</si>
  <si>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</si>
  <si>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</si>
  <si>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</si>
  <si>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</si>
  <si>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</si>
  <si>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</si>
  <si>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</si>
  <si>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</si>
  <si>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</si>
  <si>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</si>
  <si>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</si>
  <si>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</si>
  <si>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</si>
  <si>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</si>
  <si>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</si>
  <si>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</si>
  <si>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</si>
  <si>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</si>
  <si>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</si>
  <si>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</si>
  <si>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</si>
  <si>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</si>
  <si>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</si>
  <si>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</si>
  <si>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</si>
  <si>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</si>
  <si>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</si>
  <si>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</si>
  <si>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</si>
  <si>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</si>
  <si>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</si>
  <si>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</si>
  <si>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</si>
  <si>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</si>
  <si>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</si>
  <si>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</si>
  <si>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</si>
  <si>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</si>
  <si>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</si>
  <si>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</si>
  <si>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</si>
  <si>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</si>
  <si>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</si>
  <si>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</si>
  <si>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</si>
  <si>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</si>
  <si>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</si>
  <si>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</si>
  <si>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</si>
  <si>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</si>
  <si>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</si>
  <si>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</si>
  <si>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</si>
  <si>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</si>
  <si>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</si>
  <si>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</si>
  <si>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</si>
  <si>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</si>
  <si>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</si>
  <si>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</si>
  <si>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</si>
  <si>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</si>
  <si>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</si>
  <si>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</si>
  <si>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</si>
  <si>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</si>
  <si>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</si>
  <si>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</si>
  <si>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</si>
  <si>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</si>
  <si>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</si>
  <si>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</si>
  <si>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</si>
  <si>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</si>
  <si>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</si>
  <si>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</si>
  <si>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</si>
  <si>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 xml:space="preserve">ИНВОЙС № VG-N-73 от </t>
  </si>
  <si>
    <t xml:space="preserve">СПЕЦИФИКАЦИЯ № VG-N-73 от </t>
  </si>
  <si>
    <t>40V041SA/401872BA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</si>
</sst>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159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124</v>
      </c>
      <c r="C30" s="107" t="s">
        <v>123</v>
      </c>
      <c r="D30" s="109" t="s">
        <v>112</v>
      </c>
      <c r="E30" s="101">
        <v>2335</v>
      </c>
      <c r="F30" s="110" t="s">
        <v>27</v>
      </c>
      <c r="G30" s="106">
        <v>21999</v>
      </c>
      <c r="H30" s="106">
        <v>18730</v>
      </c>
      <c r="I30" s="108">
        <v>1</v>
      </c>
      <c r="J30" s="13">
        <f t="shared" ref="J30" si="0">H30*I30</f>
        <v>18730</v>
      </c>
      <c r="K30" s="12">
        <v>0</v>
      </c>
      <c r="L30" s="12">
        <v>0</v>
      </c>
      <c r="M30" s="13">
        <f t="shared" ref="M30" si="1">J30</f>
        <v>18730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2335</v>
      </c>
      <c r="F31" s="15"/>
      <c r="G31" s="64">
        <f>SUM(G30:G30)</f>
        <v>21999</v>
      </c>
      <c r="H31" s="64">
        <f>SUM(H30:H30)</f>
        <v>18730</v>
      </c>
      <c r="I31" s="102"/>
      <c r="J31" s="17">
        <f>SUM(J30:J30)</f>
        <v>18730</v>
      </c>
      <c r="K31" s="16"/>
      <c r="L31" s="16"/>
      <c r="M31" s="17">
        <f>SUM(M30:M30)</f>
        <v>18730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Восемнадцать тысяч семьсот тридцать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VG-N-73 от  03.09.2025г.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2335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21999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03.09.2025г.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40V041SA/401872BA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6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40V041SA/401872BA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VG-N-73 от  03.09.2025г.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2335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21999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2335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53" t="str">
        <f>+Инвойс!F1</f>
        <v xml:space="preserve"> 03.09.2025г.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40V041SA/401872BA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2335</v>
      </c>
      <c r="F30" s="116" t="str">
        <f>+Инвойс!F30</f>
        <v>кг</v>
      </c>
      <c r="G30" s="106">
        <f>+Инвойс!G30</f>
        <v>21999</v>
      </c>
      <c r="H30" s="106">
        <f>+Инвойс!H30</f>
        <v>18730</v>
      </c>
      <c r="I30" s="108">
        <f>+Инвойс!I30</f>
        <v>1</v>
      </c>
      <c r="J30" s="13">
        <f>+Инвойс!J30</f>
        <v>18730</v>
      </c>
      <c r="K30" s="12">
        <v>0</v>
      </c>
      <c r="L30" s="12">
        <v>0</v>
      </c>
      <c r="M30" s="13">
        <f>+Инвойс!M30</f>
        <v>18730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2335</v>
      </c>
      <c r="F31" s="15"/>
      <c r="G31" s="64">
        <f>SUM(G30:G30)</f>
        <v>21999</v>
      </c>
      <c r="H31" s="64">
        <f>SUM(H30:H30)</f>
        <v>18730</v>
      </c>
      <c r="I31" s="102"/>
      <c r="J31" s="17">
        <f>SUM(J30:J30)</f>
        <v>18730</v>
      </c>
      <c r="K31" s="16"/>
      <c r="L31" s="16"/>
      <c r="M31" s="17">
        <f>SUM(M30:M30)</f>
        <v>18730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Восемнадцать тысяч семьсот тридцать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18730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Восемнадцать тысяч семьсот тридцать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Восемнадцать тысяч семьсот тридцать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восемнадцать тысяч семьсот тридцать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восемнадцать тысяч семьсот тридцать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восемнадцать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тридцать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18730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18</v>
      </c>
      <c r="B25" s="47">
        <f>TRUNC(RIGHT(A25))</f>
        <v>8</v>
      </c>
      <c r="C25" s="51">
        <f>IF(B24=1,B25+10,IF(B25=0,0,B25))</f>
        <v>18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 xml:space="preserve">восемнадцать </v>
      </c>
    </row>
    <row r="26" spans="1:9" s="43" customFormat="1" x14ac:dyDescent="0.25">
      <c r="A26" s="54"/>
      <c r="B26" s="47"/>
      <c r="C26" s="51"/>
      <c r="E26" s="57">
        <f>B23*100+B24*10+B25</f>
        <v>18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187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1873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18730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2025-09-03T13:11:35Z</cp:lastPrinted>
  <dcterms:created xsi:type="dcterms:W3CDTF">1996-10-14T23:33:28Z</dcterms:created>
  <dcterms:modified xsi:type="dcterms:W3CDTF">2025-09-03T13:11:38Z</dcterms:modified>
</cp:coreProperties>
</file>