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7E319331-7B25-4317-A0F1-D03D7BDD5C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2" l="1"/>
  <c r="M30" i="2" s="1"/>
  <c r="F1" i="7"/>
  <c r="D36" i="7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7" l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<sst xmlns="http://schemas.openxmlformats.org/spreadsheetml/2006/main" count="209" uniqueCount="163">
  <si>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</si>
  <si>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</si>
  <si>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</si>
  <si>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</si>
  <si>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</si>
  <si>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</si>
  <si>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</si>
  <si>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</si>
  <si>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</si>
  <si>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</si>
  <si>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</si>
  <si>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</si>
  <si>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</si>
  <si>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</si>
  <si>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</si>
  <si>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</si>
  <si>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</si>
  <si>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</si>
  <si>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</si>
  <si>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</si>
  <si>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</si>
  <si>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</si>
  <si>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</si>
  <si>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</si>
  <si>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</si>
  <si>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</si>
  <si>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</si>
  <si>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</si>
  <si>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</si>
  <si>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</si>
  <si>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</si>
  <si>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</si>
  <si>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</si>
  <si>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</si>
  <si>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</si>
  <si>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</si>
  <si>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</si>
  <si>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</si>
  <si>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</si>
  <si>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</si>
  <si>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</si>
  <si>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</si>
  <si>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</si>
  <si>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</si>
  <si>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</si>
  <si>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</si>
  <si>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</si>
  <si>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</si>
  <si>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</si>
  <si>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</si>
  <si>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</si>
  <si>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</si>
  <si>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</si>
  <si>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</si>
  <si>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</si>
  <si>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</si>
  <si>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</si>
  <si>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</si>
  <si>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</si>
  <si>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</si>
  <si>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</si>
  <si>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</si>
  <si>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</si>
  <si>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</si>
  <si>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</si>
  <si>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</si>
  <si>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</si>
  <si>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</si>
  <si>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</si>
  <si>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</si>
  <si>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</si>
  <si>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</si>
  <si>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</si>
  <si>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</si>
  <si>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</si>
  <si>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</si>
  <si>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</si>
  <si>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</si>
  <si>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</si>
  <si>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</si>
  <si>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</si>
  <si>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</si>
  <si>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</si>
  <si>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</si>
  <si>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</si>
  <si>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</si>
  <si>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</si>
  <si>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</si>
  <si>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</si>
  <si>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</si>
  <si>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</si>
  <si>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</si>
  <si>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</si>
  <si>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</si>
  <si>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</si>
  <si>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</si>
  <si>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</si>
  <si>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</si>
  <si>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</si>
  <si>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</si>
  <si>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</si>
  <si>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</si>
  <si>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</si>
  <si>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</si>
  <si>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</si>
  <si>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</si>
  <si>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</si>
  <si>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</si>
  <si>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</si>
  <si>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</si>
  <si>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</si>
  <si>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</si>
  <si>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</si>
  <si>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</si>
  <si>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</si>
  <si>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</si>
  <si>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</si>
  <si>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</si>
  <si>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</si>
  <si>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</si>
  <si>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</si>
  <si>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</si>
  <si>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</si>
  <si>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</si>
  <si>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</si>
  <si>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</si>
  <si>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</si>
  <si>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</si>
  <si>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</si>
  <si>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</si>
  <si>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</si>
  <si>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</si>
  <si>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</si>
  <si>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</si>
  <si>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</si>
  <si>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</si>
  <si>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</si>
  <si>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</si>
  <si>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</si>
  <si>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</si>
  <si>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</si>
  <si>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</si>
  <si>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</si>
  <si>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</si>
  <si>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</si>
  <si>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</si>
  <si>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</si>
  <si>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</si>
  <si>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</si>
  <si>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</si>
  <si>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</si>
  <si>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</si>
  <si>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</si>
  <si>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</si>
  <si>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</si>
  <si>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</si>
  <si>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</si>
  <si>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</si>
  <si>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</si>
  <si>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 xml:space="preserve"> 29.08.2025г.</t>
  </si>
  <si>
    <t xml:space="preserve">ИНВОЙС № PLG-A-29 от </t>
  </si>
  <si>
    <t xml:space="preserve">СПЕЦИФИКАЦИЯ № PLG-A-29 от </t>
  </si>
  <si>
    <t>75067HBA/758398AA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</si>
</sst>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36</xdr:row>
      <xdr:rowOff>100853</xdr:rowOff>
    </xdr:from>
    <xdr:to>
      <xdr:col>9</xdr:col>
      <xdr:colOff>522754</xdr:colOff>
      <xdr:row>48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3" t="s">
        <v>160</v>
      </c>
      <c r="D1" s="153"/>
      <c r="E1" s="153"/>
      <c r="F1" s="152" t="s">
        <v>159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">
        <v>149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">
        <v>150</v>
      </c>
      <c r="B5" s="154"/>
      <c r="C5" s="154"/>
      <c r="D5" s="154"/>
      <c r="E5" s="154"/>
      <c r="F5" s="6"/>
      <c r="G5" s="147" t="s">
        <v>140</v>
      </c>
      <c r="H5" s="147"/>
      <c r="I5" s="147"/>
      <c r="J5" s="147"/>
      <c r="K5" s="147"/>
      <c r="L5" s="147"/>
      <c r="M5" s="147"/>
    </row>
    <row r="6" spans="1:15" ht="15" customHeight="1" x14ac:dyDescent="0.25">
      <c r="A6" s="142" t="s">
        <v>151</v>
      </c>
      <c r="B6" s="141"/>
      <c r="C6" s="141"/>
      <c r="D6" s="141"/>
      <c r="E6" s="141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1" t="s">
        <v>152</v>
      </c>
      <c r="B7" s="141"/>
      <c r="C7" s="141"/>
      <c r="D7" s="141"/>
      <c r="E7" s="141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154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155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156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3" t="s">
        <v>146</v>
      </c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">
        <v>150</v>
      </c>
      <c r="B14" s="154"/>
      <c r="C14" s="154"/>
      <c r="D14" s="154"/>
      <c r="E14" s="154"/>
      <c r="F14" s="6"/>
      <c r="G14" s="147" t="s">
        <v>140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42" t="s">
        <v>151</v>
      </c>
      <c r="B15" s="141"/>
      <c r="C15" s="141"/>
      <c r="D15" s="141"/>
      <c r="E15" s="141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3.8" x14ac:dyDescent="0.25">
      <c r="A16" s="141" t="s">
        <v>152</v>
      </c>
      <c r="B16" s="141"/>
      <c r="C16" s="141"/>
      <c r="D16" s="141"/>
      <c r="E16" s="141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154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155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156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3" t="s">
        <v>146</v>
      </c>
      <c r="H21" s="143"/>
      <c r="I21" s="143"/>
      <c r="J21" s="143"/>
      <c r="K21" s="143"/>
      <c r="L21" s="143"/>
      <c r="M21" s="14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7" t="s">
        <v>128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1:17" ht="15.6" x14ac:dyDescent="0.3">
      <c r="A24" s="20" t="s">
        <v>22</v>
      </c>
      <c r="C24" s="18" t="s">
        <v>138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8" t="s">
        <v>162</v>
      </c>
      <c r="F26" s="139"/>
      <c r="G26" s="139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1.8" x14ac:dyDescent="0.25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27.6" x14ac:dyDescent="0.25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950</v>
      </c>
      <c r="F30" s="115" t="s">
        <v>27</v>
      </c>
      <c r="G30" s="106">
        <v>23000</v>
      </c>
      <c r="H30" s="106">
        <v>21290</v>
      </c>
      <c r="I30" s="108">
        <v>0.25</v>
      </c>
      <c r="J30" s="13">
        <f t="shared" ref="J30" si="0">H30*I30</f>
        <v>5322.5</v>
      </c>
      <c r="K30" s="12">
        <v>0</v>
      </c>
      <c r="L30" s="12">
        <v>0</v>
      </c>
      <c r="M30" s="13">
        <f t="shared" ref="M30" si="1">J30</f>
        <v>5322.5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950</v>
      </c>
      <c r="F31" s="15"/>
      <c r="G31" s="64">
        <f>SUM(G30:G30)</f>
        <v>23000</v>
      </c>
      <c r="H31" s="64">
        <f>SUM(H30:H30)</f>
        <v>21290</v>
      </c>
      <c r="I31" s="102"/>
      <c r="J31" s="17">
        <f>SUM(J30:J30)</f>
        <v>5322.5</v>
      </c>
      <c r="K31" s="16"/>
      <c r="L31" s="16"/>
      <c r="M31" s="17">
        <f>SUM(M30:M30)</f>
        <v>5322.5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триста двадцать два доллара США,50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B31" sqref="B31: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29.08.2025г.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PLG-A-29 от  29.08.2025г.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29.08.2025г.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75067HBA/758398AA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F20" sqref="F20:J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75067HBA/758398AA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29.08.2025г.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PLG-A-29 от  29.08.2025г.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950</v>
      </c>
      <c r="G18" s="162" t="str">
        <f>+CMR!F30</f>
        <v>Дыни свежие</v>
      </c>
      <c r="H18" s="162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23000</v>
      </c>
    </row>
    <row r="20" spans="2:10" ht="13.5" customHeight="1" x14ac:dyDescent="0.3">
      <c r="B20" s="83"/>
      <c r="E20" s="122"/>
      <c r="F20" s="117"/>
      <c r="G20" s="162"/>
      <c r="H20" s="162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3">
      <c r="B22" s="83"/>
      <c r="E22" s="122"/>
      <c r="F22" s="117"/>
      <c r="G22" s="162"/>
      <c r="H22" s="162"/>
      <c r="I22" s="118"/>
      <c r="J22" s="119"/>
    </row>
    <row r="23" spans="2:10" ht="14.25" customHeight="1" x14ac:dyDescent="0.3">
      <c r="B23" s="83"/>
      <c r="E23" s="122"/>
      <c r="F23" s="120"/>
      <c r="G23" s="160"/>
      <c r="H23" s="161"/>
      <c r="I23" s="121"/>
      <c r="J23" s="119"/>
    </row>
    <row r="24" spans="2:10" ht="12.75" customHeight="1" x14ac:dyDescent="0.3">
      <c r="B24" s="87"/>
      <c r="E24" s="122"/>
      <c r="F24" s="117"/>
      <c r="G24" s="162"/>
      <c r="H24" s="162"/>
      <c r="I24" s="118"/>
      <c r="J24" s="119"/>
    </row>
    <row r="25" spans="2:10" ht="12.75" customHeight="1" x14ac:dyDescent="0.3">
      <c r="B25" s="87"/>
      <c r="E25" s="122"/>
      <c r="F25" s="120"/>
      <c r="G25" s="160"/>
      <c r="H25" s="161"/>
      <c r="I25" s="121"/>
      <c r="J25" s="119"/>
    </row>
    <row r="26" spans="2:10" ht="12" customHeight="1" x14ac:dyDescent="0.3">
      <c r="B26" s="87"/>
      <c r="E26" s="122"/>
      <c r="F26" s="117"/>
      <c r="G26" s="162"/>
      <c r="H26" s="162"/>
      <c r="I26" s="118"/>
      <c r="J26" s="119"/>
    </row>
    <row r="27" spans="2:10" ht="14.25" customHeight="1" x14ac:dyDescent="0.3">
      <c r="B27" s="87"/>
      <c r="E27" s="122"/>
      <c r="F27" s="120"/>
      <c r="G27" s="160"/>
      <c r="H27" s="161"/>
      <c r="I27" s="121"/>
      <c r="J27" s="119"/>
    </row>
    <row r="28" spans="2:10" ht="12.75" customHeight="1" x14ac:dyDescent="0.3">
      <c r="B28" s="87"/>
      <c r="E28" s="122"/>
      <c r="F28" s="117"/>
      <c r="G28" s="162"/>
      <c r="H28" s="162"/>
      <c r="I28" s="118"/>
      <c r="J28" s="119"/>
    </row>
    <row r="29" spans="2:10" ht="12.75" customHeight="1" x14ac:dyDescent="0.3">
      <c r="B29" s="87"/>
      <c r="E29" s="122"/>
      <c r="F29" s="120"/>
      <c r="G29" s="160"/>
      <c r="H29" s="161"/>
      <c r="I29" s="121"/>
      <c r="J29" s="119"/>
    </row>
    <row r="30" spans="2:10" ht="12.75" customHeight="1" x14ac:dyDescent="0.3">
      <c r="B30" s="87"/>
      <c r="E30" s="122"/>
      <c r="F30" s="117"/>
      <c r="G30" s="162"/>
      <c r="H30" s="162"/>
      <c r="I30" s="118"/>
      <c r="J30" s="119"/>
    </row>
    <row r="31" spans="2:10" ht="13.5" customHeight="1" x14ac:dyDescent="0.3">
      <c r="B31" s="87"/>
      <c r="E31" s="122"/>
      <c r="F31" s="120"/>
      <c r="G31" s="160"/>
      <c r="H31" s="161"/>
      <c r="I31" s="121"/>
      <c r="J31" s="119"/>
    </row>
    <row r="32" spans="2:10" ht="13.5" customHeight="1" x14ac:dyDescent="0.3">
      <c r="B32" s="87"/>
      <c r="E32" s="122"/>
      <c r="F32" s="117"/>
      <c r="G32" s="162"/>
      <c r="H32" s="162"/>
      <c r="I32" s="118"/>
      <c r="J32" s="119"/>
    </row>
    <row r="33" spans="2:10" ht="13.5" customHeight="1" x14ac:dyDescent="0.3">
      <c r="B33" s="87"/>
      <c r="E33" s="122"/>
      <c r="F33" s="120"/>
      <c r="G33" s="160"/>
      <c r="H33" s="161"/>
      <c r="I33" s="121"/>
      <c r="J33" s="119"/>
    </row>
    <row r="34" spans="2:10" ht="13.5" customHeight="1" x14ac:dyDescent="0.3">
      <c r="B34" s="87"/>
      <c r="E34" s="122"/>
      <c r="F34" s="117"/>
      <c r="G34" s="162"/>
      <c r="H34" s="162"/>
      <c r="I34" s="118"/>
      <c r="J34" s="119"/>
    </row>
    <row r="35" spans="2:10" ht="12.75" customHeight="1" x14ac:dyDescent="0.3">
      <c r="B35" s="87"/>
      <c r="E35" s="122"/>
      <c r="F35" s="120"/>
      <c r="G35" s="160"/>
      <c r="H35" s="161"/>
      <c r="I35" s="121"/>
      <c r="J35" s="119"/>
    </row>
    <row r="36" spans="2:10" x14ac:dyDescent="0.3">
      <c r="B36" s="87"/>
      <c r="E36" s="122"/>
      <c r="F36" s="117"/>
      <c r="G36" s="162"/>
      <c r="H36" s="162"/>
      <c r="I36" s="118"/>
      <c r="J36" s="119"/>
    </row>
    <row r="37" spans="2:10" ht="13.5" customHeight="1" x14ac:dyDescent="0.3">
      <c r="B37" s="87"/>
      <c r="E37" s="122"/>
      <c r="F37" s="120"/>
      <c r="G37" s="160"/>
      <c r="H37" s="161"/>
      <c r="I37" s="121"/>
      <c r="J37" s="119"/>
    </row>
    <row r="38" spans="2:10" x14ac:dyDescent="0.3">
      <c r="B38" s="87"/>
      <c r="E38" s="122"/>
      <c r="F38" s="117"/>
      <c r="G38" s="162"/>
      <c r="H38" s="162"/>
      <c r="I38" s="118"/>
      <c r="J38" s="119"/>
    </row>
    <row r="39" spans="2:10" ht="13.5" customHeight="1" x14ac:dyDescent="0.3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3">
      <c r="B40" s="87"/>
      <c r="E40" s="122"/>
      <c r="F40" s="117"/>
      <c r="G40" s="162"/>
      <c r="H40" s="162"/>
      <c r="I40" s="118"/>
      <c r="J40" s="119"/>
    </row>
    <row r="41" spans="2:10" ht="14.25" hidden="1" customHeight="1" x14ac:dyDescent="0.3">
      <c r="B41" s="87"/>
      <c r="E41" s="122"/>
      <c r="F41" s="120"/>
      <c r="G41" s="160"/>
      <c r="H41" s="161"/>
      <c r="I41" s="121"/>
      <c r="J41" s="119"/>
    </row>
    <row r="42" spans="2:10" hidden="1" x14ac:dyDescent="0.3">
      <c r="B42" s="87"/>
      <c r="E42" s="122"/>
      <c r="F42" s="117"/>
      <c r="G42" s="162"/>
      <c r="H42" s="162"/>
      <c r="I42" s="118"/>
      <c r="J42" s="119"/>
    </row>
    <row r="43" spans="2:10" x14ac:dyDescent="0.3">
      <c r="B43" s="87"/>
      <c r="E43" s="122"/>
      <c r="F43" s="120"/>
      <c r="G43" s="160"/>
      <c r="H43" s="161"/>
      <c r="I43" s="121"/>
      <c r="J43" s="119"/>
    </row>
    <row r="44" spans="2:10" ht="9" customHeight="1" x14ac:dyDescent="0.3">
      <c r="B44" s="87"/>
      <c r="E44" s="95"/>
      <c r="F44" s="92"/>
      <c r="G44" s="164"/>
      <c r="H44" s="164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5">
        <f>+F18+F20+F22+F24+F26+F28+F30+F32+F34+F36+F38+F40+F42</f>
        <v>950</v>
      </c>
      <c r="E47" s="166"/>
    </row>
    <row r="48" spans="2:10" ht="17.25" customHeight="1" x14ac:dyDescent="0.3">
      <c r="B48" s="163" t="s">
        <v>105</v>
      </c>
      <c r="C48" s="163"/>
      <c r="D48" s="163"/>
      <c r="E48" s="163"/>
    </row>
    <row r="49" spans="2:5" ht="21.75" customHeight="1" x14ac:dyDescent="0.3">
      <c r="B49" s="163"/>
      <c r="C49" s="163"/>
      <c r="D49" s="163"/>
      <c r="E49" s="163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70" zoomScaleNormal="70" workbookViewId="0">
      <selection activeCell="B2" sqref="B2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161</v>
      </c>
      <c r="C1" s="171"/>
      <c r="D1" s="171"/>
      <c r="E1" s="171"/>
      <c r="F1" s="152" t="str">
        <f>+Инвойс!F1</f>
        <v xml:space="preserve"> 29.08.2025г.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tr">
        <f>+Инвойс!C2</f>
        <v>к контракту № GR-POL-01 от 22.08.2025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tr">
        <f>+Инвойс!A5</f>
        <v>ООО «POLARIUM»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3.8" x14ac:dyDescent="0.25">
      <c r="A6" s="142" t="str">
        <f>+Инвойс!A6</f>
        <v>Республика Узбекистан. Ташкентская область, Бекабадский район,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махалля Зафар, Гулистан МФЙ, улица Мустакиллик, дом 1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 «TURON BANK» МФО 00446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в/с: 20208840907287520001 (доллар США)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SWIFT: TURONUZ22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ИНН: 312302455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tr">
        <f>+Инвойс!A14</f>
        <v>ООО «POLARIUM»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42" t="str">
        <f>+Инвойс!A15</f>
        <v>Республика Узбекистан. Ташкентская область, Бекабадский район,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махалля Зафар, Гулистан МФЙ, улица Мустакиллик, дом 1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 «TURON BANK» МФО 00446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в/с: 20208840907287520001 (доллар США)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SWIFT: TURONUZ22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ИНН: 312302455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8" t="str">
        <f>+Инвойс!E26</f>
        <v>75067HBA/758398AA</v>
      </c>
      <c r="F26" s="139"/>
      <c r="G26" s="139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1.8" x14ac:dyDescent="0.25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26.4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950</v>
      </c>
      <c r="F30" s="115" t="str">
        <f>+Инвойс!F30</f>
        <v>кг</v>
      </c>
      <c r="G30" s="106">
        <f>+Инвойс!G30</f>
        <v>23000</v>
      </c>
      <c r="H30" s="106">
        <f>+Инвойс!H30</f>
        <v>21290</v>
      </c>
      <c r="I30" s="108">
        <f>+Инвойс!I30</f>
        <v>0.25</v>
      </c>
      <c r="J30" s="13">
        <f>+Инвойс!J30</f>
        <v>5322.5</v>
      </c>
      <c r="K30" s="12">
        <v>0</v>
      </c>
      <c r="L30" s="12">
        <v>0</v>
      </c>
      <c r="M30" s="13">
        <f>+Инвойс!M30</f>
        <v>5322.5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950</v>
      </c>
      <c r="F31" s="15"/>
      <c r="G31" s="64">
        <f>SUM(G30:G30)</f>
        <v>23000</v>
      </c>
      <c r="H31" s="64">
        <f>SUM(H30:H30)</f>
        <v>21290</v>
      </c>
      <c r="I31" s="102"/>
      <c r="J31" s="17">
        <f>SUM(J30:J30)</f>
        <v>5322.5</v>
      </c>
      <c r="K31" s="16"/>
      <c r="L31" s="16"/>
      <c r="M31" s="17">
        <f>SUM(M30:M30)</f>
        <v>5322.5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триста двадцать два доллара США,50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0" t="s">
        <v>158</v>
      </c>
      <c r="B36" s="130"/>
      <c r="D36" s="18" t="str">
        <f>+Инвойс!D36</f>
        <v>Юнусов Х.Р</v>
      </c>
      <c r="E36" s="131"/>
      <c r="G36" s="128" t="s">
        <v>130</v>
      </c>
      <c r="H36" s="18" t="str">
        <f>Инвойс!G5</f>
        <v>ООО «ГРИН ВОРЛД»</v>
      </c>
      <c r="K36" s="132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5" t="s">
        <v>116</v>
      </c>
    </row>
    <row r="3" spans="1:10" ht="52.8" x14ac:dyDescent="0.25">
      <c r="A3" s="129" t="s">
        <v>128</v>
      </c>
    </row>
    <row r="5" spans="1:10" ht="39.6" x14ac:dyDescent="0.25">
      <c r="A5" s="125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5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5" t="s">
        <v>119</v>
      </c>
    </row>
    <row r="10" spans="1:10" x14ac:dyDescent="0.25">
      <c r="A10" s="125"/>
      <c r="E10" s="18" t="s">
        <v>134</v>
      </c>
      <c r="J10" s="25" t="s">
        <v>135</v>
      </c>
    </row>
    <row r="11" spans="1:10" ht="52.8" x14ac:dyDescent="0.25">
      <c r="A11" s="125" t="s">
        <v>148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5" t="s">
        <v>120</v>
      </c>
    </row>
    <row r="15" spans="1:10" ht="39.6" x14ac:dyDescent="0.25">
      <c r="A15" s="125" t="s">
        <v>121</v>
      </c>
    </row>
    <row r="17" spans="1:1" ht="39.6" x14ac:dyDescent="0.25">
      <c r="A17" s="125" t="s">
        <v>122</v>
      </c>
    </row>
    <row r="19" spans="1:1" ht="39.6" x14ac:dyDescent="0.25">
      <c r="A19" s="127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5322.5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двадцать два доллара США,50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45898</v>
      </c>
      <c r="O3" s="177"/>
      <c r="P3">
        <f ca="1">DAY(N3)</f>
        <v>29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триста двадцать два доллара США,50 центов. (в т.ч. НДС - 357,79)</v>
      </c>
      <c r="H4" s="32"/>
      <c r="I4" s="32"/>
      <c r="J4" s="32"/>
      <c r="K4" s="178" t="str">
        <f ca="1">CONCATENATE(" «  ",P3,"  »  ",Q3,"  ",R3," г.")</f>
        <v xml:space="preserve"> «  29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двадцать два доллара США,50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двадцать два доллара США,50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триста двадцать два доллара США,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45898</v>
      </c>
    </row>
    <row r="13" spans="1:19" s="43" customFormat="1" x14ac:dyDescent="0.25">
      <c r="A13" s="49"/>
      <c r="D13" s="51"/>
      <c r="E13" s="52">
        <f>TRUNC(E2)</f>
        <v>5322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5">
      <c r="A29" s="54">
        <f>E13</f>
        <v>5322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322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2025-08-29T13:01:09Z</cp:lastPrinted>
  <dcterms:created xsi:type="dcterms:W3CDTF">1996-10-14T23:33:28Z</dcterms:created>
  <dcterms:modified xsi:type="dcterms:W3CDTF">2025-08-29T13:01:14Z</dcterms:modified>
</cp:coreProperties>
</file>