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E219529-8101-4059-BF5B-7C47FEEB80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<sst xmlns="http://schemas.openxmlformats.org/spreadsheetml/2006/main" count="207" uniqueCount="165">
  <si>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</si>
  <si>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</si>
  <si>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</si>
  <si>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</si>
  <si>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</si>
  <si>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</si>
  <si>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</si>
  <si>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</si>
  <si>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</si>
  <si>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</si>
  <si>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</si>
  <si>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</si>
  <si>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</si>
  <si>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</si>
  <si>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</si>
  <si>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</si>
  <si>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</si>
  <si>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</si>
  <si>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</si>
  <si>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</si>
  <si>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</si>
  <si>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</si>
  <si>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</si>
  <si>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</si>
  <si>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</si>
  <si>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</si>
  <si>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</si>
  <si>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</si>
  <si>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</si>
  <si>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</si>
  <si>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</si>
  <si>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</si>
  <si>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</si>
  <si>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</si>
  <si>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</si>
  <si>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</si>
  <si>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</si>
  <si>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</si>
  <si>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</si>
  <si>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</si>
  <si>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</si>
  <si>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</si>
  <si>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</si>
  <si>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</si>
  <si>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</si>
  <si>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</si>
  <si>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</si>
  <si>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</si>
  <si>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</si>
  <si>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</si>
  <si>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</si>
  <si>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</si>
  <si>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</si>
  <si>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</si>
  <si>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</si>
  <si>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</si>
  <si>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</si>
  <si>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</si>
  <si>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</si>
  <si>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</si>
  <si>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</si>
  <si>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</si>
  <si>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</si>
  <si>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</si>
  <si>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</si>
  <si>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</si>
  <si>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</si>
  <si>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</si>
  <si>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</si>
  <si>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</si>
  <si>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</si>
  <si>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</si>
  <si>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</si>
  <si>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</si>
  <si>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</si>
  <si>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</si>
  <si>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</si>
  <si>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</si>
  <si>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</si>
  <si>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</si>
  <si>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</si>
  <si>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</si>
  <si>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</si>
  <si>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</si>
  <si>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</si>
  <si>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</si>
  <si>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</si>
  <si>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</si>
  <si>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</si>
  <si>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</si>
  <si>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</si>
  <si>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</si>
  <si>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</si>
  <si>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</si>
  <si>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</si>
  <si>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</si>
  <si>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</si>
  <si>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</si>
  <si>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</si>
  <si>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</si>
  <si>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</si>
  <si>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</si>
  <si>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</si>
  <si>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</si>
  <si>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</si>
  <si>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</si>
  <si>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</si>
  <si>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</si>
  <si>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</si>
  <si>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</si>
  <si>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</si>
  <si>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</si>
  <si>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</si>
  <si>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</si>
  <si>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</si>
  <si>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</si>
  <si>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</si>
  <si>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</si>
  <si>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</si>
  <si>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</si>
  <si>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</si>
  <si>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</si>
  <si>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</si>
  <si>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</si>
  <si>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</si>
  <si>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</si>
  <si>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</si>
  <si>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</si>
  <si>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</si>
  <si>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</si>
  <si>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</si>
  <si>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</si>
  <si>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</si>
  <si>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</si>
  <si>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</si>
  <si>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</si>
  <si>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</si>
  <si>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</si>
  <si>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</si>
  <si>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</si>
  <si>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</si>
  <si>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</si>
  <si>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</si>
  <si>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</si>
  <si>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</si>
  <si>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</si>
  <si>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</si>
  <si>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</si>
  <si>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</si>
  <si>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</si>
  <si>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</si>
  <si>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</si>
  <si>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</si>
  <si>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</si>
  <si>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</si>
  <si>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</si>
  <si>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</si>
  <si>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</si>
  <si>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BEZ-A-75 от </t>
  </si>
  <si>
    <t xml:space="preserve"> 12.08.2025г.</t>
  </si>
  <si>
    <t>10N476MB/106366BA</t>
  </si>
  <si>
    <t>DAP - с Жибек Жолы , Республика Казахстан</t>
  </si>
  <si>
    <t>Навалом</t>
  </si>
  <si>
    <t>-</t>
  </si>
  <si>
    <t xml:space="preserve">СПЕЦИФИКАЦИЯ № BEZ-A-75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</si>
</sst>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4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137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815</v>
      </c>
      <c r="F30" s="110" t="s">
        <v>27</v>
      </c>
      <c r="G30" s="106">
        <v>21190</v>
      </c>
      <c r="H30" s="106">
        <v>19723</v>
      </c>
      <c r="I30" s="108">
        <v>0.2</v>
      </c>
      <c r="J30" s="13">
        <f t="shared" ref="J30:J31" si="0">H30*I30</f>
        <v>3944.6000000000004</v>
      </c>
      <c r="K30" s="12">
        <v>0</v>
      </c>
      <c r="L30" s="12">
        <v>0</v>
      </c>
      <c r="M30" s="13">
        <f t="shared" ref="M30:M31" si="1">J30</f>
        <v>3944.6000000000004</v>
      </c>
      <c r="O30" s="100"/>
      <c r="Q30" s="100"/>
    </row>
    <row r="31" spans="1:17" ht="15" x14ac:dyDescent="0.2">
      <c r="A31" s="127">
        <v>2</v>
      </c>
      <c r="B31" s="101" t="s">
        <v>135</v>
      </c>
      <c r="C31" s="107" t="s">
        <v>136</v>
      </c>
      <c r="D31" s="109" t="s">
        <v>162</v>
      </c>
      <c r="E31" s="101" t="s">
        <v>163</v>
      </c>
      <c r="F31" s="116" t="s">
        <v>27</v>
      </c>
      <c r="G31" s="106">
        <v>1800</v>
      </c>
      <c r="H31" s="106">
        <v>1800</v>
      </c>
      <c r="I31" s="108">
        <v>0.2</v>
      </c>
      <c r="J31" s="13">
        <f t="shared" si="0"/>
        <v>360</v>
      </c>
      <c r="K31" s="12">
        <v>0</v>
      </c>
      <c r="L31" s="12">
        <v>0</v>
      </c>
      <c r="M31" s="13">
        <f t="shared" si="1"/>
        <v>360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815</v>
      </c>
      <c r="F32" s="15"/>
      <c r="G32" s="64">
        <f>SUM(G30:G31)</f>
        <v>22990</v>
      </c>
      <c r="H32" s="64">
        <f>SUM(H30:H31)</f>
        <v>21523</v>
      </c>
      <c r="I32" s="102"/>
      <c r="J32" s="17">
        <f>SUM(J30:J31)</f>
        <v>4304.6000000000004</v>
      </c>
      <c r="K32" s="16"/>
      <c r="L32" s="16"/>
      <c r="M32" s="17">
        <f>SUM(M30:M31)</f>
        <v>4304.6000000000004</v>
      </c>
      <c r="P32" s="66"/>
    </row>
    <row r="33" spans="1:14" ht="13.5" x14ac:dyDescent="0.25">
      <c r="A33" s="2" t="s">
        <v>17</v>
      </c>
      <c r="B33" s="3"/>
      <c r="C33" s="11"/>
      <c r="D33" s="11"/>
      <c r="E33" s="143" t="str">
        <f>Лист1!B3</f>
        <v>Четыре тысячи триста четыре доллара США,60 центов.</v>
      </c>
      <c r="F33" s="144"/>
      <c r="G33" s="144"/>
      <c r="H33" s="144"/>
      <c r="I33" s="144"/>
      <c r="J33" s="144"/>
      <c r="K33" s="144"/>
      <c r="L33" s="144"/>
      <c r="M33" s="144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 t="s">
        <v>110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" x14ac:dyDescent="0.25">
      <c r="A37" s="7" t="s">
        <v>28</v>
      </c>
      <c r="B37" s="7"/>
      <c r="D37" s="25" t="s">
        <v>156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2">
    <mergeCell ref="I28:I29"/>
    <mergeCell ref="G28:H28"/>
    <mergeCell ref="C23:M23"/>
    <mergeCell ref="E26:G26"/>
    <mergeCell ref="G7:M7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BEZ-A-75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815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21190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1800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10N476MB/106366BA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3" zoomScaleNormal="100" workbookViewId="0">
      <selection activeCell="B48" sqref="B48:E4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10N476MB/106366BA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BEZ-A-75 от  12.08.2025г.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815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21190</v>
      </c>
    </row>
    <row r="20" spans="2:10" ht="13.5" customHeight="1" x14ac:dyDescent="0.25">
      <c r="B20" s="83"/>
      <c r="E20" s="123"/>
      <c r="F20" s="118" t="str">
        <f>+Инвойс!E31</f>
        <v>-</v>
      </c>
      <c r="G20" s="164" t="str">
        <f>+CMR!F31</f>
        <v>Дыни свежие</v>
      </c>
      <c r="H20" s="164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Навалом</v>
      </c>
      <c r="G21" s="158" t="str">
        <f>+Инвойс!C31</f>
        <v>0807190001</v>
      </c>
      <c r="H21" s="159"/>
      <c r="I21" s="122" t="s">
        <v>103</v>
      </c>
      <c r="J21" s="120">
        <f>+Инвойс!G31</f>
        <v>1800</v>
      </c>
    </row>
    <row r="22" spans="2:10" ht="12.75" customHeight="1" x14ac:dyDescent="0.25">
      <c r="B22" s="83"/>
      <c r="E22" s="123"/>
      <c r="F22" s="118"/>
      <c r="G22" s="164"/>
      <c r="H22" s="164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4"/>
      <c r="H24" s="164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4"/>
      <c r="H26" s="164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4"/>
      <c r="H28" s="164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4"/>
      <c r="H30" s="164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4"/>
      <c r="H32" s="164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4"/>
      <c r="H34" s="164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4"/>
      <c r="H36" s="164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4"/>
      <c r="H38" s="164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4"/>
      <c r="H42" s="164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6"/>
      <c r="H44" s="166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v>815</v>
      </c>
      <c r="E47" s="168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4"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164</v>
      </c>
      <c r="C1" s="171"/>
      <c r="D1" s="171"/>
      <c r="E1" s="171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51" t="s">
        <v>116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75" x14ac:dyDescent="0.25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tr">
        <f>+Инвойс!E26</f>
        <v>10N476MB/106366BA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815</v>
      </c>
      <c r="F30" s="116" t="str">
        <f>+Инвойс!F30</f>
        <v>кг</v>
      </c>
      <c r="G30" s="106">
        <f>+Инвойс!G30</f>
        <v>21190</v>
      </c>
      <c r="H30" s="106">
        <f>+Инвойс!H30</f>
        <v>19723</v>
      </c>
      <c r="I30" s="108">
        <f>+Инвойс!I30</f>
        <v>0.2</v>
      </c>
      <c r="J30" s="13">
        <f>+Инвойс!J30</f>
        <v>3944.6000000000004</v>
      </c>
      <c r="K30" s="12">
        <v>0</v>
      </c>
      <c r="L30" s="12">
        <v>0</v>
      </c>
      <c r="M30" s="13">
        <f>+Инвойс!M30</f>
        <v>3944.6000000000004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1800</v>
      </c>
      <c r="H31" s="106">
        <f>+Инвойс!H31</f>
        <v>1800</v>
      </c>
      <c r="I31" s="108">
        <f>+Инвойс!I31</f>
        <v>0.2</v>
      </c>
      <c r="J31" s="13">
        <f>+Инвойс!J31</f>
        <v>360</v>
      </c>
      <c r="K31" s="12">
        <v>0</v>
      </c>
      <c r="L31" s="12">
        <v>0</v>
      </c>
      <c r="M31" s="13">
        <f>+Инвойс!M31</f>
        <v>360</v>
      </c>
      <c r="O31" s="100"/>
      <c r="Q31" s="100"/>
    </row>
    <row r="32" spans="1:17" ht="14.25" x14ac:dyDescent="0.2">
      <c r="A32" s="147" t="s">
        <v>0</v>
      </c>
      <c r="B32" s="148"/>
      <c r="C32" s="14"/>
      <c r="D32" s="15"/>
      <c r="E32" s="64">
        <f>SUM(E30:E31)</f>
        <v>815</v>
      </c>
      <c r="F32" s="15"/>
      <c r="G32" s="64">
        <f>SUM(G30:G31)</f>
        <v>22990</v>
      </c>
      <c r="H32" s="64">
        <f>SUM(H30:H31)</f>
        <v>21523</v>
      </c>
      <c r="I32" s="102"/>
      <c r="J32" s="17">
        <f>SUM(J30:J31)</f>
        <v>4304.6000000000004</v>
      </c>
      <c r="K32" s="16"/>
      <c r="L32" s="16"/>
      <c r="M32" s="17">
        <f>SUM(M30:M31)</f>
        <v>4304.6000000000004</v>
      </c>
      <c r="P32" s="66"/>
    </row>
    <row r="33" spans="1:14" ht="13.5" x14ac:dyDescent="0.25">
      <c r="A33" s="2" t="s">
        <v>17</v>
      </c>
      <c r="B33" s="3"/>
      <c r="C33" s="11"/>
      <c r="D33" s="11"/>
      <c r="E33" s="143" t="str">
        <f>Лист1!B3</f>
        <v>Четыре тысячи триста четыре доллара США,60 центов.</v>
      </c>
      <c r="F33" s="144"/>
      <c r="G33" s="144"/>
      <c r="H33" s="144"/>
      <c r="I33" s="144"/>
      <c r="J33" s="144"/>
      <c r="K33" s="144"/>
      <c r="L33" s="144"/>
      <c r="M33" s="144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.75" x14ac:dyDescent="0.25">
      <c r="A37" s="7" t="s">
        <v>157</v>
      </c>
      <c r="B37" s="7"/>
      <c r="D37" s="25" t="s">
        <v>156</v>
      </c>
      <c r="E37" s="24"/>
      <c r="G37" s="129" t="s">
        <v>145</v>
      </c>
      <c r="H37" t="str">
        <f>Инвойс!G5</f>
        <v>ООО ТД «РЕСУРС»</v>
      </c>
      <c r="K37" s="130" t="s">
        <v>146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Инвойс!M32</f>
        <v>4304.6000000000004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триста четыре доллара США,60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45881</v>
      </c>
      <c r="O3" s="175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триста четыре доллара США,60 центов. (в т.ч. НДС - 357,79)</v>
      </c>
      <c r="H4" s="32"/>
      <c r="I4" s="32"/>
      <c r="J4" s="32"/>
      <c r="K4" s="176" t="str">
        <f ca="1">CONCATENATE(" «  ",P3,"  »  ",Q3,"  ",R3," г.")</f>
        <v xml:space="preserve"> «  12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триста четыре доллара США,60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триста четыре доллара США,60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четыре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60 центов.</v>
      </c>
      <c r="D12" s="47"/>
      <c r="E12" s="48"/>
      <c r="M12" s="50">
        <f ca="1">TODAY()</f>
        <v>45881</v>
      </c>
    </row>
    <row r="13" spans="1:19" s="43" customFormat="1" x14ac:dyDescent="0.2">
      <c r="A13" s="49"/>
      <c r="D13" s="51"/>
      <c r="E13" s="52">
        <f>TRUNC(E2)</f>
        <v>4304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430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4304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304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2025-08-12T05:30:23Z</cp:lastPrinted>
  <dcterms:created xsi:type="dcterms:W3CDTF">1996-10-14T23:33:28Z</dcterms:created>
  <dcterms:modified xsi:type="dcterms:W3CDTF">2025-08-12T05:30:27Z</dcterms:modified>
</cp:coreProperties>
</file>