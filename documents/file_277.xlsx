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G37" i="7" l="1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<sst xmlns="http://schemas.openxmlformats.org/spreadsheetml/2006/main" count="211" uniqueCount="170">
  <si>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</si>
  <si>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</si>
  <si>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</si>
  <si>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</si>
  <si>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</si>
  <si>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</si>
  <si>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</si>
  <si>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</si>
  <si>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</si>
  <si>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</si>
  <si>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</si>
  <si>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</si>
  <si>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</si>
  <si>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</si>
  <si>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</si>
  <si>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</si>
  <si>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</si>
  <si>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</si>
  <si>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</si>
  <si>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</si>
  <si>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</si>
  <si>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</si>
  <si>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</si>
  <si>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</si>
  <si>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</si>
  <si>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</si>
  <si>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</si>
  <si>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</si>
  <si>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</si>
  <si>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</si>
  <si>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</si>
  <si>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</si>
  <si>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</si>
  <si>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</si>
  <si>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</si>
  <si>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</si>
  <si>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</si>
  <si>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</si>
  <si>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</si>
  <si>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</si>
  <si>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</si>
  <si>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</si>
  <si>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</si>
  <si>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</si>
  <si>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</si>
  <si>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</si>
  <si>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</si>
  <si>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</si>
  <si>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</si>
  <si>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</si>
  <si>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</si>
  <si>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</si>
  <si>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</si>
  <si>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</si>
  <si>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</si>
  <si>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</si>
  <si>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</si>
  <si>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</si>
  <si>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</si>
  <si>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</si>
  <si>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</si>
  <si>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</si>
  <si>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</si>
  <si>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</si>
  <si>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</si>
  <si>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</si>
  <si>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</si>
  <si>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</si>
  <si>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</si>
  <si>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</si>
  <si>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</si>
  <si>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</si>
  <si>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</si>
  <si>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</si>
  <si>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</si>
  <si>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</si>
  <si>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</si>
  <si>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</si>
  <si>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</si>
  <si>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</si>
  <si>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</si>
  <si>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</si>
  <si>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</si>
  <si>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</si>
  <si>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</si>
  <si>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</si>
  <si>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</si>
  <si>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</si>
  <si>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</si>
  <si>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</si>
  <si>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</si>
  <si>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</si>
  <si>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</si>
  <si>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</si>
  <si>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</si>
  <si>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</si>
  <si>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</si>
  <si>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</si>
  <si>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</si>
  <si>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</si>
  <si>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</si>
  <si>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</si>
  <si>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</si>
  <si>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</si>
  <si>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</si>
  <si>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</si>
  <si>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</si>
  <si>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</si>
  <si>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</si>
  <si>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</si>
  <si>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</si>
  <si>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</si>
  <si>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</si>
  <si>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</si>
  <si>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</si>
  <si>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</si>
  <si>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</si>
  <si>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</si>
  <si>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</si>
  <si>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</si>
  <si>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</si>
  <si>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</si>
  <si>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</si>
  <si>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</si>
  <si>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</si>
  <si>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</si>
  <si>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</si>
  <si>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</si>
  <si>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Дыни свежие</t>
  </si>
  <si>
    <t>0807190001</t>
  </si>
  <si>
    <t>г.Самара/ г.Уфа / /г. Иркутск /г.Омск /г. Ижевск/ Российская федерация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</si>
  <si>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</si>
  <si>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</si>
  <si>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</si>
  <si>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</si>
  <si>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</si>
  <si>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</si>
  <si>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</si>
  <si>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</si>
  <si>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</si>
  <si>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</si>
  <si>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</si>
  <si>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</si>
  <si>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</si>
  <si>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</si>
  <si>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</si>
  <si>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</si>
  <si>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</si>
  <si>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</si>
  <si>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</si>
  <si>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</si>
  <si>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</si>
  <si>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</si>
  <si>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</si>
  <si>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</si>
  <si>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</si>
  <si>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</si>
  <si>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</si>
  <si>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</si>
  <si>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</si>
  <si>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</si>
  <si>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</si>
  <si>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</si>
  <si>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</si>
  <si>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</si>
  <si>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</si>
  <si>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ИНВОЙС № AGB-89 от</t>
  </si>
  <si>
    <t>70B644SA/706341AA</t>
  </si>
  <si>
    <t>Спецификация № AGB-89 от</t>
  </si>
  <si>
    <t xml:space="preserve"> 30.08.2025г.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</si>
</sst>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1" t="s">
        <v>166</v>
      </c>
      <c r="D1" s="151"/>
      <c r="E1" s="151"/>
      <c r="F1" s="150" t="s">
        <v>169</v>
      </c>
      <c r="G1" s="150"/>
      <c r="H1" s="150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">
        <v>134</v>
      </c>
      <c r="D2" s="152"/>
      <c r="E2" s="152"/>
      <c r="F2" s="152"/>
      <c r="G2" s="152"/>
      <c r="H2" s="152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3" t="s">
        <v>135</v>
      </c>
      <c r="B5" s="153"/>
      <c r="C5" s="153"/>
      <c r="D5" s="153"/>
      <c r="E5" s="153"/>
      <c r="F5" s="6"/>
      <c r="G5" s="144" t="s">
        <v>142</v>
      </c>
      <c r="H5" s="144"/>
      <c r="I5" s="144"/>
      <c r="J5" s="144"/>
      <c r="K5" s="144"/>
      <c r="L5" s="144"/>
      <c r="M5" s="144"/>
    </row>
    <row r="6" spans="1:15" ht="15" x14ac:dyDescent="0.25">
      <c r="A6" s="123" t="s">
        <v>136</v>
      </c>
      <c r="B6" s="123"/>
      <c r="C6" s="123"/>
      <c r="D6" s="123"/>
      <c r="E6" s="12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23" t="s">
        <v>137</v>
      </c>
      <c r="B7" s="123"/>
      <c r="C7" s="123"/>
      <c r="D7" s="123"/>
      <c r="E7" s="12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141" t="s">
        <v>145</v>
      </c>
      <c r="H8" s="141"/>
      <c r="I8" s="141"/>
      <c r="J8" s="141"/>
      <c r="K8" s="141"/>
      <c r="L8" s="141"/>
      <c r="M8" s="141"/>
    </row>
    <row r="9" spans="1:15" ht="15" x14ac:dyDescent="0.25">
      <c r="A9" s="8" t="s">
        <v>139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3" t="s">
        <v>140</v>
      </c>
      <c r="B10" s="123"/>
      <c r="C10" s="123"/>
      <c r="D10" s="123"/>
      <c r="E10" s="123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 x14ac:dyDescent="0.25">
      <c r="A11" s="123" t="s">
        <v>151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9"/>
      <c r="B12" s="149"/>
      <c r="C12" s="149"/>
      <c r="D12" s="149"/>
      <c r="E12" s="8"/>
      <c r="F12" s="7"/>
      <c r="G12" s="149"/>
      <c r="H12" s="149"/>
      <c r="I12" s="149"/>
      <c r="J12" s="149"/>
      <c r="K12" s="149"/>
      <c r="L12" s="149"/>
      <c r="M12" s="149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3" t="s">
        <v>135</v>
      </c>
      <c r="B14" s="153"/>
      <c r="C14" s="153"/>
      <c r="D14" s="153"/>
      <c r="E14" s="153"/>
      <c r="F14" s="6"/>
      <c r="G14" s="144" t="s">
        <v>106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3" t="s">
        <v>136</v>
      </c>
      <c r="B15" s="123"/>
      <c r="C15" s="123"/>
      <c r="D15" s="123"/>
      <c r="E15" s="123"/>
      <c r="F15" s="7"/>
      <c r="G15" s="140" t="s">
        <v>107</v>
      </c>
      <c r="H15" s="141"/>
      <c r="I15" s="141"/>
      <c r="J15" s="141"/>
      <c r="K15" s="141"/>
      <c r="L15" s="141"/>
      <c r="M15" s="141"/>
    </row>
    <row r="16" spans="1:15" ht="15" x14ac:dyDescent="0.25">
      <c r="A16" s="123" t="s">
        <v>137</v>
      </c>
      <c r="B16" s="123"/>
      <c r="C16" s="123"/>
      <c r="D16" s="123"/>
      <c r="E16" s="123"/>
      <c r="F16" s="63"/>
      <c r="G16" s="140" t="s">
        <v>108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139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3" t="s">
        <v>140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3" t="s">
        <v>152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150000000000006" customHeight="1" x14ac:dyDescent="0.25">
      <c r="A21" s="149"/>
      <c r="B21" s="149"/>
      <c r="C21" s="149"/>
      <c r="D21" s="149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6" t="s">
        <v>131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">
        <v>158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167</v>
      </c>
      <c r="F26" s="138"/>
      <c r="G26" s="13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30" x14ac:dyDescent="0.2">
      <c r="A30" s="124">
        <v>1</v>
      </c>
      <c r="B30" s="100" t="s">
        <v>128</v>
      </c>
      <c r="C30" s="106" t="s">
        <v>129</v>
      </c>
      <c r="D30" s="108" t="s">
        <v>127</v>
      </c>
      <c r="E30" s="100">
        <v>974</v>
      </c>
      <c r="F30" s="114" t="s">
        <v>27</v>
      </c>
      <c r="G30" s="105">
        <v>22402</v>
      </c>
      <c r="H30" s="105">
        <v>20649</v>
      </c>
      <c r="I30" s="107">
        <v>0.25</v>
      </c>
      <c r="J30" s="13">
        <f t="shared" ref="J30" si="0">H30*I30</f>
        <v>5162.25</v>
      </c>
      <c r="K30" s="12">
        <v>0</v>
      </c>
      <c r="L30" s="12">
        <v>0</v>
      </c>
      <c r="M30" s="13">
        <f t="shared" ref="M30" si="1">J30</f>
        <v>5162.25</v>
      </c>
      <c r="O30" s="99"/>
      <c r="Q30" s="99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974</v>
      </c>
      <c r="F31" s="15"/>
      <c r="G31" s="64">
        <f>SUM(G30:G30)</f>
        <v>22402</v>
      </c>
      <c r="H31" s="64">
        <f>SUM(H30:H30)</f>
        <v>20649</v>
      </c>
      <c r="I31" s="101"/>
      <c r="J31" s="17">
        <f>SUM(J30:J30)</f>
        <v>5162.25</v>
      </c>
      <c r="K31" s="16"/>
      <c r="L31" s="16"/>
      <c r="M31" s="17">
        <f>SUM(M30:M30)</f>
        <v>5162.25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сто шестьдесят два доллара США,25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13.5" x14ac:dyDescent="0.25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ht="20.2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ht="25.5" customHeight="1" x14ac:dyDescent="0.2">
      <c r="A35" s="139" t="s">
        <v>118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7" spans="1:14" ht="15" x14ac:dyDescent="0.25">
      <c r="A37" s="7" t="s">
        <v>28</v>
      </c>
      <c r="B37" s="7"/>
      <c r="D37" s="25" t="s">
        <v>141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22" zoomScale="115" zoomScaleNormal="115" workbookViewId="0">
      <selection activeCell="B31" sqref="B31:I41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125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AGB-89 от 30.08.2025г.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115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974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22402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57" t="str">
        <f>+C22</f>
        <v xml:space="preserve"> 30.08.2025г.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70B644SA/706341AA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41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70B644SA/706341AA</v>
      </c>
      <c r="C14" s="166"/>
      <c r="D14" s="166"/>
      <c r="E14" s="166"/>
      <c r="F14" s="166"/>
      <c r="G14" s="166"/>
      <c r="H14" s="167" t="s">
        <v>116</v>
      </c>
      <c r="I14" s="167"/>
      <c r="J14" s="88" t="str">
        <f>+Инвойс!F1</f>
        <v xml:space="preserve"> 30.08.2025г.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AGB-89 от 30.08.2025г.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5"/>
      <c r="F18" s="116">
        <f>+Инвойс!E30</f>
        <v>974</v>
      </c>
      <c r="G18" s="160" t="str">
        <f>+CMR!F30</f>
        <v>Дыни свежие</v>
      </c>
      <c r="H18" s="160"/>
      <c r="I18" s="117"/>
      <c r="J18" s="118"/>
    </row>
    <row r="19" spans="2:10" ht="11.25" customHeight="1" x14ac:dyDescent="0.25">
      <c r="B19" s="91"/>
      <c r="E19" s="115"/>
      <c r="F19" s="119" t="str">
        <f>+Инвойс!D30</f>
        <v>Карт.Коробок</v>
      </c>
      <c r="G19" s="158" t="str">
        <f>+Инвойс!C30</f>
        <v>0807190001</v>
      </c>
      <c r="H19" s="159"/>
      <c r="I19" s="120" t="s">
        <v>103</v>
      </c>
      <c r="J19" s="118">
        <f>+Инвойс!G30</f>
        <v>22402</v>
      </c>
    </row>
    <row r="20" spans="2:10" ht="13.5" customHeight="1" x14ac:dyDescent="0.25">
      <c r="B20" s="83"/>
      <c r="E20" s="121"/>
      <c r="F20" s="116"/>
      <c r="G20" s="160"/>
      <c r="H20" s="160"/>
      <c r="I20" s="117"/>
      <c r="J20" s="118"/>
    </row>
    <row r="21" spans="2:10" ht="13.5" customHeight="1" x14ac:dyDescent="0.25">
      <c r="B21" s="83" t="s">
        <v>104</v>
      </c>
      <c r="E21" s="121"/>
      <c r="F21" s="119"/>
      <c r="G21" s="158"/>
      <c r="H21" s="159"/>
      <c r="I21" s="120"/>
      <c r="J21" s="118"/>
    </row>
    <row r="22" spans="2:10" ht="12.75" customHeight="1" x14ac:dyDescent="0.25">
      <c r="B22" s="83"/>
      <c r="E22" s="121"/>
      <c r="F22" s="116"/>
      <c r="G22" s="160"/>
      <c r="H22" s="160"/>
      <c r="I22" s="117"/>
      <c r="J22" s="118"/>
    </row>
    <row r="23" spans="2:10" ht="14.25" customHeight="1" x14ac:dyDescent="0.25">
      <c r="B23" s="83"/>
      <c r="E23" s="121"/>
      <c r="F23" s="119"/>
      <c r="G23" s="158"/>
      <c r="H23" s="159"/>
      <c r="I23" s="120"/>
      <c r="J23" s="118"/>
    </row>
    <row r="24" spans="2:10" ht="12.75" customHeight="1" x14ac:dyDescent="0.25">
      <c r="B24" s="87"/>
      <c r="E24" s="121"/>
      <c r="F24" s="116"/>
      <c r="G24" s="160"/>
      <c r="H24" s="160"/>
      <c r="I24" s="117"/>
      <c r="J24" s="118"/>
    </row>
    <row r="25" spans="2:10" ht="12.75" customHeight="1" x14ac:dyDescent="0.25">
      <c r="B25" s="87"/>
      <c r="E25" s="121"/>
      <c r="F25" s="119"/>
      <c r="G25" s="158"/>
      <c r="H25" s="159"/>
      <c r="I25" s="120"/>
      <c r="J25" s="118"/>
    </row>
    <row r="26" spans="2:10" ht="12" customHeight="1" x14ac:dyDescent="0.25">
      <c r="B26" s="87"/>
      <c r="E26" s="121"/>
      <c r="F26" s="116"/>
      <c r="G26" s="160"/>
      <c r="H26" s="160"/>
      <c r="I26" s="117"/>
      <c r="J26" s="118"/>
    </row>
    <row r="27" spans="2:10" ht="14.25" customHeight="1" x14ac:dyDescent="0.25">
      <c r="B27" s="87"/>
      <c r="E27" s="121"/>
      <c r="F27" s="119"/>
      <c r="G27" s="158"/>
      <c r="H27" s="159"/>
      <c r="I27" s="120"/>
      <c r="J27" s="118"/>
    </row>
    <row r="28" spans="2:10" ht="12.75" customHeight="1" x14ac:dyDescent="0.25">
      <c r="B28" s="87"/>
      <c r="E28" s="121"/>
      <c r="F28" s="116"/>
      <c r="G28" s="160"/>
      <c r="H28" s="160"/>
      <c r="I28" s="117"/>
      <c r="J28" s="118"/>
    </row>
    <row r="29" spans="2:10" ht="12.75" customHeight="1" x14ac:dyDescent="0.25">
      <c r="B29" s="87"/>
      <c r="E29" s="121"/>
      <c r="F29" s="119"/>
      <c r="G29" s="158"/>
      <c r="H29" s="159"/>
      <c r="I29" s="120"/>
      <c r="J29" s="118"/>
    </row>
    <row r="30" spans="2:10" ht="12.75" customHeight="1" x14ac:dyDescent="0.25">
      <c r="B30" s="87"/>
      <c r="E30" s="121"/>
      <c r="F30" s="116"/>
      <c r="G30" s="160"/>
      <c r="H30" s="160"/>
      <c r="I30" s="117"/>
      <c r="J30" s="118"/>
    </row>
    <row r="31" spans="2:10" ht="13.5" customHeight="1" x14ac:dyDescent="0.25">
      <c r="B31" s="87"/>
      <c r="E31" s="121"/>
      <c r="F31" s="119"/>
      <c r="G31" s="158"/>
      <c r="H31" s="159"/>
      <c r="I31" s="120"/>
      <c r="J31" s="118"/>
    </row>
    <row r="32" spans="2:10" ht="13.5" customHeight="1" x14ac:dyDescent="0.25">
      <c r="B32" s="87"/>
      <c r="E32" s="121"/>
      <c r="F32" s="116"/>
      <c r="G32" s="160"/>
      <c r="H32" s="160"/>
      <c r="I32" s="117"/>
      <c r="J32" s="118"/>
    </row>
    <row r="33" spans="2:10" ht="13.5" customHeight="1" x14ac:dyDescent="0.25">
      <c r="B33" s="87"/>
      <c r="E33" s="121"/>
      <c r="F33" s="119"/>
      <c r="G33" s="158"/>
      <c r="H33" s="159"/>
      <c r="I33" s="120"/>
      <c r="J33" s="118"/>
    </row>
    <row r="34" spans="2:10" ht="13.5" customHeight="1" x14ac:dyDescent="0.25">
      <c r="B34" s="87"/>
      <c r="E34" s="121"/>
      <c r="F34" s="116"/>
      <c r="G34" s="160"/>
      <c r="H34" s="160"/>
      <c r="I34" s="117"/>
      <c r="J34" s="118"/>
    </row>
    <row r="35" spans="2:10" ht="12.75" customHeight="1" x14ac:dyDescent="0.25">
      <c r="B35" s="87"/>
      <c r="E35" s="121"/>
      <c r="F35" s="119"/>
      <c r="G35" s="158"/>
      <c r="H35" s="159"/>
      <c r="I35" s="120"/>
      <c r="J35" s="118"/>
    </row>
    <row r="36" spans="2:10" x14ac:dyDescent="0.25">
      <c r="B36" s="87"/>
      <c r="E36" s="121"/>
      <c r="F36" s="116"/>
      <c r="G36" s="160"/>
      <c r="H36" s="160"/>
      <c r="I36" s="117"/>
      <c r="J36" s="118"/>
    </row>
    <row r="37" spans="2:10" ht="13.5" customHeight="1" x14ac:dyDescent="0.25">
      <c r="B37" s="87"/>
      <c r="E37" s="121"/>
      <c r="F37" s="119"/>
      <c r="G37" s="158"/>
      <c r="H37" s="159"/>
      <c r="I37" s="120"/>
      <c r="J37" s="118"/>
    </row>
    <row r="38" spans="2:10" x14ac:dyDescent="0.25">
      <c r="B38" s="87"/>
      <c r="E38" s="121"/>
      <c r="F38" s="116"/>
      <c r="G38" s="160"/>
      <c r="H38" s="160"/>
      <c r="I38" s="117"/>
      <c r="J38" s="118"/>
    </row>
    <row r="39" spans="2:10" ht="13.5" customHeight="1" x14ac:dyDescent="0.25">
      <c r="B39" s="87"/>
      <c r="E39" s="121"/>
      <c r="F39" s="119"/>
      <c r="G39" s="158"/>
      <c r="H39" s="159"/>
      <c r="I39" s="120"/>
      <c r="J39" s="118"/>
    </row>
    <row r="40" spans="2:10" ht="14.25" customHeight="1" x14ac:dyDescent="0.25">
      <c r="B40" s="87"/>
      <c r="E40" s="121"/>
      <c r="F40" s="116"/>
      <c r="G40" s="160"/>
      <c r="H40" s="160"/>
      <c r="I40" s="117"/>
      <c r="J40" s="118"/>
    </row>
    <row r="41" spans="2:10" ht="14.25" customHeight="1" x14ac:dyDescent="0.25">
      <c r="B41" s="87"/>
      <c r="E41" s="121"/>
      <c r="F41" s="119"/>
      <c r="G41" s="158"/>
      <c r="H41" s="159"/>
      <c r="I41" s="120"/>
      <c r="J41" s="118"/>
    </row>
    <row r="42" spans="2:10" x14ac:dyDescent="0.25">
      <c r="B42" s="87"/>
      <c r="E42" s="121"/>
      <c r="F42" s="116"/>
      <c r="G42" s="160"/>
      <c r="H42" s="160"/>
      <c r="I42" s="117"/>
      <c r="J42" s="118"/>
    </row>
    <row r="43" spans="2:10" x14ac:dyDescent="0.25">
      <c r="B43" s="87"/>
      <c r="E43" s="121"/>
      <c r="F43" s="119"/>
      <c r="G43" s="158"/>
      <c r="H43" s="159"/>
      <c r="I43" s="120"/>
      <c r="J43" s="118"/>
    </row>
    <row r="44" spans="2:10" ht="9" customHeight="1" x14ac:dyDescent="0.25">
      <c r="B44" s="87"/>
      <c r="E44" s="95"/>
      <c r="F44" s="92"/>
      <c r="G44" s="162"/>
      <c r="H44" s="162"/>
      <c r="I44" s="94"/>
      <c r="J44" s="122"/>
    </row>
    <row r="45" spans="2:10" ht="15" customHeight="1" x14ac:dyDescent="0.25">
      <c r="B45" s="87"/>
      <c r="E45" s="95"/>
      <c r="F45" s="92"/>
      <c r="G45" s="93"/>
      <c r="H45" s="94"/>
      <c r="I45" s="120"/>
      <c r="J45" s="118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974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51" t="s">
        <v>168</v>
      </c>
      <c r="C1" s="151"/>
      <c r="D1" s="151"/>
      <c r="E1" s="151"/>
      <c r="F1" s="150" t="str">
        <f>+Инвойс!F1</f>
        <v xml:space="preserve"> 30.08.2025г.</v>
      </c>
      <c r="G1" s="150"/>
      <c r="H1" s="150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tr">
        <f>+Инвойс!C2</f>
        <v>к контракту № АG/B-2/0725 от 25.07.2025 года</v>
      </c>
      <c r="D2" s="152"/>
      <c r="E2" s="152"/>
      <c r="F2" s="152"/>
      <c r="G2" s="152"/>
      <c r="H2" s="152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3" t="str">
        <f>+Инвойс!A5</f>
        <v>ООО “AAZZ GROUP”</v>
      </c>
      <c r="B5" s="153"/>
      <c r="C5" s="153"/>
      <c r="D5" s="153"/>
      <c r="E5" s="153"/>
      <c r="F5" s="6"/>
      <c r="G5" s="144" t="str">
        <f>+Инвойс!G5</f>
        <v>ООО «БЕНУА»</v>
      </c>
      <c r="H5" s="144"/>
      <c r="I5" s="144"/>
      <c r="J5" s="144"/>
      <c r="K5" s="144"/>
      <c r="L5" s="144"/>
      <c r="M5" s="144"/>
    </row>
    <row r="6" spans="1:15" ht="15" x14ac:dyDescent="0.25">
      <c r="A6" s="170" t="str">
        <f>+Инвойс!A6</f>
        <v xml:space="preserve">Респyблика Узбекистан, Хорезмская область, </v>
      </c>
      <c r="B6" s="170"/>
      <c r="C6" s="170"/>
      <c r="D6" s="170"/>
      <c r="E6" s="170"/>
      <c r="F6" s="7"/>
      <c r="G6" s="169" t="str">
        <f>+Инвойс!G6</f>
        <v>199004, г. Санкт-Петербург, наб. Макарова, д. 14,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0" t="str">
        <f>+Инвойс!A7</f>
        <v>Ургенчский р-н, Мевазор МФИ, улица Мустакиллик, д.6/2</v>
      </c>
      <c r="B7" s="170"/>
      <c r="C7" s="170"/>
      <c r="D7" s="170"/>
      <c r="E7" s="170"/>
      <c r="F7" s="63"/>
      <c r="G7" s="169" t="str">
        <f>+Инвойс!G7</f>
        <v>литера А, пом. 1-Н, рабочее место 11.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 xml:space="preserve">Р/с 20208840707099612003  (USD)  </v>
      </c>
      <c r="B8" s="170"/>
      <c r="C8" s="170"/>
      <c r="D8" s="170"/>
      <c r="E8" s="170"/>
      <c r="F8" s="63"/>
      <c r="G8" s="169" t="str">
        <f>+Инвойс!G8</f>
        <v xml:space="preserve">ОГРН 1247800053544 / ИНН: 7801734052 / 780101001 </v>
      </c>
      <c r="H8" s="169"/>
      <c r="I8" s="169"/>
      <c r="J8" s="169"/>
      <c r="K8" s="169"/>
      <c r="L8" s="169"/>
      <c r="M8" s="169"/>
    </row>
    <row r="9" spans="1:15" ht="15" x14ac:dyDescent="0.25">
      <c r="A9" s="170" t="str">
        <f>+Инвойс!A9</f>
        <v xml:space="preserve">Банк: АКБ «Гарант Банк » </v>
      </c>
      <c r="B9" s="170"/>
      <c r="C9" s="170"/>
      <c r="D9" s="170"/>
      <c r="E9" s="170"/>
      <c r="F9" s="7"/>
      <c r="G9" s="169" t="str">
        <f>+Инвойс!G9</f>
        <v>Банк: Азия-Инвест Банк (АО) Свифт: ASIJRUMM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0" t="str">
        <f>+Инвойс!A10</f>
        <v>МФО: 00439; SWIFTCode: JSCSUZ22</v>
      </c>
      <c r="B10" s="170"/>
      <c r="C10" s="170"/>
      <c r="D10" s="170"/>
      <c r="E10" s="170"/>
      <c r="F10" s="7"/>
      <c r="G10" s="169" t="str">
        <f>+Инвойс!G10</f>
        <v xml:space="preserve">Счет получателя (RUB)№ 40702810302100012537 </v>
      </c>
      <c r="H10" s="169"/>
      <c r="I10" s="169"/>
      <c r="J10" s="169"/>
      <c r="K10" s="169"/>
      <c r="L10" s="169"/>
      <c r="M10" s="169"/>
    </row>
    <row r="11" spans="1:15" ht="15" x14ac:dyDescent="0.25">
      <c r="A11" s="170" t="str">
        <f>+Инвойс!A11</f>
        <v>ИНН: 311440436</v>
      </c>
      <c r="B11" s="170"/>
      <c r="C11" s="170"/>
      <c r="D11" s="170"/>
      <c r="E11" s="170"/>
      <c r="F11" s="7"/>
      <c r="G11" s="169" t="str">
        <f>+Инвойс!G11</f>
        <v xml:space="preserve">К/С 21002840900090007001 Банк-корреспондент: УЗНАЦБАНК </v>
      </c>
      <c r="H11" s="169"/>
      <c r="I11" s="169"/>
      <c r="J11" s="169"/>
      <c r="K11" s="169"/>
      <c r="L11" s="169"/>
      <c r="M11" s="169"/>
    </row>
    <row r="12" spans="1:15" ht="60.6" customHeight="1" x14ac:dyDescent="0.25">
      <c r="A12" s="149"/>
      <c r="B12" s="149"/>
      <c r="C12" s="149"/>
      <c r="D12" s="149"/>
      <c r="E12" s="8"/>
      <c r="F12" s="7"/>
      <c r="G12" s="149"/>
      <c r="H12" s="149"/>
      <c r="I12" s="149"/>
      <c r="J12" s="149"/>
      <c r="K12" s="149"/>
      <c r="L12" s="149"/>
      <c r="M12" s="149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3" t="str">
        <f>+Инвойс!A14</f>
        <v>ООО “AAZZ GROUP”</v>
      </c>
      <c r="B14" s="153"/>
      <c r="C14" s="153"/>
      <c r="D14" s="153"/>
      <c r="E14" s="153"/>
      <c r="F14" s="6"/>
      <c r="G14" s="144" t="str">
        <f>+Инвойс!G14</f>
        <v>OOO «Сармант-ЮГ»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0" t="str">
        <f>+Инвойс!A15</f>
        <v xml:space="preserve">Респyблика Узбекистан, Хорезмская область, </v>
      </c>
      <c r="B15" s="170"/>
      <c r="C15" s="170"/>
      <c r="D15" s="170"/>
      <c r="E15" s="170"/>
      <c r="F15" s="7"/>
      <c r="G15" s="169" t="str">
        <f>+Инвойс!G15</f>
        <v xml:space="preserve">196006, город Санкт-Петербург, улица Новорощинская, </v>
      </c>
      <c r="H15" s="169"/>
      <c r="I15" s="169"/>
      <c r="J15" s="169"/>
      <c r="K15" s="169"/>
      <c r="L15" s="169"/>
      <c r="M15" s="169"/>
    </row>
    <row r="16" spans="1:15" ht="15" customHeight="1" x14ac:dyDescent="0.25">
      <c r="A16" s="170" t="str">
        <f>+Инвойс!A16</f>
        <v>Ургенчский р-н, Мевазор МФИ, улица Мустакиллик, д.6/2</v>
      </c>
      <c r="B16" s="170"/>
      <c r="C16" s="170"/>
      <c r="D16" s="170"/>
      <c r="E16" s="170"/>
      <c r="F16" s="63"/>
      <c r="G16" s="169" t="str">
        <f>+Инвойс!G16</f>
        <v>дом 4, литер А, 1Н помещение 363 офис 609-1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 xml:space="preserve">Р/с 20208840707099612003  (USD)  </v>
      </c>
      <c r="B17" s="170"/>
      <c r="C17" s="170"/>
      <c r="D17" s="170"/>
      <c r="E17" s="170"/>
      <c r="F17" s="63"/>
      <c r="G17" s="169" t="str">
        <f>+Инвойс!G17</f>
        <v>р/с USD 40702810226710000073</v>
      </c>
      <c r="H17" s="169"/>
      <c r="I17" s="169"/>
      <c r="J17" s="169"/>
      <c r="K17" s="169"/>
      <c r="L17" s="169"/>
      <c r="M17" s="169"/>
    </row>
    <row r="18" spans="1:17" ht="15" customHeight="1" x14ac:dyDescent="0.25">
      <c r="A18" s="170" t="str">
        <f>+Инвойс!A18</f>
        <v xml:space="preserve">Банк: АКБ «Гарант Банк » </v>
      </c>
      <c r="B18" s="170"/>
      <c r="C18" s="170"/>
      <c r="D18" s="170"/>
      <c r="E18" s="170"/>
      <c r="F18" s="7"/>
      <c r="G18" s="169" t="str">
        <f>+Инвойс!G18</f>
        <v>Банк: Филиал «Центральный» Банка ВТБ (ПАО) в г. Москве</v>
      </c>
      <c r="H18" s="169"/>
      <c r="I18" s="169"/>
      <c r="J18" s="169"/>
      <c r="K18" s="169"/>
      <c r="L18" s="169"/>
      <c r="M18" s="169"/>
    </row>
    <row r="19" spans="1:17" ht="15" customHeight="1" x14ac:dyDescent="0.25">
      <c r="A19" s="170" t="str">
        <f>+Инвойс!A19</f>
        <v>МФО: 00439; SWIFTCode: JSCSUZ22</v>
      </c>
      <c r="B19" s="170"/>
      <c r="C19" s="170"/>
      <c r="D19" s="170"/>
      <c r="E19" s="170"/>
      <c r="F19" s="7"/>
      <c r="G19" s="169" t="str">
        <f>+Инвойс!G19</f>
        <v>SWIFT: VTBRRUM2MS2</v>
      </c>
      <c r="H19" s="169"/>
      <c r="I19" s="169"/>
      <c r="J19" s="169"/>
      <c r="K19" s="169"/>
      <c r="L19" s="169"/>
      <c r="M19" s="169"/>
    </row>
    <row r="20" spans="1:17" ht="15" customHeight="1" x14ac:dyDescent="0.25">
      <c r="A20" s="170" t="str">
        <f>+Инвойс!A20</f>
        <v xml:space="preserve">ИНН: 311440436 </v>
      </c>
      <c r="B20" s="170"/>
      <c r="C20" s="170"/>
      <c r="D20" s="170"/>
      <c r="E20" s="170"/>
      <c r="F20" s="7"/>
      <c r="G20" s="169" t="str">
        <f>+Инвойс!G20</f>
        <v>ИНН/КПП 7805640197/ 781001001 ОГРН 1147847003193</v>
      </c>
      <c r="H20" s="169"/>
      <c r="I20" s="169"/>
      <c r="J20" s="169"/>
      <c r="K20" s="169"/>
      <c r="L20" s="169"/>
      <c r="M20" s="169"/>
    </row>
    <row r="21" spans="1:17" ht="64.150000000000006" customHeight="1" x14ac:dyDescent="0.25">
      <c r="A21" s="149"/>
      <c r="B21" s="149"/>
      <c r="C21" s="149"/>
      <c r="D21" s="149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1" t="s">
        <v>161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75" x14ac:dyDescent="0.25">
      <c r="A24" s="20" t="s">
        <v>22</v>
      </c>
      <c r="C24" s="18" t="str">
        <f>+Инвойс!C24</f>
        <v>DAP - с Атамакен, Республика Казахстан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70B644SA/706341AA</v>
      </c>
      <c r="F26" s="138"/>
      <c r="G26" s="13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39.75" customHeight="1" x14ac:dyDescent="0.2">
      <c r="A30" s="124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974</v>
      </c>
      <c r="F30" s="109" t="str">
        <f>+Инвойс!F30</f>
        <v>кг</v>
      </c>
      <c r="G30" s="105">
        <f>+Инвойс!G30</f>
        <v>22402</v>
      </c>
      <c r="H30" s="105">
        <f>+Инвойс!H30</f>
        <v>20649</v>
      </c>
      <c r="I30" s="107">
        <f>+Инвойс!I30</f>
        <v>0.25</v>
      </c>
      <c r="J30" s="13">
        <f>+Инвойс!J30</f>
        <v>5162.25</v>
      </c>
      <c r="K30" s="12">
        <f>+Инвойс!K30</f>
        <v>0</v>
      </c>
      <c r="L30" s="12">
        <f>+Инвойс!L30</f>
        <v>0</v>
      </c>
      <c r="M30" s="13">
        <f>+Инвойс!M30</f>
        <v>5162.25</v>
      </c>
      <c r="O30" s="99"/>
      <c r="Q30" s="99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974</v>
      </c>
      <c r="F31" s="15"/>
      <c r="G31" s="128">
        <f>+Инвойс!G31</f>
        <v>22402</v>
      </c>
      <c r="H31" s="128">
        <f>+Инвойс!H31</f>
        <v>20649</v>
      </c>
      <c r="I31" s="101"/>
      <c r="J31" s="13">
        <f>+Инвойс!J31</f>
        <v>5162.25</v>
      </c>
      <c r="K31" s="16"/>
      <c r="L31" s="16"/>
      <c r="M31" s="13">
        <f>+Инвойс!M31</f>
        <v>5162.25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сто шестьдесят два доллара США,25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13.5" x14ac:dyDescent="0.25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x14ac:dyDescent="0.2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6" spans="1:14" ht="14.25" x14ac:dyDescent="0.2">
      <c r="A36" s="130" t="s">
        <v>162</v>
      </c>
      <c r="D36" s="18" t="s">
        <v>141</v>
      </c>
      <c r="G36" s="129" t="s">
        <v>163</v>
      </c>
      <c r="H36" s="129"/>
      <c r="L36" s="18" t="s">
        <v>165</v>
      </c>
    </row>
    <row r="37" spans="1:14" ht="15" x14ac:dyDescent="0.25">
      <c r="A37" s="130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  <row r="50" spans="7:12" x14ac:dyDescent="0.2">
      <c r="G50" s="18" t="str">
        <f>+Инвойс!G13</f>
        <v xml:space="preserve">Грузополучатель: </v>
      </c>
      <c r="L50" s="131" t="s">
        <v>164</v>
      </c>
    </row>
    <row r="51" spans="7:12" x14ac:dyDescent="0.2">
      <c r="G51" s="18" t="str">
        <f>+Инвойс!G14</f>
        <v>OOO «Сармант-ЮГ»</v>
      </c>
    </row>
  </sheetData>
  <mergeCells count="54">
    <mergeCell ref="F1:H1"/>
    <mergeCell ref="C2:H2"/>
    <mergeCell ref="A4:E4"/>
    <mergeCell ref="G4:M4"/>
    <mergeCell ref="A5:E5"/>
    <mergeCell ref="G5:M5"/>
    <mergeCell ref="A13:E13"/>
    <mergeCell ref="G13:M13"/>
    <mergeCell ref="G9:M9"/>
    <mergeCell ref="G10:M10"/>
    <mergeCell ref="G11:M11"/>
    <mergeCell ref="C23:M23"/>
    <mergeCell ref="A17:E17"/>
    <mergeCell ref="A18:E18"/>
    <mergeCell ref="A19:E19"/>
    <mergeCell ref="A20:E20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35:M35"/>
    <mergeCell ref="K28:L28"/>
    <mergeCell ref="M28:M29"/>
    <mergeCell ref="A31:B31"/>
    <mergeCell ref="E32:M32"/>
    <mergeCell ref="A34:M34"/>
  </mergeCells>
  <pageMargins left="0.7" right="0.7" top="0.75" bottom="0.75" header="0.3" footer="0.3"/>
  <pageSetup paperSize="9" scale="63" orientation="portrait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M5" sqref="M5"/>
    </sheetView>
  </sheetViews>
  <sheetFormatPr defaultRowHeight="12.75" x14ac:dyDescent="0.2"/>
  <sheetData>
    <row r="1" spans="1:18" ht="30" customHeight="1" x14ac:dyDescent="0.2">
      <c r="A1" s="136" t="s">
        <v>120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8" x14ac:dyDescent="0.2">
      <c r="A2" s="18"/>
    </row>
    <row r="3" spans="1:18" ht="30.75" customHeight="1" x14ac:dyDescent="0.2">
      <c r="A3" s="136" t="s">
        <v>131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M3" s="18" t="s">
        <v>153</v>
      </c>
      <c r="R3" s="25" t="s">
        <v>154</v>
      </c>
    </row>
    <row r="5" spans="1:18" ht="24.75" customHeight="1" x14ac:dyDescent="0.2">
      <c r="A5" s="136" t="s">
        <v>114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M5" s="18" t="s">
        <v>158</v>
      </c>
      <c r="R5" s="25" t="s">
        <v>155</v>
      </c>
    </row>
    <row r="6" spans="1:18" x14ac:dyDescent="0.2">
      <c r="A6" s="18"/>
    </row>
    <row r="7" spans="1:18" ht="38.25" customHeight="1" x14ac:dyDescent="0.2">
      <c r="A7" s="136" t="s">
        <v>121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M7" s="18" t="s">
        <v>159</v>
      </c>
      <c r="R7" s="25" t="s">
        <v>156</v>
      </c>
    </row>
    <row r="9" spans="1:18" ht="23.25" customHeight="1" x14ac:dyDescent="0.2">
      <c r="A9" s="136" t="s">
        <v>122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M9" s="18" t="s">
        <v>160</v>
      </c>
      <c r="R9" s="25" t="s">
        <v>157</v>
      </c>
    </row>
    <row r="10" spans="1:18" x14ac:dyDescent="0.2">
      <c r="A10" s="18"/>
    </row>
    <row r="11" spans="1:18" ht="27" customHeight="1" x14ac:dyDescent="0.2">
      <c r="A11" s="136" t="s">
        <v>123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</row>
    <row r="13" spans="1:18" ht="25.5" customHeight="1" x14ac:dyDescent="0.2">
      <c r="A13" s="136" t="s">
        <v>124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</row>
    <row r="14" spans="1:18" x14ac:dyDescent="0.2">
      <c r="A14" s="18"/>
    </row>
    <row r="15" spans="1:18" ht="24.75" customHeight="1" x14ac:dyDescent="0.2">
      <c r="A15" s="136" t="s">
        <v>126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</row>
    <row r="17" spans="1:14" ht="27.75" customHeight="1" x14ac:dyDescent="0.2">
      <c r="A17" s="173" t="s">
        <v>132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M17" s="70"/>
    </row>
    <row r="18" spans="1:14" x14ac:dyDescent="0.2">
      <c r="A18" s="18"/>
      <c r="M18" s="70"/>
    </row>
    <row r="19" spans="1:14" ht="27.75" customHeight="1" x14ac:dyDescent="0.2">
      <c r="A19" s="173" t="s">
        <v>133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</row>
    <row r="20" spans="1:14" x14ac:dyDescent="0.2">
      <c r="N20" s="172"/>
    </row>
    <row r="21" spans="1:14" ht="12.75" customHeight="1" x14ac:dyDescent="0.2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N21" s="157"/>
    </row>
    <row r="22" spans="1:14" x14ac:dyDescent="0.2">
      <c r="A22" s="18"/>
    </row>
    <row r="25" spans="1:14" ht="12.75" customHeight="1" x14ac:dyDescent="0.2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</row>
    <row r="26" spans="1:14" x14ac:dyDescent="0.2">
      <c r="A26" s="18"/>
    </row>
    <row r="29" spans="1:14" ht="12.75" customHeight="1" x14ac:dyDescent="0.2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</row>
    <row r="30" spans="1:14" x14ac:dyDescent="0.2">
      <c r="A30" s="18"/>
    </row>
    <row r="32" spans="1:14" x14ac:dyDescent="0.2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</row>
    <row r="33" spans="1:11" x14ac:dyDescent="0.2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</row>
    <row r="36" spans="1:11" x14ac:dyDescent="0.2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5162.25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сто шестьдесят два доллара США,25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сто шестьдесят два доллара США,25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сто шестьдесят два доллара США,25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сто шестьдесят два доллара США,25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сто шестьдесят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45899</v>
      </c>
    </row>
    <row r="13" spans="1:19" s="43" customFormat="1" x14ac:dyDescent="0.2">
      <c r="A13" s="49"/>
      <c r="D13" s="51"/>
      <c r="E13" s="52">
        <f>TRUNC(E2)</f>
        <v>5162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516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">
      <c r="A29" s="54">
        <f>E13</f>
        <v>5162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162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2025-08-29T20:32:56Z</cp:lastPrinted>
  <dcterms:created xsi:type="dcterms:W3CDTF">1996-10-14T23:33:28Z</dcterms:created>
  <dcterms:modified xsi:type="dcterms:W3CDTF">2025-08-29T20:32:57Z</dcterms:modified>
</cp:coreProperties>
</file>