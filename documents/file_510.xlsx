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<sst xmlns="http://schemas.openxmlformats.org/spreadsheetml/2006/main" count="202" uniqueCount="165">
  <si>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</si>
  <si>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</si>
  <si>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</si>
  <si>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</si>
  <si>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</si>
  <si>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</si>
  <si>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</si>
  <si>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</si>
  <si>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</si>
  <si>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</si>
  <si>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</si>
  <si>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</si>
  <si>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</si>
  <si>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</si>
  <si>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</si>
  <si>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</si>
  <si>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</si>
  <si>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</si>
  <si>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</si>
  <si>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</si>
  <si>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</si>
  <si>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</si>
  <si>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</si>
  <si>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</si>
  <si>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</si>
  <si>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</si>
  <si>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</si>
  <si>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</si>
  <si>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</si>
  <si>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</si>
  <si>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</si>
  <si>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</si>
  <si>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</si>
  <si>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</si>
  <si>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</si>
  <si>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</si>
  <si>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</si>
  <si>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</si>
  <si>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</si>
  <si>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</si>
  <si>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</si>
  <si>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</si>
  <si>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</si>
  <si>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</si>
  <si>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</si>
  <si>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</si>
  <si>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</si>
  <si>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</si>
  <si>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</si>
  <si>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</si>
  <si>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</si>
  <si>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</si>
  <si>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</si>
  <si>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</si>
  <si>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</si>
  <si>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</si>
  <si>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</si>
  <si>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</si>
  <si>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</si>
  <si>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</si>
  <si>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</si>
  <si>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</si>
  <si>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</si>
  <si>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</si>
  <si>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</si>
  <si>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</si>
  <si>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</si>
  <si>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</si>
  <si>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</si>
  <si>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</si>
  <si>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</si>
  <si>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</si>
  <si>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</si>
  <si>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</si>
  <si>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</si>
  <si>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</si>
  <si>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</si>
  <si>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</si>
  <si>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</si>
  <si>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</si>
  <si>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</si>
  <si>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</si>
  <si>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</si>
  <si>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</si>
  <si>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</si>
  <si>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</si>
  <si>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</si>
  <si>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</si>
  <si>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</si>
  <si>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</si>
  <si>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</si>
  <si>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</si>
  <si>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</si>
  <si>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</si>
  <si>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</si>
  <si>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</si>
  <si>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</si>
  <si>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</si>
  <si>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</si>
  <si>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</si>
  <si>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</si>
  <si>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</si>
  <si>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</si>
  <si>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</si>
  <si>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</si>
  <si>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</si>
  <si>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</si>
  <si>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</si>
  <si>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</si>
  <si>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</si>
  <si>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</si>
  <si>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</si>
  <si>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</si>
  <si>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</si>
  <si>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</si>
  <si>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</si>
  <si>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</si>
  <si>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</si>
  <si>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</si>
  <si>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</si>
  <si>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</si>
  <si>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</si>
  <si>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</si>
  <si>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</si>
  <si>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</si>
  <si>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</si>
  <si>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</si>
  <si>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</si>
  <si>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</si>
  <si>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</si>
  <si>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</si>
  <si>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</si>
  <si>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</si>
  <si>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</si>
  <si>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</si>
  <si>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</si>
  <si>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</si>
  <si>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</si>
  <si>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</si>
  <si>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</si>
  <si>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</si>
  <si>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</si>
  <si>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</si>
  <si>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</si>
  <si>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</si>
  <si>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</si>
  <si>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</si>
  <si>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</si>
  <si>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</si>
  <si>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</si>
  <si>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</si>
  <si>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</si>
  <si>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</si>
  <si>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</si>
  <si>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</si>
  <si>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</si>
  <si>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</si>
  <si>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</si>
  <si>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</si>
  <si>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</si>
  <si>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>ИНН: 312294736</t>
  </si>
  <si>
    <t xml:space="preserve"> 10.09.2025г.</t>
  </si>
  <si>
    <t>30119DBA/309644AA</t>
  </si>
  <si>
    <t xml:space="preserve">ИНВОЙС № EXZ-F-13 от </t>
  </si>
  <si>
    <t xml:space="preserve">СПЕЦИФИКАЦИЯ № EXZ-F-13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</si>
</sst>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22410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0" zoomScaleNormal="10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163</v>
      </c>
      <c r="D1" s="153"/>
      <c r="E1" s="153"/>
      <c r="F1" s="152" t="s">
        <v>161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141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130</v>
      </c>
      <c r="B5" s="154"/>
      <c r="C5" s="154"/>
      <c r="D5" s="154"/>
      <c r="E5" s="154"/>
      <c r="F5" s="6"/>
      <c r="G5" s="147" t="s">
        <v>142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131</v>
      </c>
      <c r="B6" s="141"/>
      <c r="C6" s="141"/>
      <c r="D6" s="141"/>
      <c r="E6" s="141"/>
      <c r="F6" s="7"/>
      <c r="G6" s="140" t="s">
        <v>143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1" t="s">
        <v>132</v>
      </c>
      <c r="B7" s="141"/>
      <c r="C7" s="141"/>
      <c r="D7" s="141"/>
      <c r="E7" s="141"/>
      <c r="F7" s="63"/>
      <c r="G7" s="140" t="s">
        <v>144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5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135</v>
      </c>
      <c r="B10" s="124"/>
      <c r="C10" s="124"/>
      <c r="D10" s="124"/>
      <c r="E10" s="124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130</v>
      </c>
      <c r="B14" s="154"/>
      <c r="C14" s="154"/>
      <c r="D14" s="154"/>
      <c r="E14" s="154"/>
      <c r="F14" s="6"/>
      <c r="G14" s="147" t="s">
        <v>149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">
        <v>131</v>
      </c>
      <c r="B15" s="141"/>
      <c r="C15" s="141"/>
      <c r="D15" s="141"/>
      <c r="E15" s="141"/>
      <c r="F15" s="7"/>
      <c r="G15" s="140" t="s">
        <v>150</v>
      </c>
      <c r="H15" s="141"/>
      <c r="I15" s="141"/>
      <c r="J15" s="141"/>
      <c r="K15" s="141"/>
      <c r="L15" s="141"/>
      <c r="M15" s="141"/>
    </row>
    <row r="16" spans="1:15" ht="15" x14ac:dyDescent="0.25">
      <c r="A16" s="141" t="s">
        <v>132</v>
      </c>
      <c r="B16" s="141"/>
      <c r="C16" s="141"/>
      <c r="D16" s="141"/>
      <c r="E16" s="141"/>
      <c r="F16" s="63"/>
      <c r="G16" s="140" t="s">
        <v>151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5" x14ac:dyDescent="0.25">
      <c r="A19" s="124" t="s">
        <v>135</v>
      </c>
      <c r="B19" s="124"/>
      <c r="C19" s="124"/>
      <c r="D19" s="124"/>
      <c r="E19" s="124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5" x14ac:dyDescent="0.25">
      <c r="A21" s="99" t="s">
        <v>160</v>
      </c>
      <c r="B21" s="8"/>
      <c r="C21" s="8"/>
      <c r="D21" s="8"/>
      <c r="E21" s="8"/>
      <c r="G21" s="143"/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7" t="s">
        <v>127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75" x14ac:dyDescent="0.25">
      <c r="A24" s="20" t="s">
        <v>22</v>
      </c>
      <c r="C24" s="18" t="s">
        <v>159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">
        <v>162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30" x14ac:dyDescent="0.2">
      <c r="A30" s="126">
        <v>1</v>
      </c>
      <c r="B30" s="101" t="s">
        <v>125</v>
      </c>
      <c r="C30" s="107" t="s">
        <v>126</v>
      </c>
      <c r="D30" s="109" t="s">
        <v>112</v>
      </c>
      <c r="E30" s="101">
        <v>1000</v>
      </c>
      <c r="F30" s="115" t="s">
        <v>27</v>
      </c>
      <c r="G30" s="106">
        <v>23400</v>
      </c>
      <c r="H30" s="106">
        <v>21600</v>
      </c>
      <c r="I30" s="108">
        <v>0.25</v>
      </c>
      <c r="J30" s="13">
        <f t="shared" ref="J30" si="0">H30*I30</f>
        <v>5400</v>
      </c>
      <c r="K30" s="12">
        <v>0</v>
      </c>
      <c r="L30" s="12">
        <v>0</v>
      </c>
      <c r="M30" s="13">
        <f t="shared" ref="M30" si="1">J30</f>
        <v>5400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23400</v>
      </c>
      <c r="H31" s="64">
        <f>SUM(H30:H30)</f>
        <v>21600</v>
      </c>
      <c r="I31" s="102"/>
      <c r="J31" s="17">
        <f>SUM(J30:J30)</f>
        <v>5400</v>
      </c>
      <c r="K31" s="16"/>
      <c r="L31" s="16"/>
      <c r="M31" s="17">
        <f>SUM(M30:M30)</f>
        <v>5400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четыреста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138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EXZ-F-13 от  10.09.2025г.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23400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10.09.2025г.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30119DBA/309644AA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1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30119DBA/309644AA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10.09.2025г.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EXZ-F-13 от  10.09.2025г.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1000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23400</v>
      </c>
    </row>
    <row r="20" spans="2:10" ht="13.5" customHeight="1" x14ac:dyDescent="0.25">
      <c r="B20" s="83"/>
      <c r="E20" s="122"/>
      <c r="F20" s="117"/>
      <c r="G20" s="162"/>
      <c r="H20" s="162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2"/>
      <c r="H22" s="162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2"/>
      <c r="H24" s="162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2"/>
      <c r="H26" s="162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2"/>
      <c r="H28" s="162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2"/>
      <c r="H30" s="162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2"/>
      <c r="H32" s="162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2"/>
      <c r="H34" s="162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2"/>
      <c r="H36" s="162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2"/>
      <c r="H38" s="162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2"/>
      <c r="H42" s="162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4"/>
      <c r="H44" s="164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1000</v>
      </c>
      <c r="E47" s="166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164</v>
      </c>
      <c r="C1" s="171"/>
      <c r="D1" s="171"/>
      <c r="E1" s="171"/>
      <c r="F1" s="152" t="str">
        <f>+Инвойс!F1</f>
        <v xml:space="preserve"> 10.09.2025г.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EG-AZ-01 от 05.09.2025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>OOO “EXACT GROUP”</v>
      </c>
      <c r="B5" s="154"/>
      <c r="C5" s="154"/>
      <c r="D5" s="154"/>
      <c r="E5" s="154"/>
      <c r="F5" s="6"/>
      <c r="G5" s="147" t="str">
        <f>+Инвойс!G5</f>
        <v>ООО «Аспект»</v>
      </c>
      <c r="H5" s="147"/>
      <c r="I5" s="147"/>
      <c r="J5" s="147"/>
      <c r="K5" s="147"/>
      <c r="L5" s="147"/>
      <c r="M5" s="147"/>
    </row>
    <row r="6" spans="1:15" ht="15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107497, Россия, г. Москва, вн.тер.г. муниципальный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округ Гольяново, 2-й Иртышский пр-в, д. 4Б, стр. 3 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9718239835  / 771801001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Валютный счет доллары  40702840100000005715 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КБ "Максима"(ООО), г. Москва РФ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MAXMRUM1XXX)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>OOO “EXACT GROUP”</v>
      </c>
      <c r="B14" s="154"/>
      <c r="C14" s="154"/>
      <c r="D14" s="154"/>
      <c r="E14" s="154"/>
      <c r="F14" s="6"/>
      <c r="G14" s="147" t="str">
        <f>+Инвойс!G14</f>
        <v>OOO «Западные ворота»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FCA - г.Ташкент , Республика Узбекистан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8" t="str">
        <f>+Инвойс!E26</f>
        <v>30119DBA/309644AA</v>
      </c>
      <c r="F26" s="139"/>
      <c r="G26" s="139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2.25" x14ac:dyDescent="0.2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1000</v>
      </c>
      <c r="F30" s="115" t="str">
        <f>+Инвойс!F30</f>
        <v>кг</v>
      </c>
      <c r="G30" s="106">
        <f>+Инвойс!G30</f>
        <v>23400</v>
      </c>
      <c r="H30" s="106">
        <f>+Инвойс!H30</f>
        <v>21600</v>
      </c>
      <c r="I30" s="108">
        <f>+Инвойс!I30</f>
        <v>0.25</v>
      </c>
      <c r="J30" s="13">
        <f>+Инвойс!J30</f>
        <v>5400</v>
      </c>
      <c r="K30" s="12">
        <v>0</v>
      </c>
      <c r="L30" s="12">
        <v>0</v>
      </c>
      <c r="M30" s="13">
        <f>+Инвойс!M30</f>
        <v>5400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23400</v>
      </c>
      <c r="H31" s="64">
        <f>SUM(H30:H30)</f>
        <v>21600</v>
      </c>
      <c r="I31" s="102"/>
      <c r="J31" s="17">
        <f>SUM(J30:J30)</f>
        <v>5400</v>
      </c>
      <c r="K31" s="16"/>
      <c r="L31" s="16"/>
      <c r="M31" s="17">
        <f>SUM(M30:M30)</f>
        <v>5400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четыреста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0" t="s">
        <v>139</v>
      </c>
      <c r="B36" s="130"/>
      <c r="D36" s="18" t="str">
        <f>+Инвойс!D36</f>
        <v>АБДИЛАКИМОВ А.А</v>
      </c>
      <c r="E36" s="131"/>
      <c r="G36" s="128" t="s">
        <v>128</v>
      </c>
      <c r="H36" s="18" t="str">
        <f>Инвойс!G5</f>
        <v>ООО «Аспект»</v>
      </c>
      <c r="K36" s="132" t="s">
        <v>157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/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127</v>
      </c>
    </row>
    <row r="5" spans="1:10" ht="89.25" x14ac:dyDescent="0.2">
      <c r="A5" s="125" t="s">
        <v>140</v>
      </c>
    </row>
    <row r="6" spans="1:10" x14ac:dyDescent="0.2">
      <c r="E6" s="18"/>
      <c r="J6" s="25"/>
    </row>
    <row r="7" spans="1:10" ht="51" x14ac:dyDescent="0.2">
      <c r="A7" s="125" t="s">
        <v>117</v>
      </c>
    </row>
    <row r="8" spans="1:10" x14ac:dyDescent="0.2">
      <c r="E8" s="18"/>
      <c r="J8" s="25"/>
    </row>
    <row r="9" spans="1:10" ht="51" x14ac:dyDescent="0.2">
      <c r="A9" s="125" t="s">
        <v>118</v>
      </c>
    </row>
    <row r="10" spans="1:10" x14ac:dyDescent="0.2">
      <c r="A10" s="125"/>
      <c r="E10" s="18"/>
      <c r="J10" s="25"/>
    </row>
    <row r="11" spans="1:10" ht="51" x14ac:dyDescent="0.2">
      <c r="A11" s="125" t="s">
        <v>158</v>
      </c>
    </row>
    <row r="12" spans="1:10" x14ac:dyDescent="0.2">
      <c r="E12" s="18"/>
      <c r="J12" s="25"/>
    </row>
    <row r="13" spans="1:10" ht="51" x14ac:dyDescent="0.2">
      <c r="A13" s="125" t="s">
        <v>119</v>
      </c>
    </row>
    <row r="15" spans="1:10" ht="38.25" x14ac:dyDescent="0.2">
      <c r="A15" s="125" t="s">
        <v>120</v>
      </c>
    </row>
    <row r="17" spans="1:1" ht="38.25" x14ac:dyDescent="0.2">
      <c r="A17" s="125" t="s">
        <v>121</v>
      </c>
    </row>
    <row r="19" spans="1:1" ht="38.25" x14ac:dyDescent="0.2">
      <c r="A19" s="127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5400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четыреста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45910</v>
      </c>
      <c r="O3" s="177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четыреста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10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четыреста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четыреста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четыреста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5400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540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5400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2025-09-10T06:27:20Z</cp:lastPrinted>
  <dcterms:created xsi:type="dcterms:W3CDTF">1996-10-14T23:33:28Z</dcterms:created>
  <dcterms:modified xsi:type="dcterms:W3CDTF">2025-09-10T06:27:23Z</dcterms:modified>
</cp:coreProperties>
</file>