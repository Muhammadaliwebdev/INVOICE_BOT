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8E4D51-1CC7-4F4B-A396-12B58602F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<sst xmlns="http://schemas.openxmlformats.org/spreadsheetml/2006/main" count="209" uniqueCount="158">
  <si>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</si>
  <si>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</si>
  <si>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</si>
  <si>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</si>
  <si>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</si>
  <si>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</si>
  <si>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</si>
  <si>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</si>
  <si>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</si>
  <si>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</si>
  <si>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</si>
  <si>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</si>
  <si>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</si>
  <si>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</si>
  <si>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</si>
  <si>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</si>
  <si>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</si>
  <si>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</si>
  <si>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</si>
  <si>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</si>
  <si>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</si>
  <si>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</si>
  <si>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</si>
  <si>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</si>
  <si>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</si>
  <si>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</si>
  <si>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</si>
  <si>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</si>
  <si>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</si>
  <si>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</si>
  <si>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</si>
  <si>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</si>
  <si>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</si>
  <si>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</si>
  <si>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</si>
  <si>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</si>
  <si>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</si>
  <si>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</si>
  <si>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</si>
  <si>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</si>
  <si>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</si>
  <si>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</si>
  <si>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</si>
  <si>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</si>
  <si>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</si>
  <si>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</si>
  <si>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</si>
  <si>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</si>
  <si>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</si>
  <si>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</si>
  <si>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</si>
  <si>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</si>
  <si>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</si>
  <si>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</si>
  <si>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</si>
  <si>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</si>
  <si>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</si>
  <si>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</si>
  <si>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</si>
  <si>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</si>
  <si>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</si>
  <si>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</si>
  <si>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</si>
  <si>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</si>
  <si>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</si>
  <si>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</si>
  <si>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</si>
  <si>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</si>
  <si>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</si>
  <si>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</si>
  <si>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</si>
  <si>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</si>
  <si>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</si>
  <si>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</si>
  <si>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</si>
  <si>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</si>
  <si>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</si>
  <si>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</si>
  <si>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</si>
  <si>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</si>
  <si>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</si>
  <si>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</si>
  <si>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</si>
  <si>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</si>
  <si>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</si>
  <si>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</si>
  <si>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</si>
  <si>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</si>
  <si>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</si>
  <si>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</si>
  <si>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</si>
  <si>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</si>
  <si>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</si>
  <si>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</si>
  <si>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</si>
  <si>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</si>
  <si>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</si>
  <si>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</si>
  <si>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</si>
  <si>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</si>
  <si>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</si>
  <si>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</si>
  <si>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</si>
  <si>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</si>
  <si>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</si>
  <si>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</si>
  <si>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</si>
  <si>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</si>
  <si>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Урожай 2025 года</t>
  </si>
  <si>
    <t>Дер. ящик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</si>
  <si>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</si>
  <si>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</si>
  <si>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</si>
  <si>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</si>
  <si>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</si>
  <si>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</si>
  <si>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</si>
  <si>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</si>
  <si>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</si>
  <si>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</si>
  <si>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</si>
  <si>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</si>
  <si>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</si>
  <si>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</si>
  <si>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</si>
  <si>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</si>
  <si>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</si>
  <si>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</si>
  <si>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</si>
  <si>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</si>
  <si>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Хурма свежая</t>
  </si>
  <si>
    <t>к контракту № GR-MG-01 от 22.08.2025 года</t>
  </si>
  <si>
    <t>ООО «ГРИН ВОРЛД»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</si>
  <si>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</si>
  <si>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</si>
  <si>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</si>
  <si>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</si>
  <si>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</si>
  <si>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</si>
  <si>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</si>
  <si>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</si>
  <si>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ILICH</t>
  </si>
  <si>
    <t>YALLAMA</t>
  </si>
  <si>
    <t>DOUT-OTA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</si>
  <si>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</si>
  <si>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</si>
  <si>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</si>
  <si>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</si>
  <si>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</si>
  <si>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>0810700001</t>
  </si>
  <si>
    <t>454010, ЧЕЛЯБИНСКАЯ ОБЛАСТЬ, Г.О. ЧЕЛЯБИНСКИЙ,</t>
  </si>
  <si>
    <t>Г ЧЕЛЯБИНСК, УЛ ЕНИСЕЙСКАЯ, Д. 87А</t>
  </si>
  <si>
    <t>ИНН/ КПП 7448223299 / 744901001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</si>
  <si>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 Российская федерация</t>
  </si>
  <si>
    <t xml:space="preserve">ИНВОЙС № MEG-F-243 от </t>
  </si>
  <si>
    <t xml:space="preserve"> 06.11.2025г.</t>
  </si>
  <si>
    <t>50G840TA/503977BA</t>
  </si>
  <si>
    <t xml:space="preserve">СПЕЦИФИКАЦИЯ № MEG-F-243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</si>
</sst>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1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80" fillId="0" borderId="0" xfId="0" applyFont="1" applyAlignment="1">
      <alignment horizontal="left" vertical="top" wrapText="1"/>
    </xf>
    <xf numFmtId="0" fontId="80" fillId="0" borderId="0" xfId="0" applyFont="1" applyAlignment="1">
      <alignment horizontal="left" vertical="top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38</xdr:row>
      <xdr:rowOff>33618</xdr:rowOff>
    </xdr:from>
    <xdr:to>
      <xdr:col>3</xdr:col>
      <xdr:colOff>224118</xdr:colOff>
      <xdr:row>50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38</xdr:row>
      <xdr:rowOff>100855</xdr:rowOff>
    </xdr:from>
    <xdr:to>
      <xdr:col>4</xdr:col>
      <xdr:colOff>389833</xdr:colOff>
      <xdr:row>40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38</xdr:row>
      <xdr:rowOff>22412</xdr:rowOff>
    </xdr:from>
    <xdr:to>
      <xdr:col>2</xdr:col>
      <xdr:colOff>392207</xdr:colOff>
      <xdr:row>50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38</xdr:row>
      <xdr:rowOff>89649</xdr:rowOff>
    </xdr:from>
    <xdr:to>
      <xdr:col>3</xdr:col>
      <xdr:colOff>546715</xdr:colOff>
      <xdr:row>40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156883</xdr:colOff>
      <xdr:row>37</xdr:row>
      <xdr:rowOff>147625</xdr:rowOff>
    </xdr:from>
    <xdr:to>
      <xdr:col>10</xdr:col>
      <xdr:colOff>156884</xdr:colOff>
      <xdr:row>50</xdr:row>
      <xdr:rowOff>96891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442" y="19175213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616324</xdr:colOff>
      <xdr:row>37</xdr:row>
      <xdr:rowOff>145676</xdr:rowOff>
    </xdr:from>
    <xdr:to>
      <xdr:col>12</xdr:col>
      <xdr:colOff>179295</xdr:colOff>
      <xdr:row>40</xdr:row>
      <xdr:rowOff>63621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7795" y="19173264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22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154</v>
      </c>
      <c r="D1" s="153"/>
      <c r="E1" s="153"/>
      <c r="F1" s="152" t="s">
        <v>155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131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122</v>
      </c>
      <c r="B5" s="154"/>
      <c r="C5" s="154"/>
      <c r="D5" s="154"/>
      <c r="E5" s="154"/>
      <c r="F5" s="6"/>
      <c r="G5" s="147" t="s">
        <v>132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123</v>
      </c>
      <c r="B6" s="125"/>
      <c r="C6" s="125"/>
      <c r="D6" s="125"/>
      <c r="E6" s="125"/>
      <c r="F6" s="7"/>
      <c r="G6" s="142" t="s">
        <v>150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128</v>
      </c>
      <c r="B7" s="125"/>
      <c r="C7" s="125"/>
      <c r="D7" s="125"/>
      <c r="E7" s="125"/>
      <c r="F7" s="63"/>
      <c r="G7" s="142" t="s">
        <v>151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125</v>
      </c>
      <c r="B8" s="8"/>
      <c r="C8" s="8"/>
      <c r="D8" s="8"/>
      <c r="E8" s="8"/>
      <c r="F8" s="63"/>
      <c r="G8" s="7" t="s">
        <v>152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124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126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122</v>
      </c>
      <c r="B14" s="154"/>
      <c r="C14" s="154"/>
      <c r="D14" s="154"/>
      <c r="E14" s="154"/>
      <c r="F14" s="6"/>
      <c r="G14" s="147" t="s">
        <v>132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123</v>
      </c>
      <c r="B15" s="125"/>
      <c r="C15" s="125"/>
      <c r="D15" s="125"/>
      <c r="E15" s="125"/>
      <c r="F15" s="7"/>
      <c r="G15" s="142" t="s">
        <v>150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128</v>
      </c>
      <c r="B16" s="125"/>
      <c r="C16" s="125"/>
      <c r="D16" s="125"/>
      <c r="E16" s="125"/>
      <c r="F16" s="63"/>
      <c r="G16" s="142" t="s">
        <v>151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125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124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126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5" customHeight="1" x14ac:dyDescent="0.25">
      <c r="A21" s="99"/>
      <c r="B21" s="8"/>
      <c r="C21" s="8"/>
      <c r="D21" s="8"/>
      <c r="E21" s="8"/>
      <c r="G21" s="143" t="s">
        <v>136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115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146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156</v>
      </c>
      <c r="F26" s="141"/>
      <c r="G26" s="141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13.8" x14ac:dyDescent="0.25">
      <c r="A30" s="128">
        <v>1</v>
      </c>
      <c r="B30" s="101" t="s">
        <v>130</v>
      </c>
      <c r="C30" s="107" t="s">
        <v>149</v>
      </c>
      <c r="D30" s="109" t="s">
        <v>109</v>
      </c>
      <c r="E30" s="101">
        <v>1477</v>
      </c>
      <c r="F30" s="110" t="s">
        <v>27</v>
      </c>
      <c r="G30" s="106">
        <v>18906</v>
      </c>
      <c r="H30" s="106">
        <v>17429</v>
      </c>
      <c r="I30" s="108">
        <v>1.05</v>
      </c>
      <c r="J30" s="13">
        <f t="shared" ref="J30:J31" si="0">H30*I30</f>
        <v>18300.45</v>
      </c>
      <c r="K30" s="12">
        <v>0</v>
      </c>
      <c r="L30" s="12">
        <v>0</v>
      </c>
      <c r="M30" s="13">
        <f t="shared" ref="M30:M31" si="1">J30</f>
        <v>18300.45</v>
      </c>
      <c r="O30" s="100"/>
      <c r="Q30" s="100"/>
    </row>
    <row r="31" spans="1:17" ht="13.8" x14ac:dyDescent="0.25">
      <c r="A31" s="128">
        <v>2</v>
      </c>
      <c r="B31" s="101" t="s">
        <v>130</v>
      </c>
      <c r="C31" s="107" t="s">
        <v>149</v>
      </c>
      <c r="D31" s="109" t="s">
        <v>109</v>
      </c>
      <c r="E31" s="101">
        <v>723</v>
      </c>
      <c r="F31" s="110" t="s">
        <v>27</v>
      </c>
      <c r="G31" s="106">
        <v>5278</v>
      </c>
      <c r="H31" s="106">
        <v>4627</v>
      </c>
      <c r="I31" s="108">
        <v>1.05</v>
      </c>
      <c r="J31" s="13">
        <f t="shared" si="0"/>
        <v>4858.3500000000004</v>
      </c>
      <c r="K31" s="12">
        <v>0</v>
      </c>
      <c r="L31" s="12">
        <v>0</v>
      </c>
      <c r="M31" s="13">
        <f t="shared" si="1"/>
        <v>4858.3500000000004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2200</v>
      </c>
      <c r="F32" s="15"/>
      <c r="G32" s="64">
        <f>SUM(G30:G31)</f>
        <v>24184</v>
      </c>
      <c r="H32" s="64">
        <f>SUM(H30:H31)</f>
        <v>22056</v>
      </c>
      <c r="I32" s="102"/>
      <c r="J32" s="17">
        <f>SUM(J30:J31)</f>
        <v>23158.800000000003</v>
      </c>
      <c r="K32" s="16"/>
      <c r="L32" s="16"/>
      <c r="M32" s="17">
        <f>SUM(M30:M31)</f>
        <v>23158.800000000003</v>
      </c>
      <c r="O32" s="66"/>
      <c r="P32" s="66"/>
    </row>
    <row r="33" spans="1:14" ht="13.8" x14ac:dyDescent="0.3">
      <c r="A33" s="2" t="s">
        <v>17</v>
      </c>
      <c r="B33" s="3"/>
      <c r="C33" s="11"/>
      <c r="D33" s="11"/>
      <c r="E33" s="148" t="str">
        <f>Лист1!B3</f>
        <v>Двадцать три тысячи сто пятьдесят восемь долларов США, 80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127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K36" sqref="K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>454010, ЧЕЛЯБИНСКАЯ ОБЛАСТЬ, Г.О. ЧЕЛЯБИНСКИЙ,</v>
      </c>
    </row>
    <row r="9" spans="1:11" ht="12.75" customHeight="1" x14ac:dyDescent="0.2">
      <c r="B9" s="70" t="str">
        <f>+Инвойс!G16</f>
        <v>Г ЧЕЛЯБИНСК, УЛ ЕНИСЕЙСКАЯ, Д. 87А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60" t="s">
        <v>153</v>
      </c>
      <c r="C13" s="161"/>
      <c r="D13" s="161"/>
      <c r="E13" s="161"/>
      <c r="F13" s="161"/>
      <c r="G13" s="161"/>
      <c r="H13" s="161"/>
      <c r="I13" s="161"/>
      <c r="J13" s="113"/>
      <c r="K13" s="113"/>
    </row>
    <row r="14" spans="1:11" ht="11.25" customHeight="1" x14ac:dyDescent="0.2">
      <c r="A14" s="70" t="s">
        <v>91</v>
      </c>
      <c r="B14" s="161"/>
      <c r="C14" s="161"/>
      <c r="D14" s="161"/>
      <c r="E14" s="161"/>
      <c r="F14" s="161"/>
      <c r="G14" s="161"/>
      <c r="H14" s="161"/>
      <c r="I14" s="161"/>
    </row>
    <row r="15" spans="1:11" ht="7.5" hidden="1" customHeight="1" x14ac:dyDescent="0.2">
      <c r="B15" s="161"/>
      <c r="C15" s="161"/>
      <c r="D15" s="161"/>
      <c r="E15" s="161"/>
      <c r="F15" s="161"/>
      <c r="G15" s="161"/>
      <c r="H15" s="161"/>
      <c r="I15" s="161"/>
    </row>
    <row r="16" spans="1:11" ht="21" customHeight="1" x14ac:dyDescent="0.2">
      <c r="B16" s="161"/>
      <c r="C16" s="161"/>
      <c r="D16" s="161"/>
      <c r="E16" s="161"/>
      <c r="F16" s="161"/>
      <c r="G16" s="161"/>
      <c r="H16" s="161"/>
      <c r="I16" s="161"/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06.11.2025г.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MEG-F-243 от  06.11.2025г.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1477</v>
      </c>
      <c r="D30" s="103" t="str">
        <f>+Инвойс!D30</f>
        <v>Дер. ящик</v>
      </c>
      <c r="E30" s="103"/>
      <c r="F30" s="103" t="str">
        <f>+Инвойс!B30</f>
        <v>Хурма свежая</v>
      </c>
      <c r="G30" s="104" t="str">
        <f>+Инвойс!C30</f>
        <v>0810700001</v>
      </c>
      <c r="H30" s="103"/>
      <c r="I30" s="105">
        <f>+Инвойс!G30</f>
        <v>18906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723</v>
      </c>
      <c r="D31" s="103" t="str">
        <f>+Инвойс!D31</f>
        <v>Дер. ящик</v>
      </c>
      <c r="E31" s="103"/>
      <c r="F31" s="103" t="str">
        <f>+Инвойс!B31</f>
        <v>Хурма свежая</v>
      </c>
      <c r="G31" s="104" t="str">
        <f>+Инвойс!C31</f>
        <v>0810700001</v>
      </c>
      <c r="H31" s="103"/>
      <c r="I31" s="105">
        <f>+Инвойс!G31</f>
        <v>5278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06.11.2025г.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50G840TA/503977BA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zoomScaleNormal="100" workbookViewId="0">
      <selection activeCell="C30" sqref="C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9" t="s">
        <v>96</v>
      </c>
      <c r="C2" s="16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70" t="str">
        <f>+Инвойс!E26</f>
        <v>50G840TA/503977BA</v>
      </c>
      <c r="C14" s="170"/>
      <c r="D14" s="170"/>
      <c r="E14" s="170"/>
      <c r="F14" s="170"/>
      <c r="G14" s="170"/>
      <c r="H14" s="171" t="s">
        <v>107</v>
      </c>
      <c r="I14" s="171"/>
      <c r="J14" s="88" t="str">
        <f>+Инвойс!F1</f>
        <v xml:space="preserve"> 06.11.2025г.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2" t="str">
        <f>+CMR!B24</f>
        <v>ИНВОЙС № MEG-F-243 от  06.11.2025г.</v>
      </c>
      <c r="I15" s="172"/>
      <c r="J15" s="17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1477</v>
      </c>
      <c r="G18" s="164" t="str">
        <f>+CMR!F30</f>
        <v>Хурма свежая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2" t="str">
        <f>+Инвойс!C30</f>
        <v>0810700001</v>
      </c>
      <c r="H19" s="163"/>
      <c r="I19" s="122" t="s">
        <v>103</v>
      </c>
      <c r="J19" s="120">
        <f>+Инвойс!G30</f>
        <v>18906</v>
      </c>
    </row>
    <row r="20" spans="2:10" ht="13.5" customHeight="1" x14ac:dyDescent="0.3">
      <c r="B20" s="83"/>
      <c r="E20" s="123"/>
      <c r="F20" s="118">
        <f>+Инвойс!E31</f>
        <v>723</v>
      </c>
      <c r="G20" s="164" t="str">
        <f>+CMR!F31</f>
        <v>Хурма свежая</v>
      </c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Дер. ящик</v>
      </c>
      <c r="G21" s="162" t="str">
        <f>+Инвойс!C31</f>
        <v>0810700001</v>
      </c>
      <c r="H21" s="163"/>
      <c r="I21" s="122" t="s">
        <v>103</v>
      </c>
      <c r="J21" s="120">
        <f>+Инвойс!G31</f>
        <v>5278</v>
      </c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62"/>
      <c r="H23" s="163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62"/>
      <c r="H25" s="163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62"/>
      <c r="H27" s="163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62"/>
      <c r="H29" s="163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62"/>
      <c r="H31" s="163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62"/>
      <c r="H33" s="163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62"/>
      <c r="H35" s="163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62"/>
      <c r="H37" s="163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62"/>
      <c r="H39" s="163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62"/>
      <c r="H41" s="163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62"/>
      <c r="H43" s="163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2200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9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157</v>
      </c>
      <c r="C1" s="173"/>
      <c r="D1" s="173"/>
      <c r="E1" s="173"/>
      <c r="F1" s="152" t="str">
        <f>+Инвойс!F1</f>
        <v xml:space="preserve"> 06.11.2025г.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GR-MG-01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«MEGA EXIMPORT»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6" t="str">
        <f>+Инвойс!A6</f>
        <v xml:space="preserve">Республика Узбекистан, Ферганская область, </v>
      </c>
      <c r="B6" s="176"/>
      <c r="C6" s="176"/>
      <c r="D6" s="176"/>
      <c r="E6" s="176"/>
      <c r="F6" s="7"/>
      <c r="G6" s="174" t="str">
        <f>+Инвойс!G6</f>
        <v>454010, ЧЕЛЯБИНСКАЯ ОБЛАСТЬ, Г.О. ЧЕЛЯБИНСКИЙ,</v>
      </c>
      <c r="H6" s="174"/>
      <c r="I6" s="174"/>
      <c r="J6" s="174"/>
      <c r="K6" s="174"/>
      <c r="L6" s="174"/>
      <c r="M6" s="174"/>
      <c r="N6" s="4"/>
    </row>
    <row r="7" spans="1:15" ht="13.8" x14ac:dyDescent="0.25">
      <c r="A7" s="176" t="str">
        <f>+Инвойс!A7</f>
        <v>Кува Район, Гулобод МФЙ, Сарбоз улитца</v>
      </c>
      <c r="B7" s="176"/>
      <c r="C7" s="176"/>
      <c r="D7" s="176"/>
      <c r="E7" s="176"/>
      <c r="F7" s="63"/>
      <c r="G7" s="174" t="str">
        <f>+Инвойс!G7</f>
        <v>Г ЧЕЛЯБИНСК, УЛ ЕНИСЕЙСКАЯ, Д. 87А</v>
      </c>
      <c r="H7" s="174"/>
      <c r="I7" s="174"/>
      <c r="J7" s="174"/>
      <c r="K7" s="174"/>
      <c r="L7" s="174"/>
      <c r="M7" s="174"/>
    </row>
    <row r="8" spans="1:15" ht="15" customHeight="1" x14ac:dyDescent="0.25">
      <c r="A8" s="176" t="str">
        <f>+Инвойс!A8</f>
        <v xml:space="preserve">Р/с N 20208840607249418001   (USD)    </v>
      </c>
      <c r="B8" s="176"/>
      <c r="C8" s="176"/>
      <c r="D8" s="176"/>
      <c r="E8" s="176"/>
      <c r="F8" s="63"/>
      <c r="G8" s="174" t="str">
        <f>+Инвойс!G8</f>
        <v>ИНН/ КПП 7448223299 / 744901001</v>
      </c>
      <c r="H8" s="174"/>
      <c r="I8" s="174"/>
      <c r="J8" s="174"/>
      <c r="K8" s="174"/>
      <c r="L8" s="174"/>
      <c r="M8" s="174"/>
    </row>
    <row r="9" spans="1:15" ht="13.8" x14ac:dyDescent="0.25">
      <c r="A9" s="176" t="str">
        <f>+Инвойс!A9</f>
        <v xml:space="preserve">в АКБ «KAPITAL BANK» МФО: 01088 Swift: KACHUZ22  </v>
      </c>
      <c r="B9" s="176"/>
      <c r="C9" s="176"/>
      <c r="D9" s="176"/>
      <c r="E9" s="176"/>
      <c r="F9" s="7"/>
      <c r="G9" s="174" t="str">
        <f>+Инвойс!G9</f>
        <v>р/с 40702810000000024357</v>
      </c>
      <c r="H9" s="174"/>
      <c r="I9" s="174"/>
      <c r="J9" s="174"/>
      <c r="K9" s="174"/>
      <c r="L9" s="174"/>
      <c r="M9" s="174"/>
      <c r="O9" s="7"/>
    </row>
    <row r="10" spans="1:15" ht="13.8" x14ac:dyDescent="0.25">
      <c r="A10" s="176" t="str">
        <f>+Инвойс!A10</f>
        <v xml:space="preserve"> ИНН: 312169146</v>
      </c>
      <c r="B10" s="176"/>
      <c r="C10" s="176"/>
      <c r="D10" s="176"/>
      <c r="E10" s="176"/>
      <c r="F10" s="7"/>
      <c r="G10" s="174" t="str">
        <f>+Инвойс!G10</f>
        <v>Корр. счет: 30101810445250000234</v>
      </c>
      <c r="H10" s="174"/>
      <c r="I10" s="174"/>
      <c r="J10" s="174"/>
      <c r="K10" s="174"/>
      <c r="L10" s="174"/>
      <c r="M10" s="174"/>
    </row>
    <row r="11" spans="1:15" ht="13.8" x14ac:dyDescent="0.25">
      <c r="A11" s="176"/>
      <c r="B11" s="176"/>
      <c r="C11" s="176"/>
      <c r="D11" s="176"/>
      <c r="E11" s="176"/>
      <c r="F11" s="7"/>
      <c r="G11" s="174" t="str">
        <f>+Инвойс!G11</f>
        <v>Азия-Инвест Банк (АО) г. Москва</v>
      </c>
      <c r="H11" s="174"/>
      <c r="I11" s="174"/>
      <c r="J11" s="174"/>
      <c r="K11" s="174"/>
      <c r="L11" s="174"/>
      <c r="M11" s="174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«MEGA EXIMPORT»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6" t="str">
        <f>+Инвойс!A15</f>
        <v xml:space="preserve">Республика Узбекистан, Ферганская область, </v>
      </c>
      <c r="B15" s="176"/>
      <c r="C15" s="176"/>
      <c r="D15" s="176"/>
      <c r="E15" s="176"/>
      <c r="F15" s="7"/>
      <c r="G15" s="174" t="str">
        <f>+Инвойс!G15</f>
        <v>454010, ЧЕЛЯБИНСКАЯ ОБЛАСТЬ, Г.О. ЧЕЛЯБИНСКИЙ,</v>
      </c>
      <c r="H15" s="174"/>
      <c r="I15" s="174"/>
      <c r="J15" s="174"/>
      <c r="K15" s="174"/>
      <c r="L15" s="174"/>
      <c r="M15" s="174"/>
    </row>
    <row r="16" spans="1:15" ht="13.8" x14ac:dyDescent="0.25">
      <c r="A16" s="176" t="str">
        <f>+Инвойс!A16</f>
        <v>Кува Район, Гулобод МФЙ, Сарбоз улитца</v>
      </c>
      <c r="B16" s="176"/>
      <c r="C16" s="176"/>
      <c r="D16" s="176"/>
      <c r="E16" s="176"/>
      <c r="F16" s="63"/>
      <c r="G16" s="174" t="str">
        <f>+Инвойс!G16</f>
        <v>Г ЧЕЛЯБИНСК, УЛ ЕНИСЕЙСКАЯ, Д. 87А</v>
      </c>
      <c r="H16" s="174"/>
      <c r="I16" s="174"/>
      <c r="J16" s="174"/>
      <c r="K16" s="174"/>
      <c r="L16" s="174"/>
      <c r="M16" s="174"/>
    </row>
    <row r="17" spans="1:17" ht="15" customHeight="1" x14ac:dyDescent="0.25">
      <c r="A17" s="176" t="str">
        <f>+Инвойс!A17</f>
        <v xml:space="preserve">Р/с N 20208840607249418001   (USD)    </v>
      </c>
      <c r="B17" s="176"/>
      <c r="C17" s="176"/>
      <c r="D17" s="176"/>
      <c r="E17" s="176"/>
      <c r="F17" s="63"/>
      <c r="G17" s="174" t="str">
        <f>+Инвойс!G17</f>
        <v>ИНН/ КПП 7448223299 / 744901001</v>
      </c>
      <c r="H17" s="174"/>
      <c r="I17" s="174"/>
      <c r="J17" s="174"/>
      <c r="K17" s="174"/>
      <c r="L17" s="174"/>
      <c r="M17" s="174"/>
    </row>
    <row r="18" spans="1:17" ht="13.8" x14ac:dyDescent="0.25">
      <c r="A18" s="176" t="str">
        <f>+Инвойс!A18</f>
        <v xml:space="preserve">в АКБ «KAPITAL BANK» МФО: 01088 Swift: KACHUZ22  </v>
      </c>
      <c r="B18" s="176"/>
      <c r="C18" s="176"/>
      <c r="D18" s="176"/>
      <c r="E18" s="176"/>
      <c r="F18" s="7"/>
      <c r="G18" s="174" t="str">
        <f>+Инвойс!G18</f>
        <v>р/с 40702810000000024357</v>
      </c>
      <c r="H18" s="174"/>
      <c r="I18" s="174"/>
      <c r="J18" s="174"/>
      <c r="K18" s="174"/>
      <c r="L18" s="174"/>
      <c r="M18" s="174"/>
    </row>
    <row r="19" spans="1:17" ht="13.8" x14ac:dyDescent="0.25">
      <c r="A19" s="176" t="str">
        <f>+Инвойс!A19</f>
        <v xml:space="preserve"> ИНН: 312169146</v>
      </c>
      <c r="B19" s="176"/>
      <c r="C19" s="176"/>
      <c r="D19" s="176"/>
      <c r="E19" s="176"/>
      <c r="F19" s="7"/>
      <c r="G19" s="174" t="str">
        <f>+Инвойс!G19</f>
        <v>Корр. счет: 30101810445250000234</v>
      </c>
      <c r="H19" s="174"/>
      <c r="I19" s="174"/>
      <c r="J19" s="174"/>
      <c r="K19" s="174"/>
      <c r="L19" s="174"/>
      <c r="M19" s="174"/>
    </row>
    <row r="20" spans="1:17" ht="13.8" x14ac:dyDescent="0.25">
      <c r="A20" s="176"/>
      <c r="B20" s="176"/>
      <c r="C20" s="176"/>
      <c r="D20" s="176"/>
      <c r="E20" s="176"/>
      <c r="F20" s="7"/>
      <c r="G20" s="174" t="str">
        <f>+Инвойс!G20</f>
        <v>Азия-Инвест Банк (АО) г. Москва</v>
      </c>
      <c r="H20" s="174"/>
      <c r="I20" s="174"/>
      <c r="J20" s="174"/>
      <c r="K20" s="174"/>
      <c r="L20" s="174"/>
      <c r="M20" s="174"/>
    </row>
    <row r="21" spans="1:17" ht="13.8" x14ac:dyDescent="0.25">
      <c r="A21" s="176"/>
      <c r="B21" s="176"/>
      <c r="C21" s="176"/>
      <c r="D21" s="176"/>
      <c r="E21" s="176"/>
      <c r="G21" s="7"/>
      <c r="H21" s="23"/>
      <c r="I21" s="23"/>
      <c r="J21" s="23"/>
    </row>
    <row r="22" spans="1:17" ht="43.5" customHeight="1" x14ac:dyDescent="0.3">
      <c r="A22" s="1" t="s">
        <v>118</v>
      </c>
      <c r="C22" s="65"/>
      <c r="F22" s="1"/>
    </row>
    <row r="23" spans="1:17" ht="26.25" hidden="1" customHeight="1" x14ac:dyDescent="0.25">
      <c r="A23" s="69" t="s">
        <v>87</v>
      </c>
      <c r="B23" s="68"/>
      <c r="C23" s="175" t="s">
        <v>110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7" ht="15.6" x14ac:dyDescent="0.3">
      <c r="A24" s="20" t="s">
        <v>22</v>
      </c>
      <c r="C24" s="18" t="str">
        <f>+Инвойс!C24</f>
        <v>DAP - Шымкент,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50G840TA/503977BA</v>
      </c>
      <c r="F26" s="141"/>
      <c r="G26" s="141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13.8" x14ac:dyDescent="0.25">
      <c r="A30" s="128">
        <f>+Инвойс!A30</f>
        <v>1</v>
      </c>
      <c r="B30" s="101" t="str">
        <f>+Инвойс!B30</f>
        <v>Хурма свежая</v>
      </c>
      <c r="C30" s="107" t="str">
        <f>+Инвойс!C30</f>
        <v>0810700001</v>
      </c>
      <c r="D30" s="115" t="str">
        <f>+Инвойс!D30</f>
        <v>Дер. ящик</v>
      </c>
      <c r="E30" s="101">
        <f>+Инвойс!E30</f>
        <v>1477</v>
      </c>
      <c r="F30" s="116" t="str">
        <f>+Инвойс!F30</f>
        <v>кг</v>
      </c>
      <c r="G30" s="106">
        <f>+Инвойс!G30</f>
        <v>18906</v>
      </c>
      <c r="H30" s="106">
        <f>+Инвойс!H30</f>
        <v>17429</v>
      </c>
      <c r="I30" s="108">
        <f>+Инвойс!I30</f>
        <v>1.05</v>
      </c>
      <c r="J30" s="13">
        <f>+Инвойс!J30</f>
        <v>18300.45</v>
      </c>
      <c r="K30" s="12">
        <v>0</v>
      </c>
      <c r="L30" s="12">
        <v>0</v>
      </c>
      <c r="M30" s="13">
        <f>+Инвойс!M30</f>
        <v>18300.45</v>
      </c>
      <c r="O30" s="100"/>
      <c r="Q30" s="100"/>
    </row>
    <row r="31" spans="1:17" ht="13.8" x14ac:dyDescent="0.25">
      <c r="A31" s="128">
        <f>+Инвойс!A31</f>
        <v>2</v>
      </c>
      <c r="B31" s="101" t="str">
        <f>+Инвойс!B31</f>
        <v>Хурма свежая</v>
      </c>
      <c r="C31" s="107" t="str">
        <f>+Инвойс!C31</f>
        <v>0810700001</v>
      </c>
      <c r="D31" s="115" t="str">
        <f>+Инвойс!D31</f>
        <v>Дер. ящик</v>
      </c>
      <c r="E31" s="101">
        <f>+Инвойс!E31</f>
        <v>723</v>
      </c>
      <c r="F31" s="116" t="str">
        <f>+Инвойс!F31</f>
        <v>кг</v>
      </c>
      <c r="G31" s="106">
        <f>+Инвойс!G31</f>
        <v>5278</v>
      </c>
      <c r="H31" s="106">
        <f>+Инвойс!H31</f>
        <v>4627</v>
      </c>
      <c r="I31" s="108">
        <f>+Инвойс!I31</f>
        <v>1.05</v>
      </c>
      <c r="J31" s="13">
        <f>+Инвойс!J31</f>
        <v>4858.3500000000004</v>
      </c>
      <c r="K31" s="12">
        <v>0</v>
      </c>
      <c r="L31" s="12">
        <v>0</v>
      </c>
      <c r="M31" s="13">
        <f>+Инвойс!M31</f>
        <v>4858.3500000000004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2200</v>
      </c>
      <c r="F32" s="15"/>
      <c r="G32" s="64">
        <f>SUM(G30:G31)</f>
        <v>24184</v>
      </c>
      <c r="H32" s="64">
        <f>SUM(H30:H31)</f>
        <v>22056</v>
      </c>
      <c r="I32" s="102"/>
      <c r="J32" s="17">
        <f>SUM(J30:J31)</f>
        <v>23158.800000000003</v>
      </c>
      <c r="K32" s="16"/>
      <c r="L32" s="16"/>
      <c r="M32" s="17">
        <f>SUM(M30:M31)</f>
        <v>23158.800000000003</v>
      </c>
      <c r="P32" s="66"/>
    </row>
    <row r="33" spans="1:14" ht="13.8" x14ac:dyDescent="0.3">
      <c r="A33" s="2" t="s">
        <v>17</v>
      </c>
      <c r="B33" s="3"/>
      <c r="C33" s="11"/>
      <c r="D33" s="11"/>
      <c r="E33" s="148" t="str">
        <f>Лист1!B3</f>
        <v>Двадцать три тысячи сто пятьдесят восемь долларов США, 80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2" t="s">
        <v>129</v>
      </c>
      <c r="B37" s="132"/>
      <c r="D37" s="18" t="str">
        <f>+Инвойс!D37</f>
        <v>Эргашев О.Р</v>
      </c>
      <c r="E37" s="133"/>
      <c r="G37" s="130" t="s">
        <v>121</v>
      </c>
      <c r="H37" s="18" t="str">
        <f>Инвойс!G5</f>
        <v>ООО «ГРИН ВОРЛД»</v>
      </c>
      <c r="K37" s="134" t="s">
        <v>137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10" zoomScale="85" zoomScaleNormal="85" workbookViewId="0">
      <selection activeCell="A15" sqref="A15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111</v>
      </c>
    </row>
    <row r="3" spans="1:10" ht="52.8" x14ac:dyDescent="0.25">
      <c r="A3" s="131" t="s">
        <v>120</v>
      </c>
    </row>
    <row r="5" spans="1:10" ht="92.4" x14ac:dyDescent="0.25">
      <c r="A5" s="127" t="s">
        <v>145</v>
      </c>
    </row>
    <row r="6" spans="1:10" x14ac:dyDescent="0.25">
      <c r="E6" s="18" t="s">
        <v>146</v>
      </c>
      <c r="J6" s="25" t="s">
        <v>140</v>
      </c>
    </row>
    <row r="7" spans="1:10" ht="52.8" x14ac:dyDescent="0.25">
      <c r="A7" s="127" t="s">
        <v>112</v>
      </c>
    </row>
    <row r="8" spans="1:10" x14ac:dyDescent="0.25">
      <c r="E8" s="18" t="s">
        <v>147</v>
      </c>
      <c r="J8" s="25" t="s">
        <v>141</v>
      </c>
    </row>
    <row r="9" spans="1:10" ht="52.8" x14ac:dyDescent="0.25">
      <c r="A9" s="127" t="s">
        <v>113</v>
      </c>
    </row>
    <row r="10" spans="1:10" x14ac:dyDescent="0.25">
      <c r="A10" s="127"/>
      <c r="E10" s="18" t="s">
        <v>147</v>
      </c>
      <c r="J10" s="25" t="s">
        <v>142</v>
      </c>
    </row>
    <row r="11" spans="1:10" ht="52.8" x14ac:dyDescent="0.25">
      <c r="A11" s="127" t="s">
        <v>144</v>
      </c>
    </row>
    <row r="12" spans="1:10" x14ac:dyDescent="0.25">
      <c r="E12" s="18" t="s">
        <v>148</v>
      </c>
      <c r="J12" s="25" t="s">
        <v>143</v>
      </c>
    </row>
    <row r="13" spans="1:10" ht="52.8" x14ac:dyDescent="0.25">
      <c r="A13" s="127" t="s">
        <v>114</v>
      </c>
    </row>
    <row r="15" spans="1:10" ht="39.6" x14ac:dyDescent="0.25">
      <c r="A15" s="127" t="s">
        <v>115</v>
      </c>
    </row>
    <row r="17" spans="1:1" ht="39.6" x14ac:dyDescent="0.25">
      <c r="A17" s="127" t="s">
        <v>116</v>
      </c>
    </row>
    <row r="19" spans="1:1" ht="39.6" x14ac:dyDescent="0.25">
      <c r="A19" s="129" t="s">
        <v>117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6" x14ac:dyDescent="0.3">
      <c r="E2" s="27">
        <f>Инвойс!M32</f>
        <v>23158.800000000003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три тысячи сто пятьдесят восемь долларов США, 80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45967</v>
      </c>
      <c r="O3" s="180"/>
      <c r="P3">
        <f ca="1">DAY(N3)</f>
        <v>6</v>
      </c>
      <c r="Q3" s="34" t="str">
        <f ca="1">IF(Q4&gt;7,S3,S4)</f>
        <v>ноября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ноября</v>
      </c>
    </row>
    <row r="4" spans="1:19" x14ac:dyDescent="0.25">
      <c r="A4" s="29" t="s">
        <v>35</v>
      </c>
      <c r="B4" s="36" t="str">
        <f>SUBSTITUTE(B6,F9,F10,1)</f>
        <v>Двадцать три тысячи сто пятьдесят восемь долларов США, 80 центов. (в т.ч. НДС - 357,79)</v>
      </c>
      <c r="H4" s="32"/>
      <c r="I4" s="32"/>
      <c r="J4" s="32"/>
      <c r="K4" s="181" t="str">
        <f ca="1">CONCATENATE(" «  ",P3,"  »  ",Q3,"  ",R3," г.")</f>
        <v xml:space="preserve"> «  6  »  ноября  2025 г.</v>
      </c>
      <c r="L4" s="181"/>
      <c r="M4" s="181"/>
      <c r="N4" s="37"/>
      <c r="O4" s="37"/>
      <c r="P4" s="32"/>
      <c r="Q4" s="34">
        <f ca="1">MONTH(N3)</f>
        <v>11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три тысячи сто пятьдесят восемь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три тысячи сто пятьдесят восемь долларов США, 80 центов. (в т.ч. НДС - 357,79)</v>
      </c>
      <c r="C6"/>
      <c r="D6"/>
      <c r="E6"/>
      <c r="H6" s="39"/>
    </row>
    <row r="7" spans="1:19" x14ac:dyDescent="0.25">
      <c r="D7" s="33"/>
      <c r="H7" s="182" t="s">
        <v>38</v>
      </c>
      <c r="I7" s="182"/>
      <c r="J7" s="182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2"/>
      <c r="I8" s="182"/>
      <c r="J8" s="182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2"/>
      <c r="I9" s="182"/>
      <c r="J9" s="182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три тысячи </v>
      </c>
      <c r="D10" s="47"/>
      <c r="E10" s="48"/>
      <c r="F10" s="41" t="str">
        <f>PROPER(F9)</f>
        <v>Д</v>
      </c>
      <c r="G10" s="42"/>
      <c r="H10" s="182"/>
      <c r="I10" s="182"/>
      <c r="J10" s="182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пятьдесят восемь долларов США, </v>
      </c>
      <c r="D11" s="47"/>
      <c r="E11" s="48"/>
      <c r="H11" s="182"/>
      <c r="I11" s="182"/>
      <c r="J11" s="182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45967</v>
      </c>
    </row>
    <row r="13" spans="1:19" s="43" customFormat="1" x14ac:dyDescent="0.25">
      <c r="A13" s="49"/>
      <c r="D13" s="51"/>
      <c r="E13" s="52">
        <f>TRUNC(E2)</f>
        <v>23158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23</v>
      </c>
      <c r="B25" s="47">
        <f>TRUNC(RIGHT(A25))</f>
        <v>3</v>
      </c>
      <c r="C25" s="51">
        <f>IF(B24=1,B25+10,IF(B25=0,0,B25))</f>
        <v>3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три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23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231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2315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23158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5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5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8" t="s">
        <v>85</v>
      </c>
      <c r="B100" s="178"/>
      <c r="C100" s="178"/>
      <c r="D100" s="178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2025-11-06T08:46:12Z</cp:lastPrinted>
  <dcterms:created xsi:type="dcterms:W3CDTF">1996-10-14T23:33:28Z</dcterms:created>
  <dcterms:modified xsi:type="dcterms:W3CDTF">2025-11-06T08:46:16Z</dcterms:modified>
</cp:coreProperties>
</file>